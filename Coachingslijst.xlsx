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elijn.sharepoint.com/teams/CTM-Opmakensteekkaarten-Coachingslijst/Gedeelde documenten/Coachingslijst/"/>
    </mc:Choice>
  </mc:AlternateContent>
  <xr:revisionPtr revIDLastSave="9065" documentId="13_ncr:1_{51182797-F005-4DB1-88AE-A2BD37A2289A}" xr6:coauthVersionLast="47" xr6:coauthVersionMax="47" xr10:uidLastSave="{4A07ACC7-B7AA-4431-8115-550F8778F042}"/>
  <bookViews>
    <workbookView xWindow="-108" yWindow="-108" windowWidth="30696" windowHeight="17364" tabRatio="456" activeTab="1" xr2:uid="{F593FE5F-E761-4E50-85A0-6D382CBE16EB}"/>
  </bookViews>
  <sheets>
    <sheet name="Coaching" sheetId="6" r:id="rId1"/>
    <sheet name="Voltooide coachings" sheetId="4" r:id="rId2"/>
    <sheet name="draaitabel" sheetId="7" r:id="rId3"/>
    <sheet name="Ingeplande per TC" sheetId="5" state="hidden" r:id="rId4"/>
    <sheet name="Vervolglijsten" sheetId="3" state="hidden" r:id="rId5"/>
    <sheet name="data Chauffeur" sheetId="1" state="hidden" r:id="rId6"/>
  </sheets>
  <definedNames>
    <definedName name="_xlnm._FilterDatabase" localSheetId="5" hidden="1">'data Chauffeur'!$A$1:$F$586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8" i="4" l="1"/>
  <c r="D278" i="4"/>
  <c r="E278" i="4"/>
  <c r="F278" i="4"/>
  <c r="G278" i="4"/>
  <c r="H278" i="4"/>
  <c r="C279" i="4"/>
  <c r="D279" i="4"/>
  <c r="E279" i="4"/>
  <c r="F279" i="4"/>
  <c r="G279" i="4"/>
  <c r="H279" i="4"/>
  <c r="C280" i="4"/>
  <c r="D280" i="4"/>
  <c r="E280" i="4"/>
  <c r="F280" i="4"/>
  <c r="G280" i="4"/>
  <c r="H280" i="4"/>
  <c r="C281" i="4"/>
  <c r="D281" i="4"/>
  <c r="E281" i="4"/>
  <c r="F281" i="4"/>
  <c r="G281" i="4"/>
  <c r="H281" i="4"/>
  <c r="C282" i="4"/>
  <c r="D282" i="4"/>
  <c r="E282" i="4"/>
  <c r="F282" i="4"/>
  <c r="G282" i="4"/>
  <c r="H282" i="4"/>
  <c r="C283" i="4"/>
  <c r="D283" i="4"/>
  <c r="E283" i="4"/>
  <c r="F283" i="4"/>
  <c r="G283" i="4"/>
  <c r="H283" i="4"/>
  <c r="C284" i="4"/>
  <c r="D284" i="4"/>
  <c r="E284" i="4"/>
  <c r="F284" i="4"/>
  <c r="G284" i="4"/>
  <c r="H284" i="4"/>
  <c r="C285" i="4"/>
  <c r="D285" i="4"/>
  <c r="E285" i="4"/>
  <c r="F285" i="4"/>
  <c r="G285" i="4"/>
  <c r="H285" i="4"/>
  <c r="C286" i="4"/>
  <c r="D286" i="4"/>
  <c r="E286" i="4"/>
  <c r="F286" i="4"/>
  <c r="G286" i="4"/>
  <c r="H286" i="4"/>
  <c r="C277" i="4"/>
  <c r="E277" i="4" s="1"/>
  <c r="D277" i="4"/>
  <c r="F277" i="4"/>
  <c r="G277" i="4"/>
  <c r="H277" i="4"/>
  <c r="E63" i="6"/>
  <c r="F63" i="6"/>
  <c r="G63" i="6"/>
  <c r="I63" i="6"/>
  <c r="J63" i="6"/>
  <c r="E64" i="6"/>
  <c r="F64" i="6"/>
  <c r="G64" i="6"/>
  <c r="I64" i="6"/>
  <c r="J64" i="6"/>
  <c r="E65" i="6"/>
  <c r="F65" i="6"/>
  <c r="G65" i="6"/>
  <c r="I65" i="6"/>
  <c r="J65" i="6"/>
  <c r="C274" i="4"/>
  <c r="D274" i="4"/>
  <c r="E274" i="4" s="1"/>
  <c r="F274" i="4"/>
  <c r="G274" i="4"/>
  <c r="H274" i="4"/>
  <c r="C275" i="4"/>
  <c r="E275" i="4" s="1"/>
  <c r="D275" i="4"/>
  <c r="F275" i="4"/>
  <c r="G275" i="4"/>
  <c r="H275" i="4"/>
  <c r="C276" i="4"/>
  <c r="E276" i="4" s="1"/>
  <c r="D276" i="4"/>
  <c r="F276" i="4"/>
  <c r="G276" i="4"/>
  <c r="H276" i="4"/>
  <c r="C273" i="4"/>
  <c r="D273" i="4"/>
  <c r="E273" i="4"/>
  <c r="F273" i="4"/>
  <c r="G273" i="4"/>
  <c r="H273" i="4"/>
  <c r="C268" i="4"/>
  <c r="D268" i="4"/>
  <c r="E268" i="4" s="1"/>
  <c r="F268" i="4"/>
  <c r="G268" i="4"/>
  <c r="H268" i="4"/>
  <c r="C269" i="4"/>
  <c r="E269" i="4" s="1"/>
  <c r="D269" i="4"/>
  <c r="F269" i="4"/>
  <c r="G269" i="4"/>
  <c r="H269" i="4"/>
  <c r="C270" i="4"/>
  <c r="E270" i="4" s="1"/>
  <c r="D270" i="4"/>
  <c r="F270" i="4"/>
  <c r="G270" i="4"/>
  <c r="H270" i="4"/>
  <c r="C271" i="4"/>
  <c r="D271" i="4"/>
  <c r="E271" i="4"/>
  <c r="F271" i="4"/>
  <c r="G271" i="4"/>
  <c r="H271" i="4"/>
  <c r="C272" i="4"/>
  <c r="D272" i="4"/>
  <c r="E272" i="4" s="1"/>
  <c r="F272" i="4"/>
  <c r="G272" i="4"/>
  <c r="H272" i="4"/>
  <c r="H288" i="4"/>
  <c r="G288" i="4"/>
  <c r="F288" i="4"/>
  <c r="D288" i="4"/>
  <c r="C288" i="4"/>
  <c r="E288" i="4" s="1"/>
  <c r="H287" i="4"/>
  <c r="G287" i="4"/>
  <c r="F287" i="4"/>
  <c r="E287" i="4"/>
  <c r="D287" i="4"/>
  <c r="C287" i="4"/>
  <c r="C263" i="4"/>
  <c r="D263" i="4"/>
  <c r="E263" i="4" s="1"/>
  <c r="F263" i="4"/>
  <c r="G263" i="4"/>
  <c r="H263" i="4"/>
  <c r="C264" i="4"/>
  <c r="D264" i="4"/>
  <c r="F264" i="4"/>
  <c r="G264" i="4"/>
  <c r="H264" i="4"/>
  <c r="C265" i="4"/>
  <c r="D265" i="4"/>
  <c r="F265" i="4"/>
  <c r="G265" i="4"/>
  <c r="H265" i="4"/>
  <c r="C266" i="4"/>
  <c r="D266" i="4"/>
  <c r="F266" i="4"/>
  <c r="G266" i="4"/>
  <c r="H266" i="4"/>
  <c r="C267" i="4"/>
  <c r="D267" i="4"/>
  <c r="E267" i="4" s="1"/>
  <c r="F267" i="4"/>
  <c r="G267" i="4"/>
  <c r="H267" i="4"/>
  <c r="E62" i="6"/>
  <c r="F62" i="6"/>
  <c r="G62" i="6"/>
  <c r="I62" i="6"/>
  <c r="J62" i="6"/>
  <c r="E58" i="6"/>
  <c r="F58" i="6"/>
  <c r="G58" i="6"/>
  <c r="I58" i="6"/>
  <c r="J58" i="6"/>
  <c r="E59" i="6"/>
  <c r="F59" i="6"/>
  <c r="G59" i="6"/>
  <c r="I59" i="6"/>
  <c r="J59" i="6"/>
  <c r="E60" i="6"/>
  <c r="F60" i="6"/>
  <c r="G60" i="6"/>
  <c r="I60" i="6"/>
  <c r="J60" i="6"/>
  <c r="E61" i="6"/>
  <c r="F61" i="6"/>
  <c r="G61" i="6"/>
  <c r="I61" i="6"/>
  <c r="J6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C261" i="4"/>
  <c r="D261" i="4"/>
  <c r="F261" i="4"/>
  <c r="G261" i="4"/>
  <c r="H261" i="4"/>
  <c r="C262" i="4"/>
  <c r="D262" i="4"/>
  <c r="F262" i="4"/>
  <c r="G262" i="4"/>
  <c r="H262" i="4"/>
  <c r="C260" i="4"/>
  <c r="D260" i="4"/>
  <c r="F260" i="4"/>
  <c r="G260" i="4"/>
  <c r="H260" i="4"/>
  <c r="C257" i="4"/>
  <c r="D257" i="4"/>
  <c r="F257" i="4"/>
  <c r="G257" i="4"/>
  <c r="H257" i="4"/>
  <c r="C258" i="4"/>
  <c r="D258" i="4"/>
  <c r="F258" i="4"/>
  <c r="G258" i="4"/>
  <c r="H258" i="4"/>
  <c r="C259" i="4"/>
  <c r="D259" i="4"/>
  <c r="F259" i="4"/>
  <c r="G259" i="4"/>
  <c r="H259" i="4"/>
  <c r="C253" i="4"/>
  <c r="D253" i="4"/>
  <c r="F253" i="4"/>
  <c r="G253" i="4"/>
  <c r="H253" i="4"/>
  <c r="C254" i="4"/>
  <c r="D254" i="4"/>
  <c r="F254" i="4"/>
  <c r="G254" i="4"/>
  <c r="H254" i="4"/>
  <c r="C255" i="4"/>
  <c r="D255" i="4"/>
  <c r="F255" i="4"/>
  <c r="G255" i="4"/>
  <c r="H255" i="4"/>
  <c r="C256" i="4"/>
  <c r="D256" i="4"/>
  <c r="F256" i="4"/>
  <c r="G256" i="4"/>
  <c r="H256" i="4"/>
  <c r="C252" i="4"/>
  <c r="D252" i="4"/>
  <c r="F252" i="4"/>
  <c r="G252" i="4"/>
  <c r="H252" i="4"/>
  <c r="C251" i="4"/>
  <c r="D251" i="4"/>
  <c r="F251" i="4"/>
  <c r="G251" i="4"/>
  <c r="H251" i="4"/>
  <c r="C249" i="4"/>
  <c r="D249" i="4"/>
  <c r="F249" i="4"/>
  <c r="G249" i="4"/>
  <c r="H249" i="4"/>
  <c r="C250" i="4"/>
  <c r="D250" i="4"/>
  <c r="F250" i="4"/>
  <c r="G250" i="4"/>
  <c r="H250" i="4"/>
  <c r="C248" i="4"/>
  <c r="D248" i="4"/>
  <c r="F248" i="4"/>
  <c r="G248" i="4"/>
  <c r="H248" i="4"/>
  <c r="H247" i="4"/>
  <c r="G247" i="4"/>
  <c r="F247" i="4"/>
  <c r="D247" i="4"/>
  <c r="C247" i="4"/>
  <c r="H246" i="4"/>
  <c r="G246" i="4"/>
  <c r="F246" i="4"/>
  <c r="D246" i="4"/>
  <c r="C246" i="4"/>
  <c r="H245" i="4"/>
  <c r="G245" i="4"/>
  <c r="F245" i="4"/>
  <c r="D245" i="4"/>
  <c r="C245" i="4"/>
  <c r="C243" i="4"/>
  <c r="C244" i="4"/>
  <c r="D243" i="4"/>
  <c r="F243" i="4"/>
  <c r="G243" i="4"/>
  <c r="H243" i="4"/>
  <c r="D244" i="4"/>
  <c r="F244" i="4"/>
  <c r="G244" i="4"/>
  <c r="H244" i="4"/>
  <c r="C242" i="4"/>
  <c r="D242" i="4"/>
  <c r="F242" i="4"/>
  <c r="G242" i="4"/>
  <c r="H242" i="4"/>
  <c r="C235" i="4"/>
  <c r="D235" i="4"/>
  <c r="F235" i="4"/>
  <c r="G235" i="4"/>
  <c r="H235" i="4"/>
  <c r="C236" i="4"/>
  <c r="D236" i="4"/>
  <c r="F236" i="4"/>
  <c r="G236" i="4"/>
  <c r="H236" i="4"/>
  <c r="C237" i="4"/>
  <c r="D237" i="4"/>
  <c r="F237" i="4"/>
  <c r="G237" i="4"/>
  <c r="H237" i="4"/>
  <c r="C238" i="4"/>
  <c r="D238" i="4"/>
  <c r="F238" i="4"/>
  <c r="G238" i="4"/>
  <c r="H238" i="4"/>
  <c r="C239" i="4"/>
  <c r="D239" i="4"/>
  <c r="F239" i="4"/>
  <c r="G239" i="4"/>
  <c r="H239" i="4"/>
  <c r="C240" i="4"/>
  <c r="D240" i="4"/>
  <c r="F240" i="4"/>
  <c r="G240" i="4"/>
  <c r="H240" i="4"/>
  <c r="C241" i="4"/>
  <c r="D241" i="4"/>
  <c r="F241" i="4"/>
  <c r="G241" i="4"/>
  <c r="H241" i="4"/>
  <c r="C234" i="4"/>
  <c r="D234" i="4"/>
  <c r="F234" i="4"/>
  <c r="G234" i="4"/>
  <c r="H234" i="4"/>
  <c r="C233" i="4"/>
  <c r="D233" i="4"/>
  <c r="F233" i="4"/>
  <c r="G233" i="4"/>
  <c r="H233" i="4"/>
  <c r="C232" i="4"/>
  <c r="D232" i="4"/>
  <c r="F232" i="4"/>
  <c r="G232" i="4"/>
  <c r="H232" i="4"/>
  <c r="C231" i="4"/>
  <c r="D231" i="4"/>
  <c r="F231" i="4"/>
  <c r="G231" i="4"/>
  <c r="H231" i="4"/>
  <c r="E53" i="6"/>
  <c r="F53" i="6"/>
  <c r="I53" i="6"/>
  <c r="J53" i="6"/>
  <c r="E54" i="6"/>
  <c r="F54" i="6"/>
  <c r="I54" i="6"/>
  <c r="J54" i="6"/>
  <c r="E55" i="6"/>
  <c r="F55" i="6"/>
  <c r="I55" i="6"/>
  <c r="J55" i="6"/>
  <c r="E56" i="6"/>
  <c r="F56" i="6"/>
  <c r="I56" i="6"/>
  <c r="J56" i="6"/>
  <c r="E57" i="6"/>
  <c r="F57" i="6"/>
  <c r="I57" i="6"/>
  <c r="J57" i="6"/>
  <c r="H230" i="4"/>
  <c r="G230" i="4"/>
  <c r="F230" i="4"/>
  <c r="D230" i="4"/>
  <c r="C230" i="4"/>
  <c r="H229" i="4"/>
  <c r="G229" i="4"/>
  <c r="F229" i="4"/>
  <c r="D229" i="4"/>
  <c r="C229" i="4"/>
  <c r="H228" i="4"/>
  <c r="G228" i="4"/>
  <c r="F228" i="4"/>
  <c r="D228" i="4"/>
  <c r="C228" i="4"/>
  <c r="H227" i="4"/>
  <c r="G227" i="4"/>
  <c r="F227" i="4"/>
  <c r="D227" i="4"/>
  <c r="C227" i="4"/>
  <c r="H226" i="4"/>
  <c r="G226" i="4"/>
  <c r="F226" i="4"/>
  <c r="D226" i="4"/>
  <c r="C226" i="4"/>
  <c r="H225" i="4"/>
  <c r="G225" i="4"/>
  <c r="F225" i="4"/>
  <c r="D225" i="4"/>
  <c r="C225" i="4"/>
  <c r="H224" i="4"/>
  <c r="G224" i="4"/>
  <c r="F224" i="4"/>
  <c r="D224" i="4"/>
  <c r="C224" i="4"/>
  <c r="H223" i="4"/>
  <c r="G223" i="4"/>
  <c r="F223" i="4"/>
  <c r="D223" i="4"/>
  <c r="C223" i="4"/>
  <c r="H222" i="4"/>
  <c r="G222" i="4"/>
  <c r="F222" i="4"/>
  <c r="D222" i="4"/>
  <c r="C222" i="4"/>
  <c r="H221" i="4"/>
  <c r="G221" i="4"/>
  <c r="F221" i="4"/>
  <c r="D221" i="4"/>
  <c r="C221" i="4"/>
  <c r="H220" i="4"/>
  <c r="G220" i="4"/>
  <c r="F220" i="4"/>
  <c r="D220" i="4"/>
  <c r="C220" i="4"/>
  <c r="E14" i="6"/>
  <c r="F14" i="6"/>
  <c r="H14" i="6"/>
  <c r="I14" i="6"/>
  <c r="J14" i="6"/>
  <c r="C219" i="4"/>
  <c r="D219" i="4"/>
  <c r="F219" i="4"/>
  <c r="G219" i="4"/>
  <c r="H219" i="4"/>
  <c r="C218" i="4"/>
  <c r="D218" i="4"/>
  <c r="F218" i="4"/>
  <c r="G218" i="4"/>
  <c r="H218" i="4"/>
  <c r="C217" i="4"/>
  <c r="D217" i="4"/>
  <c r="F217" i="4"/>
  <c r="G217" i="4"/>
  <c r="H217" i="4"/>
  <c r="C216" i="4"/>
  <c r="D216" i="4"/>
  <c r="F216" i="4"/>
  <c r="G216" i="4"/>
  <c r="H216" i="4"/>
  <c r="C215" i="4"/>
  <c r="D215" i="4"/>
  <c r="F215" i="4"/>
  <c r="G215" i="4"/>
  <c r="H215" i="4"/>
  <c r="C214" i="4"/>
  <c r="D214" i="4"/>
  <c r="F214" i="4"/>
  <c r="G214" i="4"/>
  <c r="H214" i="4"/>
  <c r="C213" i="4"/>
  <c r="D213" i="4"/>
  <c r="F213" i="4"/>
  <c r="G213" i="4"/>
  <c r="H213" i="4"/>
  <c r="C212" i="4"/>
  <c r="D212" i="4"/>
  <c r="F212" i="4"/>
  <c r="G212" i="4"/>
  <c r="H212" i="4"/>
  <c r="K209" i="4"/>
  <c r="K210" i="4" s="1"/>
  <c r="E52" i="6"/>
  <c r="F52" i="6"/>
  <c r="I52" i="6"/>
  <c r="J52" i="6"/>
  <c r="K205" i="4"/>
  <c r="J205" i="4"/>
  <c r="I205" i="4"/>
  <c r="C210" i="4"/>
  <c r="D210" i="4"/>
  <c r="F210" i="4"/>
  <c r="G210" i="4"/>
  <c r="H210" i="4"/>
  <c r="C209" i="4"/>
  <c r="D209" i="4"/>
  <c r="F209" i="4"/>
  <c r="G209" i="4"/>
  <c r="H209" i="4"/>
  <c r="C208" i="4"/>
  <c r="D208" i="4"/>
  <c r="F208" i="4"/>
  <c r="G208" i="4"/>
  <c r="H208" i="4"/>
  <c r="C207" i="4"/>
  <c r="D207" i="4"/>
  <c r="F207" i="4"/>
  <c r="G207" i="4"/>
  <c r="H207" i="4"/>
  <c r="C206" i="4"/>
  <c r="D206" i="4"/>
  <c r="F206" i="4"/>
  <c r="G206" i="4"/>
  <c r="H206" i="4"/>
  <c r="K203" i="4"/>
  <c r="E266" i="4" l="1"/>
  <c r="E264" i="4"/>
  <c r="E265" i="4"/>
  <c r="E258" i="4"/>
  <c r="E259" i="4"/>
  <c r="E260" i="4"/>
  <c r="E255" i="4"/>
  <c r="E261" i="4"/>
  <c r="E257" i="4"/>
  <c r="E262" i="4"/>
  <c r="E254" i="4"/>
  <c r="E252" i="4"/>
  <c r="E256" i="4"/>
  <c r="E253" i="4"/>
  <c r="E251" i="4"/>
  <c r="E246" i="4"/>
  <c r="E249" i="4"/>
  <c r="E250" i="4"/>
  <c r="E248" i="4"/>
  <c r="E245" i="4"/>
  <c r="E247" i="4"/>
  <c r="E243" i="4"/>
  <c r="E244" i="4"/>
  <c r="E235" i="4"/>
  <c r="E220" i="4"/>
  <c r="E234" i="4"/>
  <c r="E242" i="4"/>
  <c r="E238" i="4"/>
  <c r="E240" i="4"/>
  <c r="E241" i="4"/>
  <c r="E236" i="4"/>
  <c r="E239" i="4"/>
  <c r="E237" i="4"/>
  <c r="E219" i="4"/>
  <c r="E227" i="4"/>
  <c r="E233" i="4"/>
  <c r="E228" i="4"/>
  <c r="E224" i="4"/>
  <c r="E217" i="4"/>
  <c r="E232" i="4"/>
  <c r="E223" i="4"/>
  <c r="E231" i="4"/>
  <c r="E226" i="4"/>
  <c r="E230" i="4"/>
  <c r="E214" i="4"/>
  <c r="E215" i="4"/>
  <c r="E216" i="4"/>
  <c r="E218" i="4"/>
  <c r="E229" i="4"/>
  <c r="E225" i="4"/>
  <c r="E221" i="4"/>
  <c r="E222" i="4"/>
  <c r="E212" i="4"/>
  <c r="E213" i="4"/>
  <c r="E209" i="4"/>
  <c r="E210" i="4"/>
  <c r="E208" i="4"/>
  <c r="E207" i="4"/>
  <c r="E206" i="4"/>
  <c r="H205" i="4"/>
  <c r="G205" i="4"/>
  <c r="F205" i="4"/>
  <c r="D205" i="4"/>
  <c r="C205" i="4"/>
  <c r="H204" i="4"/>
  <c r="G204" i="4"/>
  <c r="F204" i="4"/>
  <c r="D204" i="4"/>
  <c r="C204" i="4"/>
  <c r="H203" i="4"/>
  <c r="G203" i="4"/>
  <c r="F203" i="4"/>
  <c r="D203" i="4"/>
  <c r="C203" i="4"/>
  <c r="H202" i="4"/>
  <c r="G202" i="4"/>
  <c r="F202" i="4"/>
  <c r="D202" i="4"/>
  <c r="C202" i="4"/>
  <c r="H201" i="4"/>
  <c r="G201" i="4"/>
  <c r="F201" i="4"/>
  <c r="D201" i="4"/>
  <c r="C201" i="4"/>
  <c r="C192" i="4"/>
  <c r="C200" i="4"/>
  <c r="D200" i="4"/>
  <c r="F200" i="4"/>
  <c r="G200" i="4"/>
  <c r="H200" i="4"/>
  <c r="C199" i="4"/>
  <c r="D199" i="4"/>
  <c r="F199" i="4"/>
  <c r="G199" i="4"/>
  <c r="H199" i="4"/>
  <c r="C198" i="4"/>
  <c r="D198" i="4"/>
  <c r="F198" i="4"/>
  <c r="G198" i="4"/>
  <c r="H198" i="4"/>
  <c r="C197" i="4"/>
  <c r="D197" i="4"/>
  <c r="F197" i="4"/>
  <c r="G197" i="4"/>
  <c r="H197" i="4"/>
  <c r="C196" i="4"/>
  <c r="D196" i="4"/>
  <c r="F196" i="4"/>
  <c r="G196" i="4"/>
  <c r="H196" i="4"/>
  <c r="C195" i="4"/>
  <c r="D195" i="4"/>
  <c r="F195" i="4"/>
  <c r="G195" i="4"/>
  <c r="H195" i="4"/>
  <c r="C194" i="4"/>
  <c r="D194" i="4"/>
  <c r="F194" i="4"/>
  <c r="G194" i="4"/>
  <c r="H194" i="4"/>
  <c r="C193" i="4"/>
  <c r="D193" i="4"/>
  <c r="F193" i="4"/>
  <c r="G193" i="4"/>
  <c r="H193" i="4"/>
  <c r="D192" i="4"/>
  <c r="F192" i="4"/>
  <c r="G192" i="4"/>
  <c r="H192" i="4"/>
  <c r="I51" i="6"/>
  <c r="J51" i="6"/>
  <c r="E51" i="6"/>
  <c r="F51" i="6"/>
  <c r="L170" i="4"/>
  <c r="J170" i="4"/>
  <c r="I170" i="4"/>
  <c r="K168" i="4"/>
  <c r="K169" i="4" s="1"/>
  <c r="K170" i="4" s="1"/>
  <c r="J168" i="4"/>
  <c r="I168" i="4"/>
  <c r="C191" i="4"/>
  <c r="D191" i="4"/>
  <c r="F191" i="4"/>
  <c r="G191" i="4"/>
  <c r="H191" i="4"/>
  <c r="C190" i="4"/>
  <c r="D190" i="4"/>
  <c r="F190" i="4"/>
  <c r="G190" i="4"/>
  <c r="H190" i="4"/>
  <c r="C189" i="4"/>
  <c r="D189" i="4"/>
  <c r="F189" i="4"/>
  <c r="G189" i="4"/>
  <c r="H189" i="4"/>
  <c r="C166" i="4"/>
  <c r="D166" i="4"/>
  <c r="F166" i="4"/>
  <c r="G166" i="4"/>
  <c r="H166" i="4"/>
  <c r="C165" i="4"/>
  <c r="D165" i="4"/>
  <c r="F165" i="4"/>
  <c r="G165" i="4"/>
  <c r="H165" i="4"/>
  <c r="C170" i="4"/>
  <c r="D170" i="4"/>
  <c r="F170" i="4"/>
  <c r="G170" i="4"/>
  <c r="H170" i="4"/>
  <c r="C169" i="4"/>
  <c r="D169" i="4"/>
  <c r="F169" i="4"/>
  <c r="G169" i="4"/>
  <c r="H169" i="4"/>
  <c r="C168" i="4"/>
  <c r="D168" i="4"/>
  <c r="F168" i="4"/>
  <c r="G168" i="4"/>
  <c r="H168" i="4"/>
  <c r="C167" i="4"/>
  <c r="D167" i="4"/>
  <c r="F167" i="4"/>
  <c r="G167" i="4"/>
  <c r="H167" i="4"/>
  <c r="C164" i="4"/>
  <c r="D164" i="4"/>
  <c r="F164" i="4"/>
  <c r="G164" i="4"/>
  <c r="H164" i="4"/>
  <c r="J161" i="4"/>
  <c r="J162" i="4" s="1"/>
  <c r="K161" i="4"/>
  <c r="K162" i="4" s="1"/>
  <c r="C163" i="4"/>
  <c r="D163" i="4"/>
  <c r="F163" i="4"/>
  <c r="G163" i="4"/>
  <c r="H163" i="4"/>
  <c r="C153" i="4"/>
  <c r="D153" i="4"/>
  <c r="F153" i="4"/>
  <c r="G153" i="4"/>
  <c r="H153" i="4"/>
  <c r="C152" i="4"/>
  <c r="D152" i="4"/>
  <c r="F152" i="4"/>
  <c r="G152" i="4"/>
  <c r="H152" i="4"/>
  <c r="C160" i="4"/>
  <c r="D160" i="4"/>
  <c r="F160" i="4"/>
  <c r="G160" i="4"/>
  <c r="H160" i="4"/>
  <c r="C151" i="4"/>
  <c r="D151" i="4"/>
  <c r="F151" i="4"/>
  <c r="G151" i="4"/>
  <c r="H151" i="4"/>
  <c r="C162" i="4"/>
  <c r="D162" i="4"/>
  <c r="F162" i="4"/>
  <c r="G162" i="4"/>
  <c r="H162" i="4"/>
  <c r="C161" i="4"/>
  <c r="D161" i="4"/>
  <c r="F161" i="4"/>
  <c r="G161" i="4"/>
  <c r="H161" i="4"/>
  <c r="C157" i="4"/>
  <c r="C159" i="4"/>
  <c r="D159" i="4"/>
  <c r="F159" i="4"/>
  <c r="G159" i="4"/>
  <c r="H159" i="4"/>
  <c r="C158" i="4"/>
  <c r="D158" i="4"/>
  <c r="F158" i="4"/>
  <c r="G158" i="4"/>
  <c r="H158" i="4"/>
  <c r="D157" i="4"/>
  <c r="F157" i="4"/>
  <c r="G157" i="4"/>
  <c r="H157" i="4"/>
  <c r="K156" i="4"/>
  <c r="J156" i="4"/>
  <c r="I156" i="4"/>
  <c r="I157" i="4" s="1"/>
  <c r="I158" i="4" s="1"/>
  <c r="I159" i="4" s="1"/>
  <c r="I161" i="4" s="1"/>
  <c r="I162" i="4" s="1"/>
  <c r="I151" i="4" s="1"/>
  <c r="C156" i="4"/>
  <c r="D156" i="4"/>
  <c r="F156" i="4"/>
  <c r="G156" i="4"/>
  <c r="H156" i="4"/>
  <c r="C155" i="4"/>
  <c r="D155" i="4"/>
  <c r="F155" i="4"/>
  <c r="G155" i="4"/>
  <c r="H155" i="4"/>
  <c r="I154" i="4"/>
  <c r="C154" i="4"/>
  <c r="D154" i="4"/>
  <c r="F154" i="4"/>
  <c r="G154" i="4"/>
  <c r="H154" i="4"/>
  <c r="C145" i="4"/>
  <c r="D145" i="4"/>
  <c r="F145" i="4"/>
  <c r="G145" i="4"/>
  <c r="H145" i="4"/>
  <c r="E202" i="4" l="1"/>
  <c r="E204" i="4"/>
  <c r="E203" i="4"/>
  <c r="E201" i="4"/>
  <c r="E205" i="4"/>
  <c r="E192" i="4"/>
  <c r="E200" i="4"/>
  <c r="E193" i="4"/>
  <c r="E198" i="4"/>
  <c r="E197" i="4"/>
  <c r="E194" i="4"/>
  <c r="E196" i="4"/>
  <c r="E199" i="4"/>
  <c r="E195" i="4"/>
  <c r="E191" i="4"/>
  <c r="E162" i="4"/>
  <c r="E163" i="4"/>
  <c r="E168" i="4"/>
  <c r="E161" i="4"/>
  <c r="E151" i="4"/>
  <c r="E152" i="4"/>
  <c r="E169" i="4"/>
  <c r="E160" i="4"/>
  <c r="E190" i="4"/>
  <c r="E153" i="4"/>
  <c r="E189" i="4"/>
  <c r="E167" i="4"/>
  <c r="E166" i="4"/>
  <c r="E170" i="4"/>
  <c r="E164" i="4"/>
  <c r="E165" i="4"/>
  <c r="E156" i="4"/>
  <c r="E159" i="4"/>
  <c r="E158" i="4"/>
  <c r="E155" i="4"/>
  <c r="E157" i="4"/>
  <c r="E154" i="4"/>
  <c r="E145" i="4"/>
  <c r="C150" i="4" l="1"/>
  <c r="D150" i="4"/>
  <c r="F150" i="4"/>
  <c r="G150" i="4"/>
  <c r="H150" i="4"/>
  <c r="C149" i="4"/>
  <c r="D149" i="4"/>
  <c r="F149" i="4"/>
  <c r="G149" i="4"/>
  <c r="H149" i="4"/>
  <c r="C148" i="4"/>
  <c r="D148" i="4"/>
  <c r="F148" i="4"/>
  <c r="G148" i="4"/>
  <c r="H148" i="4"/>
  <c r="C147" i="4"/>
  <c r="D147" i="4"/>
  <c r="F147" i="4"/>
  <c r="G147" i="4"/>
  <c r="H147" i="4"/>
  <c r="F142" i="4"/>
  <c r="F143" i="4"/>
  <c r="F144" i="4"/>
  <c r="F146" i="4"/>
  <c r="C146" i="4"/>
  <c r="D146" i="4"/>
  <c r="G146" i="4"/>
  <c r="H146" i="4"/>
  <c r="C144" i="4"/>
  <c r="D144" i="4"/>
  <c r="G144" i="4"/>
  <c r="H144" i="4"/>
  <c r="C143" i="4"/>
  <c r="D143" i="4"/>
  <c r="G143" i="4"/>
  <c r="H143" i="4"/>
  <c r="C142" i="4"/>
  <c r="D142" i="4"/>
  <c r="G142" i="4"/>
  <c r="H142" i="4"/>
  <c r="E49" i="6"/>
  <c r="F49" i="6"/>
  <c r="I49" i="6"/>
  <c r="J49" i="6"/>
  <c r="E48" i="6"/>
  <c r="F48" i="6"/>
  <c r="I48" i="6"/>
  <c r="J48" i="6"/>
  <c r="C141" i="4"/>
  <c r="D141" i="4"/>
  <c r="F141" i="4"/>
  <c r="G141" i="4"/>
  <c r="H141" i="4"/>
  <c r="E46" i="6"/>
  <c r="F46" i="6"/>
  <c r="I46" i="6"/>
  <c r="J46" i="6"/>
  <c r="E47" i="6"/>
  <c r="F47" i="6"/>
  <c r="I47" i="6"/>
  <c r="J47" i="6"/>
  <c r="C140" i="4"/>
  <c r="D140" i="4"/>
  <c r="F140" i="4"/>
  <c r="G140" i="4"/>
  <c r="H140" i="4"/>
  <c r="E149" i="4" l="1"/>
  <c r="E150" i="4"/>
  <c r="E142" i="4"/>
  <c r="E146" i="4"/>
  <c r="E144" i="4"/>
  <c r="E143" i="4"/>
  <c r="E148" i="4"/>
  <c r="E147" i="4"/>
  <c r="E141" i="4"/>
  <c r="E140" i="4"/>
  <c r="E40" i="6"/>
  <c r="F40" i="6"/>
  <c r="I40" i="6"/>
  <c r="J40" i="6"/>
  <c r="E41" i="6"/>
  <c r="F41" i="6"/>
  <c r="I41" i="6"/>
  <c r="J41" i="6"/>
  <c r="E42" i="6"/>
  <c r="F42" i="6"/>
  <c r="I42" i="6"/>
  <c r="J42" i="6"/>
  <c r="E43" i="6"/>
  <c r="F43" i="6"/>
  <c r="I43" i="6"/>
  <c r="J43" i="6"/>
  <c r="E44" i="6"/>
  <c r="F44" i="6"/>
  <c r="I44" i="6"/>
  <c r="J44" i="6"/>
  <c r="E45" i="6"/>
  <c r="F45" i="6"/>
  <c r="I45" i="6"/>
  <c r="J45" i="6"/>
  <c r="E37" i="6" l="1"/>
  <c r="F37" i="6"/>
  <c r="I37" i="6"/>
  <c r="J37" i="6"/>
  <c r="E38" i="6"/>
  <c r="F38" i="6"/>
  <c r="I38" i="6"/>
  <c r="J38" i="6"/>
  <c r="E39" i="6"/>
  <c r="F39" i="6"/>
  <c r="I39" i="6"/>
  <c r="J39" i="6"/>
  <c r="C139" i="4"/>
  <c r="D139" i="4"/>
  <c r="F139" i="4"/>
  <c r="G139" i="4"/>
  <c r="H139" i="4"/>
  <c r="C138" i="4"/>
  <c r="D138" i="4"/>
  <c r="F138" i="4"/>
  <c r="G138" i="4"/>
  <c r="H138" i="4"/>
  <c r="C137" i="4"/>
  <c r="D137" i="4"/>
  <c r="F137" i="4"/>
  <c r="G137" i="4"/>
  <c r="H137" i="4"/>
  <c r="C136" i="4"/>
  <c r="D136" i="4"/>
  <c r="F136" i="4"/>
  <c r="G136" i="4"/>
  <c r="H136" i="4"/>
  <c r="C135" i="4"/>
  <c r="D135" i="4"/>
  <c r="F135" i="4"/>
  <c r="G135" i="4"/>
  <c r="H135" i="4"/>
  <c r="C134" i="4"/>
  <c r="D134" i="4"/>
  <c r="F134" i="4"/>
  <c r="G134" i="4"/>
  <c r="H134" i="4"/>
  <c r="C132" i="4"/>
  <c r="D132" i="4"/>
  <c r="F132" i="4"/>
  <c r="G132" i="4"/>
  <c r="H132" i="4"/>
  <c r="C131" i="4"/>
  <c r="D131" i="4"/>
  <c r="F131" i="4"/>
  <c r="G131" i="4"/>
  <c r="H131" i="4"/>
  <c r="C133" i="4"/>
  <c r="D133" i="4"/>
  <c r="F133" i="4"/>
  <c r="G133" i="4"/>
  <c r="H133" i="4"/>
  <c r="C130" i="4"/>
  <c r="D130" i="4"/>
  <c r="G130" i="4"/>
  <c r="H130" i="4"/>
  <c r="E137" i="4" l="1"/>
  <c r="E139" i="4"/>
  <c r="E138" i="4"/>
  <c r="E136" i="4"/>
  <c r="E135" i="4"/>
  <c r="E134" i="4"/>
  <c r="E131" i="4"/>
  <c r="E132" i="4"/>
  <c r="E133" i="4"/>
  <c r="E130" i="4"/>
  <c r="F36" i="6"/>
  <c r="I36" i="6"/>
  <c r="J36" i="6"/>
  <c r="E36" i="6"/>
  <c r="H129" i="4"/>
  <c r="G129" i="4"/>
  <c r="D129" i="4"/>
  <c r="C129" i="4"/>
  <c r="H128" i="4"/>
  <c r="G128" i="4"/>
  <c r="D128" i="4"/>
  <c r="C128" i="4"/>
  <c r="H126" i="4"/>
  <c r="C126" i="4"/>
  <c r="D126" i="4"/>
  <c r="F126" i="4"/>
  <c r="G126" i="4"/>
  <c r="C125" i="4"/>
  <c r="D125" i="4"/>
  <c r="F125" i="4"/>
  <c r="G125" i="4"/>
  <c r="H125" i="4"/>
  <c r="C124" i="4"/>
  <c r="D124" i="4"/>
  <c r="F124" i="4"/>
  <c r="G124" i="4"/>
  <c r="H124" i="4"/>
  <c r="C123" i="4"/>
  <c r="D123" i="4"/>
  <c r="F123" i="4"/>
  <c r="G123" i="4"/>
  <c r="H123" i="4"/>
  <c r="C122" i="4"/>
  <c r="D122" i="4"/>
  <c r="F122" i="4"/>
  <c r="G122" i="4"/>
  <c r="H122" i="4"/>
  <c r="C113" i="4"/>
  <c r="D113" i="4"/>
  <c r="F113" i="4"/>
  <c r="G113" i="4"/>
  <c r="H113" i="4"/>
  <c r="C112" i="4"/>
  <c r="D112" i="4"/>
  <c r="F112" i="4"/>
  <c r="G112" i="4"/>
  <c r="H112" i="4"/>
  <c r="C111" i="4"/>
  <c r="D111" i="4"/>
  <c r="F111" i="4"/>
  <c r="G111" i="4"/>
  <c r="H111" i="4"/>
  <c r="C110" i="4"/>
  <c r="D110" i="4"/>
  <c r="F110" i="4"/>
  <c r="G110" i="4"/>
  <c r="H110" i="4"/>
  <c r="C109" i="4"/>
  <c r="D109" i="4"/>
  <c r="F109" i="4"/>
  <c r="G109" i="4"/>
  <c r="H109" i="4"/>
  <c r="C121" i="4"/>
  <c r="D121" i="4"/>
  <c r="F121" i="4"/>
  <c r="G121" i="4"/>
  <c r="H121" i="4"/>
  <c r="C120" i="4"/>
  <c r="D120" i="4"/>
  <c r="F120" i="4"/>
  <c r="G120" i="4"/>
  <c r="H120" i="4"/>
  <c r="C119" i="4"/>
  <c r="D119" i="4"/>
  <c r="F119" i="4"/>
  <c r="G119" i="4"/>
  <c r="H119" i="4"/>
  <c r="C118" i="4"/>
  <c r="D118" i="4"/>
  <c r="F118" i="4"/>
  <c r="G118" i="4"/>
  <c r="H118" i="4"/>
  <c r="C108" i="4"/>
  <c r="D108" i="4"/>
  <c r="F108" i="4"/>
  <c r="G108" i="4"/>
  <c r="H108" i="4"/>
  <c r="C107" i="4"/>
  <c r="D107" i="4"/>
  <c r="F107" i="4"/>
  <c r="G107" i="4"/>
  <c r="H107" i="4"/>
  <c r="H127" i="4"/>
  <c r="G127" i="4"/>
  <c r="F127" i="4"/>
  <c r="D127" i="4"/>
  <c r="C127" i="4"/>
  <c r="C117" i="4"/>
  <c r="D117" i="4"/>
  <c r="F117" i="4"/>
  <c r="G117" i="4"/>
  <c r="H117" i="4"/>
  <c r="C116" i="4"/>
  <c r="D116" i="4"/>
  <c r="F116" i="4"/>
  <c r="G116" i="4"/>
  <c r="H116" i="4"/>
  <c r="E35" i="6"/>
  <c r="F35" i="6"/>
  <c r="I35" i="6"/>
  <c r="J35" i="6"/>
  <c r="K106" i="4"/>
  <c r="C106" i="4"/>
  <c r="D106" i="4"/>
  <c r="F106" i="4"/>
  <c r="G106" i="4"/>
  <c r="H106" i="4"/>
  <c r="C105" i="4"/>
  <c r="D105" i="4"/>
  <c r="F105" i="4"/>
  <c r="G105" i="4"/>
  <c r="H105" i="4"/>
  <c r="C115" i="4"/>
  <c r="D115" i="4"/>
  <c r="F115" i="4"/>
  <c r="G115" i="4"/>
  <c r="H115" i="4"/>
  <c r="C114" i="4"/>
  <c r="D114" i="4"/>
  <c r="F114" i="4"/>
  <c r="G114" i="4"/>
  <c r="H114" i="4"/>
  <c r="C104" i="4"/>
  <c r="D104" i="4"/>
  <c r="F104" i="4"/>
  <c r="G104" i="4"/>
  <c r="H104" i="4"/>
  <c r="K103" i="4"/>
  <c r="K104" i="4" s="1"/>
  <c r="C103" i="4"/>
  <c r="D103" i="4"/>
  <c r="F103" i="4"/>
  <c r="G103" i="4"/>
  <c r="H103" i="4"/>
  <c r="I100" i="4"/>
  <c r="I101" i="4" s="1"/>
  <c r="I102" i="4" s="1"/>
  <c r="I103" i="4" s="1"/>
  <c r="I104" i="4" s="1"/>
  <c r="I105" i="4" s="1"/>
  <c r="I106" i="4" s="1"/>
  <c r="C102" i="4"/>
  <c r="D102" i="4"/>
  <c r="F102" i="4"/>
  <c r="G102" i="4"/>
  <c r="H102" i="4"/>
  <c r="C101" i="4"/>
  <c r="D101" i="4"/>
  <c r="F101" i="4"/>
  <c r="G101" i="4"/>
  <c r="H101" i="4"/>
  <c r="C100" i="4"/>
  <c r="D100" i="4"/>
  <c r="F100" i="4"/>
  <c r="G100" i="4"/>
  <c r="H100" i="4"/>
  <c r="E128" i="4" l="1"/>
  <c r="E129" i="4"/>
  <c r="E126" i="4"/>
  <c r="E125" i="4"/>
  <c r="E124" i="4"/>
  <c r="E123" i="4"/>
  <c r="E122" i="4"/>
  <c r="E113" i="4"/>
  <c r="E111" i="4"/>
  <c r="E112" i="4"/>
  <c r="E110" i="4"/>
  <c r="E109" i="4"/>
  <c r="E121" i="4"/>
  <c r="E120" i="4"/>
  <c r="E117" i="4"/>
  <c r="E119" i="4"/>
  <c r="E127" i="4"/>
  <c r="E118" i="4"/>
  <c r="E108" i="4"/>
  <c r="E116" i="4"/>
  <c r="E107" i="4"/>
  <c r="E101" i="4"/>
  <c r="E106" i="4"/>
  <c r="E105" i="4"/>
  <c r="E103" i="4"/>
  <c r="E115" i="4"/>
  <c r="E114" i="4"/>
  <c r="E100" i="4"/>
  <c r="E104" i="4"/>
  <c r="E102" i="4"/>
  <c r="E34" i="6"/>
  <c r="F34" i="6"/>
  <c r="H34" i="6"/>
  <c r="I34" i="6"/>
  <c r="J34" i="6"/>
  <c r="C99" i="4"/>
  <c r="D99" i="4"/>
  <c r="F99" i="4"/>
  <c r="G99" i="4"/>
  <c r="H99" i="4"/>
  <c r="C98" i="4"/>
  <c r="D98" i="4"/>
  <c r="F98" i="4"/>
  <c r="G98" i="4"/>
  <c r="H98" i="4"/>
  <c r="C97" i="4"/>
  <c r="D97" i="4"/>
  <c r="F97" i="4"/>
  <c r="G97" i="4"/>
  <c r="H97" i="4"/>
  <c r="C96" i="4"/>
  <c r="D96" i="4"/>
  <c r="F96" i="4"/>
  <c r="G96" i="4"/>
  <c r="H96" i="4"/>
  <c r="E33" i="6"/>
  <c r="F33" i="6"/>
  <c r="H33" i="6"/>
  <c r="I33" i="6"/>
  <c r="J33" i="6"/>
  <c r="C92" i="4"/>
  <c r="D92" i="4"/>
  <c r="F92" i="4"/>
  <c r="G92" i="4"/>
  <c r="H92" i="4"/>
  <c r="C91" i="4"/>
  <c r="D91" i="4"/>
  <c r="F91" i="4"/>
  <c r="G91" i="4"/>
  <c r="H91" i="4"/>
  <c r="C95" i="4"/>
  <c r="D95" i="4"/>
  <c r="F95" i="4"/>
  <c r="G95" i="4"/>
  <c r="H95" i="4"/>
  <c r="C94" i="4"/>
  <c r="D94" i="4"/>
  <c r="F94" i="4"/>
  <c r="G94" i="4"/>
  <c r="H94" i="4"/>
  <c r="C90" i="4"/>
  <c r="D90" i="4"/>
  <c r="F90" i="4"/>
  <c r="G90" i="4"/>
  <c r="H90" i="4"/>
  <c r="C89" i="4"/>
  <c r="D89" i="4"/>
  <c r="F89" i="4"/>
  <c r="G89" i="4"/>
  <c r="H89" i="4"/>
  <c r="C93" i="4"/>
  <c r="D93" i="4"/>
  <c r="F93" i="4"/>
  <c r="G93" i="4"/>
  <c r="H93" i="4"/>
  <c r="E50" i="6"/>
  <c r="F50" i="6"/>
  <c r="H50" i="6"/>
  <c r="I50" i="6"/>
  <c r="J50" i="6"/>
  <c r="E32" i="6"/>
  <c r="F32" i="6"/>
  <c r="H32" i="6"/>
  <c r="I32" i="6"/>
  <c r="J32" i="6"/>
  <c r="C84" i="4"/>
  <c r="D84" i="4"/>
  <c r="F84" i="4"/>
  <c r="G84" i="4"/>
  <c r="H84" i="4"/>
  <c r="C83" i="4"/>
  <c r="D83" i="4"/>
  <c r="F83" i="4"/>
  <c r="G83" i="4"/>
  <c r="H83" i="4"/>
  <c r="C82" i="4"/>
  <c r="D82" i="4"/>
  <c r="F82" i="4"/>
  <c r="G82" i="4"/>
  <c r="H82" i="4"/>
  <c r="C78" i="4"/>
  <c r="D78" i="4"/>
  <c r="F78" i="4"/>
  <c r="G78" i="4"/>
  <c r="H78" i="4"/>
  <c r="C88" i="4"/>
  <c r="D88" i="4"/>
  <c r="F88" i="4"/>
  <c r="G88" i="4"/>
  <c r="H88" i="4"/>
  <c r="C87" i="4"/>
  <c r="D87" i="4"/>
  <c r="F87" i="4"/>
  <c r="G87" i="4"/>
  <c r="H87" i="4"/>
  <c r="C86" i="4"/>
  <c r="D86" i="4"/>
  <c r="F86" i="4"/>
  <c r="G86" i="4"/>
  <c r="H86" i="4"/>
  <c r="C85" i="4"/>
  <c r="D85" i="4"/>
  <c r="F85" i="4"/>
  <c r="G85" i="4"/>
  <c r="H85" i="4"/>
  <c r="H67" i="4"/>
  <c r="G67" i="4"/>
  <c r="F67" i="4"/>
  <c r="D67" i="4"/>
  <c r="C66" i="4"/>
  <c r="D66" i="4"/>
  <c r="F66" i="4"/>
  <c r="G66" i="4"/>
  <c r="H66" i="4"/>
  <c r="H65" i="4"/>
  <c r="G65" i="4"/>
  <c r="F65" i="4"/>
  <c r="D65" i="4"/>
  <c r="E65" i="4" s="1"/>
  <c r="H64" i="4"/>
  <c r="G64" i="4"/>
  <c r="F64" i="4"/>
  <c r="D64" i="4"/>
  <c r="E64" i="4" s="1"/>
  <c r="H63" i="4"/>
  <c r="G63" i="4"/>
  <c r="F63" i="4"/>
  <c r="D63" i="4"/>
  <c r="E63" i="4" s="1"/>
  <c r="E2" i="5"/>
  <c r="E3" i="5"/>
  <c r="E4" i="5"/>
  <c r="E5" i="5"/>
  <c r="E6" i="5"/>
  <c r="E7" i="5"/>
  <c r="E8" i="5"/>
  <c r="E9" i="5"/>
  <c r="C81" i="4"/>
  <c r="D81" i="4"/>
  <c r="F81" i="4"/>
  <c r="G81" i="4"/>
  <c r="H81" i="4"/>
  <c r="C80" i="4"/>
  <c r="D80" i="4"/>
  <c r="F80" i="4"/>
  <c r="G80" i="4"/>
  <c r="H80" i="4"/>
  <c r="C79" i="4"/>
  <c r="D79" i="4"/>
  <c r="F79" i="4"/>
  <c r="G79" i="4"/>
  <c r="H79" i="4"/>
  <c r="C75" i="4"/>
  <c r="D75" i="4"/>
  <c r="F75" i="4"/>
  <c r="G75" i="4"/>
  <c r="H75" i="4"/>
  <c r="C74" i="4"/>
  <c r="D74" i="4"/>
  <c r="F74" i="4"/>
  <c r="G74" i="4"/>
  <c r="H74" i="4"/>
  <c r="C77" i="4"/>
  <c r="D77" i="4"/>
  <c r="F77" i="4"/>
  <c r="G77" i="4"/>
  <c r="H77" i="4"/>
  <c r="C73" i="4"/>
  <c r="D73" i="4"/>
  <c r="F73" i="4"/>
  <c r="G73" i="4"/>
  <c r="H73" i="4"/>
  <c r="C72" i="4"/>
  <c r="D72" i="4"/>
  <c r="F72" i="4"/>
  <c r="G72" i="4"/>
  <c r="H72" i="4"/>
  <c r="C71" i="4"/>
  <c r="D71" i="4"/>
  <c r="F71" i="4"/>
  <c r="G71" i="4"/>
  <c r="H71" i="4"/>
  <c r="C15" i="4"/>
  <c r="C10" i="4"/>
  <c r="C14" i="4"/>
  <c r="C26" i="4"/>
  <c r="D15" i="4"/>
  <c r="D10" i="4"/>
  <c r="D14" i="4"/>
  <c r="D26" i="4"/>
  <c r="F15" i="4"/>
  <c r="F10" i="4"/>
  <c r="F14" i="4"/>
  <c r="F26" i="4"/>
  <c r="G15" i="4"/>
  <c r="G10" i="4"/>
  <c r="G14" i="4"/>
  <c r="G26" i="4"/>
  <c r="H15" i="4"/>
  <c r="H10" i="4"/>
  <c r="H14" i="4"/>
  <c r="H26" i="4"/>
  <c r="C16" i="4"/>
  <c r="C9" i="4"/>
  <c r="D16" i="4"/>
  <c r="D9" i="4"/>
  <c r="F16" i="4"/>
  <c r="F9" i="4"/>
  <c r="G16" i="4"/>
  <c r="G9" i="4"/>
  <c r="H16" i="4"/>
  <c r="H9" i="4"/>
  <c r="C2" i="4"/>
  <c r="D2" i="4"/>
  <c r="F2" i="4"/>
  <c r="G2" i="4"/>
  <c r="H2" i="4"/>
  <c r="C17" i="4"/>
  <c r="D17" i="4"/>
  <c r="F17" i="4"/>
  <c r="G17" i="4"/>
  <c r="H17" i="4"/>
  <c r="C21" i="4"/>
  <c r="C4" i="4"/>
  <c r="C173" i="4"/>
  <c r="C174" i="4"/>
  <c r="D21" i="4"/>
  <c r="D4" i="4"/>
  <c r="D173" i="4"/>
  <c r="D174" i="4"/>
  <c r="F21" i="4"/>
  <c r="F4" i="4"/>
  <c r="F173" i="4"/>
  <c r="F174" i="4"/>
  <c r="G21" i="4"/>
  <c r="G4" i="4"/>
  <c r="G173" i="4"/>
  <c r="G174" i="4"/>
  <c r="H21" i="4"/>
  <c r="H4" i="4"/>
  <c r="H173" i="4"/>
  <c r="H174" i="4"/>
  <c r="C5" i="4"/>
  <c r="D5" i="4"/>
  <c r="F5" i="4"/>
  <c r="G5" i="4"/>
  <c r="H5" i="4"/>
  <c r="C6" i="4"/>
  <c r="D6" i="4"/>
  <c r="F6" i="4"/>
  <c r="G6" i="4"/>
  <c r="H6" i="4"/>
  <c r="C27" i="4"/>
  <c r="D27" i="4"/>
  <c r="F27" i="4"/>
  <c r="G27" i="4"/>
  <c r="H27" i="4"/>
  <c r="C18" i="4"/>
  <c r="D18" i="4"/>
  <c r="F18" i="4"/>
  <c r="G18" i="4"/>
  <c r="H18" i="4"/>
  <c r="C3" i="4"/>
  <c r="C12" i="4"/>
  <c r="C11" i="4"/>
  <c r="C22" i="4"/>
  <c r="D3" i="4"/>
  <c r="D12" i="4"/>
  <c r="D11" i="4"/>
  <c r="D22" i="4"/>
  <c r="F3" i="4"/>
  <c r="F12" i="4"/>
  <c r="F11" i="4"/>
  <c r="F22" i="4"/>
  <c r="G3" i="4"/>
  <c r="G12" i="4"/>
  <c r="G11" i="4"/>
  <c r="G22" i="4"/>
  <c r="H3" i="4"/>
  <c r="H12" i="4"/>
  <c r="H11" i="4"/>
  <c r="H22" i="4"/>
  <c r="C23" i="4"/>
  <c r="C8" i="4"/>
  <c r="D23" i="4"/>
  <c r="D8" i="4"/>
  <c r="F23" i="4"/>
  <c r="F8" i="4"/>
  <c r="G23" i="4"/>
  <c r="G8" i="4"/>
  <c r="H23" i="4"/>
  <c r="H8" i="4"/>
  <c r="C28" i="4"/>
  <c r="C13" i="4"/>
  <c r="C24" i="4"/>
  <c r="C25" i="4"/>
  <c r="D28" i="4"/>
  <c r="D13" i="4"/>
  <c r="D24" i="4"/>
  <c r="D25" i="4"/>
  <c r="F28" i="4"/>
  <c r="F13" i="4"/>
  <c r="F24" i="4"/>
  <c r="F25" i="4"/>
  <c r="G28" i="4"/>
  <c r="G13" i="4"/>
  <c r="G24" i="4"/>
  <c r="G25" i="4"/>
  <c r="H28" i="4"/>
  <c r="H13" i="4"/>
  <c r="H24" i="4"/>
  <c r="H25" i="4"/>
  <c r="C19" i="4"/>
  <c r="C7" i="4"/>
  <c r="D19" i="4"/>
  <c r="D7" i="4"/>
  <c r="F19" i="4"/>
  <c r="F7" i="4"/>
  <c r="G19" i="4"/>
  <c r="G7" i="4"/>
  <c r="H19" i="4"/>
  <c r="H7" i="4"/>
  <c r="C175" i="4"/>
  <c r="D175" i="4"/>
  <c r="F175" i="4"/>
  <c r="G175" i="4"/>
  <c r="H175" i="4"/>
  <c r="C176" i="4"/>
  <c r="D176" i="4"/>
  <c r="F176" i="4"/>
  <c r="G176" i="4"/>
  <c r="H176" i="4"/>
  <c r="C42" i="4"/>
  <c r="C43" i="4"/>
  <c r="C29" i="4"/>
  <c r="C30" i="4"/>
  <c r="C40" i="4"/>
  <c r="C41" i="4"/>
  <c r="C35" i="4"/>
  <c r="C36" i="4"/>
  <c r="C37" i="4"/>
  <c r="C38" i="4"/>
  <c r="C39" i="4"/>
  <c r="C76" i="4"/>
  <c r="C34" i="4"/>
  <c r="C177" i="4"/>
  <c r="C33" i="4"/>
  <c r="C178" i="4"/>
  <c r="D42" i="4"/>
  <c r="D43" i="4"/>
  <c r="D29" i="4"/>
  <c r="D30" i="4"/>
  <c r="D40" i="4"/>
  <c r="D41" i="4"/>
  <c r="D35" i="4"/>
  <c r="D36" i="4"/>
  <c r="D37" i="4"/>
  <c r="D38" i="4"/>
  <c r="D39" i="4"/>
  <c r="D76" i="4"/>
  <c r="D34" i="4"/>
  <c r="D177" i="4"/>
  <c r="D33" i="4"/>
  <c r="D178" i="4"/>
  <c r="F42" i="4"/>
  <c r="F43" i="4"/>
  <c r="F29" i="4"/>
  <c r="F30" i="4"/>
  <c r="F40" i="4"/>
  <c r="F41" i="4"/>
  <c r="F35" i="4"/>
  <c r="F36" i="4"/>
  <c r="F37" i="4"/>
  <c r="F38" i="4"/>
  <c r="F39" i="4"/>
  <c r="F76" i="4"/>
  <c r="F34" i="4"/>
  <c r="F177" i="4"/>
  <c r="F33" i="4"/>
  <c r="F178" i="4"/>
  <c r="G42" i="4"/>
  <c r="G43" i="4"/>
  <c r="G29" i="4"/>
  <c r="G30" i="4"/>
  <c r="G40" i="4"/>
  <c r="G41" i="4"/>
  <c r="G35" i="4"/>
  <c r="G36" i="4"/>
  <c r="G37" i="4"/>
  <c r="G38" i="4"/>
  <c r="G39" i="4"/>
  <c r="G76" i="4"/>
  <c r="G34" i="4"/>
  <c r="G177" i="4"/>
  <c r="G33" i="4"/>
  <c r="G178" i="4"/>
  <c r="H42" i="4"/>
  <c r="H43" i="4"/>
  <c r="H29" i="4"/>
  <c r="H30" i="4"/>
  <c r="H40" i="4"/>
  <c r="H41" i="4"/>
  <c r="H35" i="4"/>
  <c r="H36" i="4"/>
  <c r="H37" i="4"/>
  <c r="H38" i="4"/>
  <c r="H39" i="4"/>
  <c r="H76" i="4"/>
  <c r="H34" i="4"/>
  <c r="H177" i="4"/>
  <c r="H33" i="4"/>
  <c r="H178" i="4"/>
  <c r="C31" i="4"/>
  <c r="C20" i="4"/>
  <c r="C179" i="4"/>
  <c r="C172" i="4"/>
  <c r="C180" i="4"/>
  <c r="D31" i="4"/>
  <c r="D20" i="4"/>
  <c r="D179" i="4"/>
  <c r="D172" i="4"/>
  <c r="D180" i="4"/>
  <c r="F31" i="4"/>
  <c r="F20" i="4"/>
  <c r="F179" i="4"/>
  <c r="F172" i="4"/>
  <c r="F180" i="4"/>
  <c r="G31" i="4"/>
  <c r="G20" i="4"/>
  <c r="G179" i="4"/>
  <c r="G172" i="4"/>
  <c r="G180" i="4"/>
  <c r="H31" i="4"/>
  <c r="H20" i="4"/>
  <c r="H179" i="4"/>
  <c r="H172" i="4"/>
  <c r="H180" i="4"/>
  <c r="C47" i="4"/>
  <c r="D47" i="4"/>
  <c r="F47" i="4"/>
  <c r="G47" i="4"/>
  <c r="H47" i="4"/>
  <c r="C46" i="4"/>
  <c r="D46" i="4"/>
  <c r="F46" i="4"/>
  <c r="G46" i="4"/>
  <c r="H46" i="4"/>
  <c r="C186" i="4"/>
  <c r="H62" i="4"/>
  <c r="H69" i="4"/>
  <c r="H70" i="4"/>
  <c r="H181" i="4"/>
  <c r="H182" i="4"/>
  <c r="H53" i="4"/>
  <c r="H57" i="4"/>
  <c r="H58" i="4"/>
  <c r="H61" i="4"/>
  <c r="H59" i="4"/>
  <c r="H60" i="4"/>
  <c r="H54" i="4"/>
  <c r="H56" i="4"/>
  <c r="H171" i="4"/>
  <c r="H183" i="4"/>
  <c r="H55" i="4"/>
  <c r="H184" i="4"/>
  <c r="H185" i="4"/>
  <c r="H186" i="4"/>
  <c r="H187" i="4"/>
  <c r="H51" i="4"/>
  <c r="H188" i="4"/>
  <c r="H52" i="4"/>
  <c r="H48" i="4"/>
  <c r="H49" i="4"/>
  <c r="H50" i="4"/>
  <c r="H44" i="4"/>
  <c r="H45" i="4"/>
  <c r="H32" i="4"/>
  <c r="H68" i="4"/>
  <c r="G62" i="4"/>
  <c r="G69" i="4"/>
  <c r="G70" i="4"/>
  <c r="G181" i="4"/>
  <c r="G182" i="4"/>
  <c r="G53" i="4"/>
  <c r="G57" i="4"/>
  <c r="G58" i="4"/>
  <c r="G61" i="4"/>
  <c r="G59" i="4"/>
  <c r="G60" i="4"/>
  <c r="G54" i="4"/>
  <c r="G56" i="4"/>
  <c r="G171" i="4"/>
  <c r="G183" i="4"/>
  <c r="G55" i="4"/>
  <c r="G184" i="4"/>
  <c r="G185" i="4"/>
  <c r="G186" i="4"/>
  <c r="G187" i="4"/>
  <c r="G51" i="4"/>
  <c r="G188" i="4"/>
  <c r="G52" i="4"/>
  <c r="G48" i="4"/>
  <c r="G49" i="4"/>
  <c r="G50" i="4"/>
  <c r="G44" i="4"/>
  <c r="G45" i="4"/>
  <c r="G32" i="4"/>
  <c r="G68" i="4"/>
  <c r="D62" i="4"/>
  <c r="D69" i="4"/>
  <c r="D70" i="4"/>
  <c r="D181" i="4"/>
  <c r="D182" i="4"/>
  <c r="D53" i="4"/>
  <c r="D57" i="4"/>
  <c r="D58" i="4"/>
  <c r="D61" i="4"/>
  <c r="D59" i="4"/>
  <c r="D60" i="4"/>
  <c r="D54" i="4"/>
  <c r="D56" i="4"/>
  <c r="D171" i="4"/>
  <c r="D183" i="4"/>
  <c r="D55" i="4"/>
  <c r="D184" i="4"/>
  <c r="D185" i="4"/>
  <c r="D186" i="4"/>
  <c r="D187" i="4"/>
  <c r="D51" i="4"/>
  <c r="D188" i="4"/>
  <c r="D52" i="4"/>
  <c r="D48" i="4"/>
  <c r="D49" i="4"/>
  <c r="D50" i="4"/>
  <c r="D44" i="4"/>
  <c r="D45" i="4"/>
  <c r="D32" i="4"/>
  <c r="D68" i="4"/>
  <c r="C62" i="4"/>
  <c r="C69" i="4"/>
  <c r="C70" i="4"/>
  <c r="C181" i="4"/>
  <c r="C182" i="4"/>
  <c r="C53" i="4"/>
  <c r="C57" i="4"/>
  <c r="C58" i="4"/>
  <c r="C61" i="4"/>
  <c r="C59" i="4"/>
  <c r="C60" i="4"/>
  <c r="C54" i="4"/>
  <c r="C56" i="4"/>
  <c r="C171" i="4"/>
  <c r="C183" i="4"/>
  <c r="C55" i="4"/>
  <c r="C184" i="4"/>
  <c r="C185" i="4"/>
  <c r="C187" i="4"/>
  <c r="C51" i="4"/>
  <c r="C188" i="4"/>
  <c r="C52" i="4"/>
  <c r="C48" i="4"/>
  <c r="C49" i="4"/>
  <c r="C50" i="4"/>
  <c r="C44" i="4"/>
  <c r="C45" i="4"/>
  <c r="C32" i="4"/>
  <c r="C68" i="4"/>
  <c r="F32" i="4"/>
  <c r="F45" i="4"/>
  <c r="F44" i="4"/>
  <c r="F50" i="4"/>
  <c r="F49" i="4"/>
  <c r="F48" i="4"/>
  <c r="F52" i="4"/>
  <c r="F188" i="4"/>
  <c r="F51" i="4"/>
  <c r="F187" i="4"/>
  <c r="F186" i="4"/>
  <c r="F185" i="4"/>
  <c r="F184" i="4"/>
  <c r="F55" i="4"/>
  <c r="F183" i="4"/>
  <c r="F171" i="4"/>
  <c r="F56" i="4"/>
  <c r="F54" i="4"/>
  <c r="F60" i="4"/>
  <c r="F59" i="4"/>
  <c r="F61" i="4"/>
  <c r="F58" i="4"/>
  <c r="F57" i="4"/>
  <c r="F53" i="4"/>
  <c r="F182" i="4"/>
  <c r="F181" i="4"/>
  <c r="F70" i="4"/>
  <c r="F69" i="4"/>
  <c r="F62" i="4"/>
  <c r="F68" i="4"/>
  <c r="E30" i="6"/>
  <c r="F30" i="6"/>
  <c r="H30" i="6"/>
  <c r="I30" i="6"/>
  <c r="J30" i="6"/>
  <c r="E20" i="6"/>
  <c r="F20" i="6"/>
  <c r="H20" i="6"/>
  <c r="I20" i="6"/>
  <c r="J20" i="6"/>
  <c r="E8" i="6"/>
  <c r="F8" i="6"/>
  <c r="H8" i="6"/>
  <c r="I8" i="6"/>
  <c r="J8" i="6"/>
  <c r="E21" i="6"/>
  <c r="F21" i="6"/>
  <c r="H21" i="6"/>
  <c r="I21" i="6"/>
  <c r="J21" i="6"/>
  <c r="E13" i="6"/>
  <c r="F13" i="6"/>
  <c r="H13" i="6"/>
  <c r="I13" i="6"/>
  <c r="J13" i="6"/>
  <c r="E31" i="6"/>
  <c r="F31" i="6"/>
  <c r="H31" i="6"/>
  <c r="I31" i="6"/>
  <c r="J31" i="6"/>
  <c r="E29" i="6"/>
  <c r="F29" i="6"/>
  <c r="H29" i="6"/>
  <c r="I29" i="6"/>
  <c r="J29" i="6"/>
  <c r="E19" i="6"/>
  <c r="F19" i="6"/>
  <c r="H19" i="6"/>
  <c r="I19" i="6"/>
  <c r="J19" i="6"/>
  <c r="E24" i="6"/>
  <c r="F24" i="6"/>
  <c r="H24" i="6"/>
  <c r="I24" i="6"/>
  <c r="J24" i="6"/>
  <c r="E6" i="6"/>
  <c r="F6" i="6"/>
  <c r="H6" i="6"/>
  <c r="I6" i="6"/>
  <c r="J6" i="6"/>
  <c r="E25" i="6"/>
  <c r="F25" i="6"/>
  <c r="H25" i="6"/>
  <c r="I25" i="6"/>
  <c r="J25" i="6"/>
  <c r="J12" i="6"/>
  <c r="J4" i="6"/>
  <c r="J26" i="6"/>
  <c r="I12" i="6"/>
  <c r="I4" i="6"/>
  <c r="I26" i="6"/>
  <c r="H12" i="6"/>
  <c r="H4" i="6"/>
  <c r="H26" i="6"/>
  <c r="F12" i="6"/>
  <c r="F4" i="6"/>
  <c r="F26" i="6"/>
  <c r="E12" i="6"/>
  <c r="E4" i="6"/>
  <c r="E26" i="6"/>
  <c r="E28" i="6"/>
  <c r="J5" i="6"/>
  <c r="J28" i="6"/>
  <c r="J18" i="6"/>
  <c r="I5" i="6"/>
  <c r="I28" i="6"/>
  <c r="I18" i="6"/>
  <c r="H5" i="6"/>
  <c r="H28" i="6"/>
  <c r="H18" i="6"/>
  <c r="F5" i="6"/>
  <c r="F28" i="6"/>
  <c r="F18" i="6"/>
  <c r="E5" i="6"/>
  <c r="E18" i="6"/>
  <c r="E27" i="6"/>
  <c r="F27" i="6"/>
  <c r="H27" i="6"/>
  <c r="I27" i="6"/>
  <c r="J27" i="6"/>
  <c r="E7" i="6"/>
  <c r="F7" i="6"/>
  <c r="H7" i="6"/>
  <c r="I7" i="6"/>
  <c r="J7" i="6"/>
  <c r="E3" i="6"/>
  <c r="F3" i="6"/>
  <c r="H3" i="6"/>
  <c r="I3" i="6"/>
  <c r="J3" i="6"/>
  <c r="E11" i="6"/>
  <c r="F11" i="6"/>
  <c r="H11" i="6"/>
  <c r="I11" i="6"/>
  <c r="J11" i="6"/>
  <c r="E23" i="6"/>
  <c r="F23" i="6"/>
  <c r="H23" i="6"/>
  <c r="I23" i="6"/>
  <c r="J23" i="6"/>
  <c r="E22" i="6"/>
  <c r="F22" i="6"/>
  <c r="H22" i="6"/>
  <c r="I22" i="6"/>
  <c r="J22" i="6"/>
  <c r="E17" i="6"/>
  <c r="F17" i="6"/>
  <c r="H17" i="6"/>
  <c r="I17" i="6"/>
  <c r="J17" i="6"/>
  <c r="E16" i="6"/>
  <c r="F16" i="6"/>
  <c r="H16" i="6"/>
  <c r="I16" i="6"/>
  <c r="J16" i="6"/>
  <c r="E10" i="6"/>
  <c r="F10" i="6"/>
  <c r="H10" i="6"/>
  <c r="I10" i="6"/>
  <c r="J10" i="6"/>
  <c r="E9" i="6"/>
  <c r="F9" i="6"/>
  <c r="H9" i="6"/>
  <c r="I9" i="6"/>
  <c r="J9" i="6"/>
  <c r="E2" i="6"/>
  <c r="F2" i="6"/>
  <c r="H2" i="6"/>
  <c r="I2" i="6"/>
  <c r="J2" i="6"/>
  <c r="E15" i="6"/>
  <c r="F15" i="6"/>
  <c r="H15" i="6"/>
  <c r="I15" i="6"/>
  <c r="J15" i="6"/>
  <c r="E67" i="4" l="1"/>
  <c r="E47" i="4"/>
  <c r="E98" i="4"/>
  <c r="E99" i="4"/>
  <c r="E96" i="4"/>
  <c r="A2" i="5"/>
  <c r="A3" i="5"/>
  <c r="A8" i="5"/>
  <c r="A4" i="5"/>
  <c r="A9" i="5"/>
  <c r="A5" i="5"/>
  <c r="A7" i="5"/>
  <c r="A6" i="5"/>
  <c r="E97" i="4"/>
  <c r="E92" i="4"/>
  <c r="E91" i="4"/>
  <c r="E95" i="4"/>
  <c r="E94" i="4"/>
  <c r="E90" i="4"/>
  <c r="E89" i="4"/>
  <c r="E88" i="4"/>
  <c r="E87" i="4"/>
  <c r="E93" i="4"/>
  <c r="E83" i="4"/>
  <c r="E82" i="4"/>
  <c r="E84" i="4"/>
  <c r="E78" i="4"/>
  <c r="E86" i="4"/>
  <c r="E66" i="4"/>
  <c r="E85" i="4"/>
  <c r="D2" i="5"/>
  <c r="D7" i="5"/>
  <c r="D9" i="5"/>
  <c r="D8" i="5"/>
  <c r="D6" i="5"/>
  <c r="D5" i="5"/>
  <c r="D4" i="5"/>
  <c r="D3" i="5"/>
  <c r="E80" i="4"/>
  <c r="E79" i="4"/>
  <c r="E81" i="4"/>
  <c r="E75" i="4"/>
  <c r="E74" i="4"/>
  <c r="E77" i="4"/>
  <c r="E73" i="4"/>
  <c r="E72" i="4"/>
  <c r="E71" i="4"/>
  <c r="E26" i="4"/>
  <c r="E15" i="4"/>
  <c r="E9" i="4"/>
  <c r="E16" i="4"/>
  <c r="E10" i="4"/>
  <c r="E17" i="4"/>
  <c r="E14" i="4"/>
  <c r="E21" i="4"/>
  <c r="E2" i="4"/>
  <c r="E174" i="4"/>
  <c r="E43" i="4"/>
  <c r="E4" i="4"/>
  <c r="E173" i="4"/>
  <c r="E5" i="4"/>
  <c r="E34" i="4"/>
  <c r="E6" i="4"/>
  <c r="E27" i="4"/>
  <c r="E18" i="4"/>
  <c r="E12" i="4"/>
  <c r="E22" i="4"/>
  <c r="E11" i="4"/>
  <c r="E8" i="4"/>
  <c r="E23" i="4"/>
  <c r="E3" i="4"/>
  <c r="E28" i="4"/>
  <c r="E24" i="4"/>
  <c r="E13" i="4"/>
  <c r="E25" i="4"/>
  <c r="E7" i="4"/>
  <c r="E19" i="4"/>
  <c r="E179" i="4"/>
  <c r="E175" i="4"/>
  <c r="E176" i="4"/>
  <c r="E180" i="4"/>
  <c r="E172" i="4"/>
  <c r="E20" i="4"/>
  <c r="E31" i="4"/>
  <c r="E33" i="4"/>
  <c r="E35" i="4"/>
  <c r="E76" i="4"/>
  <c r="E37" i="4"/>
  <c r="E30" i="4"/>
  <c r="E40" i="4"/>
  <c r="E178" i="4"/>
  <c r="E36" i="4"/>
  <c r="E39" i="4"/>
  <c r="E29" i="4"/>
  <c r="E177" i="4"/>
  <c r="E41" i="4"/>
  <c r="E38" i="4"/>
  <c r="E42" i="4"/>
  <c r="E46" i="4"/>
  <c r="E171" i="4"/>
  <c r="E187" i="4"/>
  <c r="E186" i="4"/>
  <c r="E52" i="4"/>
  <c r="E45" i="4"/>
  <c r="E184" i="4"/>
  <c r="E188" i="4"/>
  <c r="E32" i="4"/>
  <c r="E49" i="4"/>
  <c r="E55" i="4"/>
  <c r="E44" i="4"/>
  <c r="E48" i="4"/>
  <c r="E185" i="4"/>
  <c r="E51" i="4"/>
  <c r="E50" i="4"/>
  <c r="E56" i="4"/>
  <c r="E183" i="4"/>
  <c r="E68" i="4"/>
  <c r="E59" i="4"/>
  <c r="E61" i="4"/>
  <c r="E57" i="4"/>
  <c r="E54" i="4"/>
  <c r="E60" i="4"/>
  <c r="E58" i="4"/>
  <c r="E182" i="4"/>
  <c r="E181" i="4"/>
  <c r="E70" i="4"/>
  <c r="E53" i="4"/>
  <c r="E62" i="4"/>
  <c r="E69" i="4"/>
</calcChain>
</file>

<file path=xl/sharedStrings.xml><?xml version="1.0" encoding="utf-8"?>
<sst xmlns="http://schemas.openxmlformats.org/spreadsheetml/2006/main" count="4918" uniqueCount="1194">
  <si>
    <t>Prioriteit</t>
  </si>
  <si>
    <t>Coaching rijschool</t>
  </si>
  <si>
    <t>aanvraagsdatum</t>
  </si>
  <si>
    <t>P-nr</t>
  </si>
  <si>
    <t>Naam</t>
  </si>
  <si>
    <t>Voornaam</t>
  </si>
  <si>
    <t>Volledige naam</t>
  </si>
  <si>
    <t>OT</t>
  </si>
  <si>
    <t>Teamcoach</t>
  </si>
  <si>
    <t>Rooster</t>
  </si>
  <si>
    <t>Opmerkingen</t>
  </si>
  <si>
    <t>Bus/Tram</t>
  </si>
  <si>
    <t>Instructeur</t>
  </si>
  <si>
    <t>Datum Coaching</t>
  </si>
  <si>
    <t>Werkpunten 1</t>
  </si>
  <si>
    <t>Werkpunten 2</t>
  </si>
  <si>
    <t>Beoordeling rijschool</t>
  </si>
  <si>
    <t>hercoaching noodzakelijk</t>
  </si>
  <si>
    <t>ingevoerd in SS</t>
  </si>
  <si>
    <t>Kolom1</t>
  </si>
  <si>
    <t>ongevallen + aandacht zwakke weggebruiker</t>
  </si>
  <si>
    <t>eco score</t>
  </si>
  <si>
    <t>meer dan 5 ongevallen (6 ongevallen)</t>
  </si>
  <si>
    <t>ja</t>
  </si>
  <si>
    <t>snelheid/rijstijl</t>
  </si>
  <si>
    <t>Tram</t>
  </si>
  <si>
    <t>bruusk remmen/ snelheid</t>
  </si>
  <si>
    <t>ongevallen</t>
  </si>
  <si>
    <t>ongevallen (7 op 1 jaar</t>
  </si>
  <si>
    <t>geen gebruik vrijloop, veel volle tractie en volle remming, niet aangenaam gevoel</t>
  </si>
  <si>
    <t>rijstijl</t>
  </si>
  <si>
    <t>6 aanrijdingen in 2024</t>
  </si>
  <si>
    <t>Bus</t>
  </si>
  <si>
    <t>schadegevallen</t>
  </si>
  <si>
    <t>algemene rijstijl/ houding</t>
  </si>
  <si>
    <t>algemene rijstijl/ klantvriendelijkheid</t>
  </si>
  <si>
    <t>slechte eco score optrekken/afremmen</t>
  </si>
  <si>
    <t>negatieve klantreactie. Kan opgevraagd worden bij teamcoach</t>
  </si>
  <si>
    <t>snelheid</t>
  </si>
  <si>
    <t>algemene rijstijl</t>
  </si>
  <si>
    <t>hercoaching</t>
  </si>
  <si>
    <t>ongevallen/ rijstijl</t>
  </si>
  <si>
    <t>Gent Stad</t>
  </si>
  <si>
    <t>Planner meegereden en zeer oncomfortabele rit. Zijn eco-score verraadt zijn rijgedrag, remmingen barslecht.</t>
  </si>
  <si>
    <t>door onveilig signaal, rijstijl, schade bij doorsteken, wissel negeren, agressief</t>
  </si>
  <si>
    <t xml:space="preserve">schadegevallen/ hercoaching </t>
  </si>
  <si>
    <t>schade</t>
  </si>
  <si>
    <t>16707 Wim Van Hende</t>
  </si>
  <si>
    <t>hercoaching nodig !</t>
  </si>
  <si>
    <t>Basha</t>
  </si>
  <si>
    <t>Christoff Rotty</t>
  </si>
  <si>
    <t>spontane coaching</t>
  </si>
  <si>
    <t>20608 Joeri Mestdag</t>
  </si>
  <si>
    <t>Van Damme</t>
  </si>
  <si>
    <t>Glenn</t>
  </si>
  <si>
    <t>Els Dewulf</t>
  </si>
  <si>
    <t>Genbrugge</t>
  </si>
  <si>
    <t>Bart Van Der Beken</t>
  </si>
  <si>
    <t>volledige naam</t>
  </si>
  <si>
    <t>Dienstrol</t>
  </si>
  <si>
    <t>Opmerking</t>
  </si>
  <si>
    <t>Datum coaching</t>
  </si>
  <si>
    <t>Beoordeling coaching</t>
  </si>
  <si>
    <t>Hercoaching noodzakelijk</t>
  </si>
  <si>
    <t>Gesprek</t>
  </si>
  <si>
    <t>Ingevoerd in SSF</t>
  </si>
  <si>
    <t>tram</t>
  </si>
  <si>
    <t>6046 Joel De Maegd</t>
  </si>
  <si>
    <t>zeer goed</t>
  </si>
  <si>
    <t>nee</t>
  </si>
  <si>
    <t>X</t>
  </si>
  <si>
    <t>bus</t>
  </si>
  <si>
    <t>wegcode</t>
  </si>
  <si>
    <t>voldoende</t>
  </si>
  <si>
    <t>GSM</t>
  </si>
  <si>
    <t>goed</t>
  </si>
  <si>
    <t>optrekken, afremmen onconfortabel</t>
  </si>
  <si>
    <t>8538 Philippe Vandewalle</t>
  </si>
  <si>
    <t>nav slechte vorige coaching</t>
  </si>
  <si>
    <t>onvoldoende</t>
  </si>
  <si>
    <t>rijstijl tram in bochten</t>
  </si>
  <si>
    <t>oortjes</t>
  </si>
  <si>
    <t>22812 Tom De Clercq</t>
  </si>
  <si>
    <t>achterruit rijden met tram</t>
  </si>
  <si>
    <t>achterruitrijden rabotstraat in eigen bedding</t>
  </si>
  <si>
    <t>achterruit rijden</t>
  </si>
  <si>
    <t>snelheid wissels en beweegbare brug</t>
  </si>
  <si>
    <t>Klantenzorg</t>
  </si>
  <si>
    <t>te vroeg rijden</t>
  </si>
  <si>
    <t>17552 Daisy De Geyter</t>
  </si>
  <si>
    <t>coaching van 3/3/25 slecht, werkpunten: remtechniek, snelheid, gsm gebruik</t>
  </si>
  <si>
    <t>interne reglementering</t>
  </si>
  <si>
    <t>scade</t>
  </si>
  <si>
    <t>peter schijvens</t>
  </si>
  <si>
    <t>4707 Peter Schijvens</t>
  </si>
  <si>
    <t>OK</t>
  </si>
  <si>
    <t>voertuigbeheersing</t>
  </si>
  <si>
    <t>snelheid en stuurhouding</t>
  </si>
  <si>
    <t>slecht</t>
  </si>
  <si>
    <t>joeri mestdag</t>
  </si>
  <si>
    <t>spontane coaching, gsm gebruik tijdens de rijtaak</t>
  </si>
  <si>
    <t>26202 Ward Desmet</t>
  </si>
  <si>
    <t>tegenovergestelde spiegel</t>
  </si>
  <si>
    <t>Geen opmerkingen</t>
  </si>
  <si>
    <t>spiegels</t>
  </si>
  <si>
    <t>snelheden niet gerespecteerd</t>
  </si>
  <si>
    <t>voorangsregel / rechts</t>
  </si>
  <si>
    <t>8539 Philippe Vandewalle</t>
  </si>
  <si>
    <t>Defensief rijden</t>
  </si>
  <si>
    <t>wegcode, na negatieve coaching</t>
  </si>
  <si>
    <t>meer spiegel gebruik</t>
  </si>
  <si>
    <t>te ver op kruispunt om linksaf te draaien</t>
  </si>
  <si>
    <t>rem</t>
  </si>
  <si>
    <t>Nav. remtechniek, verschillende maanden hoge eco louter door aandeel remmingen</t>
  </si>
  <si>
    <t>gsm gebruik</t>
  </si>
  <si>
    <t>schade+rijstijl</t>
  </si>
  <si>
    <t>De Naegel</t>
  </si>
  <si>
    <t>24577 Thierry De Vlieger</t>
  </si>
  <si>
    <t>Hasnaoui</t>
  </si>
  <si>
    <t>Mohamed Yassin</t>
  </si>
  <si>
    <t>rijcomfort</t>
  </si>
  <si>
    <t>Abdelali</t>
  </si>
  <si>
    <t>20609 Joeri Mestdag</t>
  </si>
  <si>
    <t>4708 Peter Schijvens</t>
  </si>
  <si>
    <t>4709 Peter Schijvens</t>
  </si>
  <si>
    <t>4710 Peter Schijvens</t>
  </si>
  <si>
    <t>uniform</t>
  </si>
  <si>
    <t>snelheid/ negatieve coaching</t>
  </si>
  <si>
    <t>Spontane coaching</t>
  </si>
  <si>
    <t>correct uitvoeren van haltering</t>
  </si>
  <si>
    <t>aandacht voor correct stuurgebruik</t>
  </si>
  <si>
    <t>25875 Debby Verstockt</t>
  </si>
  <si>
    <t>schade &gt;5 ongevallen</t>
  </si>
  <si>
    <t>coaching na gsm gebruik</t>
  </si>
  <si>
    <t>niet naleven snelheid/stuurhouding</t>
  </si>
  <si>
    <t>7848 Kathy Vermandel</t>
  </si>
  <si>
    <t>aandoen haltes</t>
  </si>
  <si>
    <t>10905 Nourreddine Hamidou</t>
  </si>
  <si>
    <t>verstrooidheid/focus</t>
  </si>
  <si>
    <t>Oortjes</t>
  </si>
  <si>
    <t>Voldoende</t>
  </si>
  <si>
    <t>andere weggebruikers</t>
  </si>
  <si>
    <t xml:space="preserve">29909 Ellen Lenders </t>
  </si>
  <si>
    <t xml:space="preserve">interne reglementering (gsm en oortjes) </t>
  </si>
  <si>
    <t xml:space="preserve">snelheid en stuurhouding </t>
  </si>
  <si>
    <t xml:space="preserve">Gent Stad </t>
  </si>
  <si>
    <t>algemene rijstijl/ snelheid en veiligheid</t>
  </si>
  <si>
    <t>wegcode, rijstijl</t>
  </si>
  <si>
    <t>sn</t>
  </si>
  <si>
    <t>Kijktechniek bij het nemen van halte en wegrijden van halten moet beter. Neemt regelmatig boorduren mee</t>
  </si>
  <si>
    <t>te hoge snelheden zone 30 (zie vorige coaching van 12/08/2025)</t>
  </si>
  <si>
    <t>Algemene rijstijl/houding</t>
  </si>
  <si>
    <t>beter naleven verkeerslichten</t>
  </si>
  <si>
    <t>snelheid.rijstijl</t>
  </si>
  <si>
    <t>voorang</t>
  </si>
  <si>
    <t>snelheid en gsm</t>
  </si>
  <si>
    <t>gsm</t>
  </si>
  <si>
    <t>positie baan</t>
  </si>
  <si>
    <t>uit dienst</t>
  </si>
  <si>
    <t>zit niet in CBH</t>
  </si>
  <si>
    <t>voorrang</t>
  </si>
  <si>
    <t>Zeer goed</t>
  </si>
  <si>
    <t>Voertuigbeheersing</t>
  </si>
  <si>
    <t>Aandoen haltes</t>
  </si>
  <si>
    <t>Goed</t>
  </si>
  <si>
    <t>Wegcode</t>
  </si>
  <si>
    <t>Snelheid</t>
  </si>
  <si>
    <t>Andere weggebruikers</t>
  </si>
  <si>
    <t>random coaching na examens</t>
  </si>
  <si>
    <t>Interne reglementering</t>
  </si>
  <si>
    <t>snelhied</t>
  </si>
  <si>
    <t>Babaian</t>
  </si>
  <si>
    <t>Sammy</t>
  </si>
  <si>
    <t xml:space="preserve">36543 Babaian Sammy </t>
  </si>
  <si>
    <t>Gent stad</t>
  </si>
  <si>
    <t>Lucie Vande Velde</t>
  </si>
  <si>
    <t>RESF</t>
  </si>
  <si>
    <t>agressie tov fietser</t>
  </si>
  <si>
    <t>6046 Joël De Maegd</t>
  </si>
  <si>
    <t>Vriendelijk</t>
  </si>
  <si>
    <t>Onvoldoende</t>
  </si>
  <si>
    <t>Behulpzaam</t>
  </si>
  <si>
    <t>spontanande coaching</t>
  </si>
  <si>
    <t>6 ongevallen</t>
  </si>
  <si>
    <t>Zeer slecht</t>
  </si>
  <si>
    <t>meer dan 5 ongevallen afgelopen jaar - 9 ongevallen</t>
  </si>
  <si>
    <t>Uniform</t>
  </si>
  <si>
    <t>Positieve coaching</t>
  </si>
  <si>
    <t>remtechniek - ecoscore - verkeersinzicht</t>
  </si>
  <si>
    <t>25876 Debby Verstockt</t>
  </si>
  <si>
    <t>25877 Debby Verstockt</t>
  </si>
  <si>
    <t>werkpunten 1</t>
  </si>
  <si>
    <t>Kyllian</t>
  </si>
  <si>
    <t>BR15</t>
  </si>
  <si>
    <t>Van Wittenberge</t>
  </si>
  <si>
    <t>Filip</t>
  </si>
  <si>
    <t>M15</t>
  </si>
  <si>
    <t>NIET AAN DIT TABBLAD KOMEN AUB !!!</t>
  </si>
  <si>
    <t>Aantal van Datum coaching</t>
  </si>
  <si>
    <t>Kolomlabels</t>
  </si>
  <si>
    <t>Rijlabels</t>
  </si>
  <si>
    <t>Formule1</t>
  </si>
  <si>
    <t>Formule2</t>
  </si>
  <si>
    <t>Eindtotaal</t>
  </si>
  <si>
    <t>(leeg)</t>
  </si>
  <si>
    <t>Ingepland</t>
  </si>
  <si>
    <t>voltooid</t>
  </si>
  <si>
    <t>teamcoach</t>
  </si>
  <si>
    <t>Bart Van der Beken</t>
  </si>
  <si>
    <t>Els Vanhoe</t>
  </si>
  <si>
    <t>Dominique De Clercq</t>
  </si>
  <si>
    <t>Steven Storm</t>
  </si>
  <si>
    <t>Kenneth De Rick</t>
  </si>
  <si>
    <t>prioriteit</t>
  </si>
  <si>
    <t>instructeur</t>
  </si>
  <si>
    <t>werkpunten 2</t>
  </si>
  <si>
    <t>beoordeling coaching</t>
  </si>
  <si>
    <t>SSF</t>
  </si>
  <si>
    <t xml:space="preserve">ja </t>
  </si>
  <si>
    <t>ja, gepland</t>
  </si>
  <si>
    <t>Oost Vlaanderen Streek</t>
  </si>
  <si>
    <t>4691 Wim Van De Vijver</t>
  </si>
  <si>
    <t>Positie baan</t>
  </si>
  <si>
    <t>Slecht</t>
  </si>
  <si>
    <t>gepland</t>
  </si>
  <si>
    <t>4692 Dirk Verdonck (admin)</t>
  </si>
  <si>
    <t>Voorrang</t>
  </si>
  <si>
    <t>14537 Andy Gheerardijn</t>
  </si>
  <si>
    <t>Te vroeg rijden</t>
  </si>
  <si>
    <t>20541 Ruben Seghers</t>
  </si>
  <si>
    <t>Correcte info delen</t>
  </si>
  <si>
    <t>27081 Guillaume Duré</t>
  </si>
  <si>
    <t>29544 Roy Weyenbergh</t>
  </si>
  <si>
    <t>29909 Ellen Lenders</t>
  </si>
  <si>
    <t>31154 Jochen De Smaele</t>
  </si>
  <si>
    <t>32710 Dirk Vanderstraeten</t>
  </si>
  <si>
    <t>PersoneelsNr</t>
  </si>
  <si>
    <t xml:space="preserve">OT </t>
  </si>
  <si>
    <t>Cifteoglu</t>
  </si>
  <si>
    <t>Sedat</t>
  </si>
  <si>
    <t>B09</t>
  </si>
  <si>
    <t>Pelfrene</t>
  </si>
  <si>
    <t>Toby</t>
  </si>
  <si>
    <t>Eid</t>
  </si>
  <si>
    <t>Mathyn</t>
  </si>
  <si>
    <t>Akmese</t>
  </si>
  <si>
    <t>Ahmet</t>
  </si>
  <si>
    <t>Kocabas</t>
  </si>
  <si>
    <t>Abdülkadir</t>
  </si>
  <si>
    <t>Rotsaert</t>
  </si>
  <si>
    <t>Dominique</t>
  </si>
  <si>
    <t>van Turnhout</t>
  </si>
  <si>
    <t>Mariëlle</t>
  </si>
  <si>
    <t>Nguetto</t>
  </si>
  <si>
    <t>Brisco Romeo</t>
  </si>
  <si>
    <t>Rummens</t>
  </si>
  <si>
    <t>Maarten</t>
  </si>
  <si>
    <t>Razzaz</t>
  </si>
  <si>
    <t>Mahmoud</t>
  </si>
  <si>
    <t>Vlaminck</t>
  </si>
  <si>
    <t>Dirk</t>
  </si>
  <si>
    <t>Smesman</t>
  </si>
  <si>
    <t>El Mezroui</t>
  </si>
  <si>
    <t>Zouheir</t>
  </si>
  <si>
    <t>Patrick</t>
  </si>
  <si>
    <t>Opsomer</t>
  </si>
  <si>
    <t>Gerrit</t>
  </si>
  <si>
    <t>Saritag</t>
  </si>
  <si>
    <t>Mehmed</t>
  </si>
  <si>
    <t>Catar</t>
  </si>
  <si>
    <t>Gökhan</t>
  </si>
  <si>
    <t>Dedeci</t>
  </si>
  <si>
    <t>Mecit</t>
  </si>
  <si>
    <t>Almohammad</t>
  </si>
  <si>
    <t>Malek</t>
  </si>
  <si>
    <t>Alassad</t>
  </si>
  <si>
    <t>Ahmad</t>
  </si>
  <si>
    <t>Van Steenbergen</t>
  </si>
  <si>
    <t>Kris</t>
  </si>
  <si>
    <t>B24</t>
  </si>
  <si>
    <t>Meyvaert</t>
  </si>
  <si>
    <t>Steven</t>
  </si>
  <si>
    <t>Grillaert</t>
  </si>
  <si>
    <t>Lieven</t>
  </si>
  <si>
    <t>Van Turtelboom</t>
  </si>
  <si>
    <t>Franky</t>
  </si>
  <si>
    <t>Huyse</t>
  </si>
  <si>
    <t>Annicke</t>
  </si>
  <si>
    <t>Simons</t>
  </si>
  <si>
    <t>Andreas</t>
  </si>
  <si>
    <t>Vandersmissen</t>
  </si>
  <si>
    <t>Denis</t>
  </si>
  <si>
    <t>Biesemans</t>
  </si>
  <si>
    <t>Jasper</t>
  </si>
  <si>
    <t>De Jaeger</t>
  </si>
  <si>
    <t>Kevin</t>
  </si>
  <si>
    <t>Pille</t>
  </si>
  <si>
    <t>Pascal</t>
  </si>
  <si>
    <t>Famelaer</t>
  </si>
  <si>
    <t>Steve</t>
  </si>
  <si>
    <t>Weemhof</t>
  </si>
  <si>
    <t>Maurice</t>
  </si>
  <si>
    <t>Er</t>
  </si>
  <si>
    <t>Tolga</t>
  </si>
  <si>
    <t>Kelchtermans</t>
  </si>
  <si>
    <t>Raf</t>
  </si>
  <si>
    <t>Meersman</t>
  </si>
  <si>
    <t>Herman</t>
  </si>
  <si>
    <t>De Bruyne</t>
  </si>
  <si>
    <t>Sonia</t>
  </si>
  <si>
    <t>Holub</t>
  </si>
  <si>
    <t>Patrik</t>
  </si>
  <si>
    <t>Callant</t>
  </si>
  <si>
    <t>Dieter</t>
  </si>
  <si>
    <t>Toubadie</t>
  </si>
  <si>
    <t>Zakaria</t>
  </si>
  <si>
    <t>Dobbelaere</t>
  </si>
  <si>
    <t>David</t>
  </si>
  <si>
    <t>Vandekerckhove</t>
  </si>
  <si>
    <t>Nico</t>
  </si>
  <si>
    <t>Van Belleghem</t>
  </si>
  <si>
    <t>Peggy</t>
  </si>
  <si>
    <t>Coulon</t>
  </si>
  <si>
    <t>Rayan</t>
  </si>
  <si>
    <t>Wasen</t>
  </si>
  <si>
    <t>Jens</t>
  </si>
  <si>
    <t>De Cooman</t>
  </si>
  <si>
    <t>Kurt</t>
  </si>
  <si>
    <t>BD12</t>
  </si>
  <si>
    <t>Ackermans</t>
  </si>
  <si>
    <t>Christian</t>
  </si>
  <si>
    <t>Vandenberghe</t>
  </si>
  <si>
    <t>Deschepper</t>
  </si>
  <si>
    <t>Peter</t>
  </si>
  <si>
    <t>Kazakbiyev</t>
  </si>
  <si>
    <t>Osman</t>
  </si>
  <si>
    <t>Ong</t>
  </si>
  <si>
    <t>Geok Hong</t>
  </si>
  <si>
    <t>Mossa</t>
  </si>
  <si>
    <t>Omari</t>
  </si>
  <si>
    <t>Said</t>
  </si>
  <si>
    <t>Gassa</t>
  </si>
  <si>
    <t>Osmane</t>
  </si>
  <si>
    <t>De Vuyst</t>
  </si>
  <si>
    <t>Boyke</t>
  </si>
  <si>
    <t>Dullaert</t>
  </si>
  <si>
    <t>Taser</t>
  </si>
  <si>
    <t>Fatih</t>
  </si>
  <si>
    <t>Vanooteghem</t>
  </si>
  <si>
    <t>Johnny</t>
  </si>
  <si>
    <t>BN24</t>
  </si>
  <si>
    <t>De Weerdt</t>
  </si>
  <si>
    <t>Samuel</t>
  </si>
  <si>
    <t>Vandenborre</t>
  </si>
  <si>
    <t>Benjilali</t>
  </si>
  <si>
    <t>Abdelhak</t>
  </si>
  <si>
    <t>Vergucht</t>
  </si>
  <si>
    <t>Hugo</t>
  </si>
  <si>
    <t>Caufrier</t>
  </si>
  <si>
    <t>Matthew</t>
  </si>
  <si>
    <t>Delcourt</t>
  </si>
  <si>
    <t>Daniel</t>
  </si>
  <si>
    <t>Agacseven</t>
  </si>
  <si>
    <t>Mustafa</t>
  </si>
  <si>
    <t>Momsen</t>
  </si>
  <si>
    <t>Rory</t>
  </si>
  <si>
    <t>De Meyer</t>
  </si>
  <si>
    <t>Karel</t>
  </si>
  <si>
    <t>Dewulf</t>
  </si>
  <si>
    <t>Matthias</t>
  </si>
  <si>
    <t>Dolleslagers</t>
  </si>
  <si>
    <t>Christof</t>
  </si>
  <si>
    <t>Jalili</t>
  </si>
  <si>
    <t>Yaseeb</t>
  </si>
  <si>
    <t>El Gasmi</t>
  </si>
  <si>
    <t>Sami</t>
  </si>
  <si>
    <t>Sogut</t>
  </si>
  <si>
    <t>Rauf</t>
  </si>
  <si>
    <t>De Meulenaere</t>
  </si>
  <si>
    <t>Van den Meerssche</t>
  </si>
  <si>
    <t>Michael</t>
  </si>
  <si>
    <t>Detaeye</t>
  </si>
  <si>
    <t>Alexander</t>
  </si>
  <si>
    <t>Uenk</t>
  </si>
  <si>
    <t>Hermina</t>
  </si>
  <si>
    <t>Basgurboga</t>
  </si>
  <si>
    <t>Selahattin</t>
  </si>
  <si>
    <t>Dedapper</t>
  </si>
  <si>
    <t>Marijke</t>
  </si>
  <si>
    <t>BO15</t>
  </si>
  <si>
    <t>Verlinden</t>
  </si>
  <si>
    <t>Bianca</t>
  </si>
  <si>
    <t>Bruno</t>
  </si>
  <si>
    <t>Kuru</t>
  </si>
  <si>
    <t>Cetin</t>
  </si>
  <si>
    <t>Timmerman</t>
  </si>
  <si>
    <t>Bjorn</t>
  </si>
  <si>
    <t>Byosière</t>
  </si>
  <si>
    <t>Vaeyens</t>
  </si>
  <si>
    <t>Midas</t>
  </si>
  <si>
    <t>Verschraegen</t>
  </si>
  <si>
    <t>Roos</t>
  </si>
  <si>
    <t>Engels</t>
  </si>
  <si>
    <t>Sam</t>
  </si>
  <si>
    <t>Kartal</t>
  </si>
  <si>
    <t>Kadir</t>
  </si>
  <si>
    <t>Carion</t>
  </si>
  <si>
    <t>Rojet</t>
  </si>
  <si>
    <t>De Kesel</t>
  </si>
  <si>
    <t>Milan</t>
  </si>
  <si>
    <t>Katleen</t>
  </si>
  <si>
    <t>Vandenhaute</t>
  </si>
  <si>
    <t>Linus</t>
  </si>
  <si>
    <t>Taibi</t>
  </si>
  <si>
    <t>Yassine</t>
  </si>
  <si>
    <t>Baert</t>
  </si>
  <si>
    <t>Freddy</t>
  </si>
  <si>
    <t>G09</t>
  </si>
  <si>
    <t>Van Den Bossche</t>
  </si>
  <si>
    <t>Martine</t>
  </si>
  <si>
    <t>De Mulder</t>
  </si>
  <si>
    <t>Philip</t>
  </si>
  <si>
    <t>Laute</t>
  </si>
  <si>
    <t>Dhondt</t>
  </si>
  <si>
    <t>Frank</t>
  </si>
  <si>
    <t>Tondeleir</t>
  </si>
  <si>
    <t>Ron</t>
  </si>
  <si>
    <t>Bracke</t>
  </si>
  <si>
    <t>Notte</t>
  </si>
  <si>
    <t>Nancy</t>
  </si>
  <si>
    <t>Toch</t>
  </si>
  <si>
    <t>Erwin</t>
  </si>
  <si>
    <t>DeBisschop</t>
  </si>
  <si>
    <t>Wendy</t>
  </si>
  <si>
    <t>Azahaf</t>
  </si>
  <si>
    <t>M'Hamed</t>
  </si>
  <si>
    <t>Remmery</t>
  </si>
  <si>
    <t>Akhayad</t>
  </si>
  <si>
    <t>Ahmed</t>
  </si>
  <si>
    <t>Van Grootenbrulle</t>
  </si>
  <si>
    <t>De Boever</t>
  </si>
  <si>
    <t>Kerman</t>
  </si>
  <si>
    <t>Riza</t>
  </si>
  <si>
    <t>Fasseur</t>
  </si>
  <si>
    <t>Frederic</t>
  </si>
  <si>
    <t>Van Cauwenberg</t>
  </si>
  <si>
    <t>De Roo</t>
  </si>
  <si>
    <t>Jo</t>
  </si>
  <si>
    <t>Beke</t>
  </si>
  <si>
    <t>Erik</t>
  </si>
  <si>
    <t>Cuvelier</t>
  </si>
  <si>
    <t>Bernard</t>
  </si>
  <si>
    <t>Martens</t>
  </si>
  <si>
    <t>Lucq</t>
  </si>
  <si>
    <t>Joeri</t>
  </si>
  <si>
    <t>Schijvens</t>
  </si>
  <si>
    <t>Ronny</t>
  </si>
  <si>
    <t>G10</t>
  </si>
  <si>
    <t>De Vos</t>
  </si>
  <si>
    <t>Günter</t>
  </si>
  <si>
    <t>Isiklar</t>
  </si>
  <si>
    <t>Okan</t>
  </si>
  <si>
    <t>De Keyzer</t>
  </si>
  <si>
    <t>Jan</t>
  </si>
  <si>
    <t>vanden Bulcke</t>
  </si>
  <si>
    <t>Johan</t>
  </si>
  <si>
    <t>Sonck</t>
  </si>
  <si>
    <t>Kristof</t>
  </si>
  <si>
    <t>Van Herreweghe</t>
  </si>
  <si>
    <t>Branco</t>
  </si>
  <si>
    <t>Acosta Salinas</t>
  </si>
  <si>
    <t>Benigna</t>
  </si>
  <si>
    <t>Haenebalcke</t>
  </si>
  <si>
    <t>Haaze</t>
  </si>
  <si>
    <t>Sarah</t>
  </si>
  <si>
    <t>De Clercq</t>
  </si>
  <si>
    <t>Rodrigue</t>
  </si>
  <si>
    <t>Vincent</t>
  </si>
  <si>
    <t>G70</t>
  </si>
  <si>
    <t>Aspeslagh</t>
  </si>
  <si>
    <t>Geert</t>
  </si>
  <si>
    <t>Beeckman</t>
  </si>
  <si>
    <t>Alex</t>
  </si>
  <si>
    <t>Vanderstraeten</t>
  </si>
  <si>
    <t>Maes</t>
  </si>
  <si>
    <t>Tony</t>
  </si>
  <si>
    <t>Jeroen</t>
  </si>
  <si>
    <t>Maelbrancke</t>
  </si>
  <si>
    <t>Eddy</t>
  </si>
  <si>
    <t>Steenbrugge</t>
  </si>
  <si>
    <t>Jouret</t>
  </si>
  <si>
    <t>Alain</t>
  </si>
  <si>
    <t>Vantilcke</t>
  </si>
  <si>
    <t>Fabien</t>
  </si>
  <si>
    <t>Smet</t>
  </si>
  <si>
    <t>Antoon</t>
  </si>
  <si>
    <t>Middernacht</t>
  </si>
  <si>
    <t>Andy</t>
  </si>
  <si>
    <t>Lefebvre</t>
  </si>
  <si>
    <t>Olivier</t>
  </si>
  <si>
    <t>GW09</t>
  </si>
  <si>
    <t>Van Wezemael</t>
  </si>
  <si>
    <t>Vandevyvere</t>
  </si>
  <si>
    <t>Callebert</t>
  </si>
  <si>
    <t>Pieter Jan</t>
  </si>
  <si>
    <t>Goossens</t>
  </si>
  <si>
    <t>Gunther</t>
  </si>
  <si>
    <t>Van Semmertier</t>
  </si>
  <si>
    <t>Oben</t>
  </si>
  <si>
    <t>Thibaud</t>
  </si>
  <si>
    <t>Debreuckere</t>
  </si>
  <si>
    <t>Renzo</t>
  </si>
  <si>
    <t>Roels</t>
  </si>
  <si>
    <t>Els</t>
  </si>
  <si>
    <t>Oueslati</t>
  </si>
  <si>
    <t>Mohamed Ali</t>
  </si>
  <si>
    <t>Kirsan</t>
  </si>
  <si>
    <t>Ömer</t>
  </si>
  <si>
    <t>Horemans</t>
  </si>
  <si>
    <t>GW10</t>
  </si>
  <si>
    <t>Bral</t>
  </si>
  <si>
    <t>Jessica</t>
  </si>
  <si>
    <t>Justé</t>
  </si>
  <si>
    <t>Dejonckheere</t>
  </si>
  <si>
    <t>Govaerts</t>
  </si>
  <si>
    <t>Sandro</t>
  </si>
  <si>
    <t>Bonne</t>
  </si>
  <si>
    <t>Niko</t>
  </si>
  <si>
    <t>De Sutter</t>
  </si>
  <si>
    <t>Michiel</t>
  </si>
  <si>
    <t>Van de Velde</t>
  </si>
  <si>
    <t>Valentijn</t>
  </si>
  <si>
    <t>Göktas</t>
  </si>
  <si>
    <t>Muharrem</t>
  </si>
  <si>
    <t>Van Hoe</t>
  </si>
  <si>
    <t>Youri</t>
  </si>
  <si>
    <t>Vermeir</t>
  </si>
  <si>
    <t>Davy</t>
  </si>
  <si>
    <t>Boelaert</t>
  </si>
  <si>
    <t>Frederik</t>
  </si>
  <si>
    <t>Marinx</t>
  </si>
  <si>
    <t>Kristoff</t>
  </si>
  <si>
    <t>Rouan</t>
  </si>
  <si>
    <t>Bart</t>
  </si>
  <si>
    <t>Adiyil</t>
  </si>
  <si>
    <t>Attila</t>
  </si>
  <si>
    <t>Wyffels</t>
  </si>
  <si>
    <t>Jean-Pierre</t>
  </si>
  <si>
    <t>Vanrenterghem</t>
  </si>
  <si>
    <t>Serge</t>
  </si>
  <si>
    <t>Bohez</t>
  </si>
  <si>
    <t>De Pauw</t>
  </si>
  <si>
    <t>Van De Velde</t>
  </si>
  <si>
    <t>Anneleen</t>
  </si>
  <si>
    <t>Vanthomme</t>
  </si>
  <si>
    <t>De Fré</t>
  </si>
  <si>
    <t>Sandra</t>
  </si>
  <si>
    <t>Inge</t>
  </si>
  <si>
    <t>De Graeve</t>
  </si>
  <si>
    <t>Marc</t>
  </si>
  <si>
    <t>Wulfranck</t>
  </si>
  <si>
    <t>ML12</t>
  </si>
  <si>
    <t>La Fontaine</t>
  </si>
  <si>
    <t>El-Mohamed</t>
  </si>
  <si>
    <t>Mohamed</t>
  </si>
  <si>
    <t>Van Malderghem</t>
  </si>
  <si>
    <t>Niels</t>
  </si>
  <si>
    <t>Verwee</t>
  </si>
  <si>
    <t>Dries</t>
  </si>
  <si>
    <t>Simsek</t>
  </si>
  <si>
    <t>Vindevogel</t>
  </si>
  <si>
    <t>Nick</t>
  </si>
  <si>
    <t>Serdar</t>
  </si>
  <si>
    <t>Mertens</t>
  </si>
  <si>
    <t>Tom</t>
  </si>
  <si>
    <t>Van Achte</t>
  </si>
  <si>
    <t>Jay</t>
  </si>
  <si>
    <t>Özer</t>
  </si>
  <si>
    <t>Özgur</t>
  </si>
  <si>
    <t>Oosterlinck</t>
  </si>
  <si>
    <t>MN24</t>
  </si>
  <si>
    <t>De Ridder</t>
  </si>
  <si>
    <t>Danny</t>
  </si>
  <si>
    <t>Sari</t>
  </si>
  <si>
    <t>Cemâl</t>
  </si>
  <si>
    <t>Kaya</t>
  </si>
  <si>
    <t>Aydin</t>
  </si>
  <si>
    <t>De Wit</t>
  </si>
  <si>
    <t>Peers</t>
  </si>
  <si>
    <t>Mario</t>
  </si>
  <si>
    <t>Unver</t>
  </si>
  <si>
    <t>Ismaïl</t>
  </si>
  <si>
    <t>Köroglu</t>
  </si>
  <si>
    <t>Ercan</t>
  </si>
  <si>
    <t>Van Limbergen</t>
  </si>
  <si>
    <t>Ghani</t>
  </si>
  <si>
    <t>Mozamil</t>
  </si>
  <si>
    <t>Halil</t>
  </si>
  <si>
    <t>Fiers</t>
  </si>
  <si>
    <t>Kenny</t>
  </si>
  <si>
    <t>Coban</t>
  </si>
  <si>
    <t>Mehmet</t>
  </si>
  <si>
    <t>Vandaele</t>
  </si>
  <si>
    <t>Minbari</t>
  </si>
  <si>
    <t>Ako</t>
  </si>
  <si>
    <t>Aytekin</t>
  </si>
  <si>
    <t>Braeckman</t>
  </si>
  <si>
    <t>Wouter</t>
  </si>
  <si>
    <t>De Smet</t>
  </si>
  <si>
    <t>Van Rentergem</t>
  </si>
  <si>
    <t>Abdi Shaiye</t>
  </si>
  <si>
    <t>Rashid</t>
  </si>
  <si>
    <t>Abdulkader</t>
  </si>
  <si>
    <t>Sabah</t>
  </si>
  <si>
    <t>Berth</t>
  </si>
  <si>
    <t>Van Wayenbergh</t>
  </si>
  <si>
    <t>Yordi</t>
  </si>
  <si>
    <t>Van Eenaeme</t>
  </si>
  <si>
    <t>MV12</t>
  </si>
  <si>
    <t>Mestdagh</t>
  </si>
  <si>
    <t>Vanlerberghe</t>
  </si>
  <si>
    <t>Rudy</t>
  </si>
  <si>
    <t>Odaci</t>
  </si>
  <si>
    <t>Vonck</t>
  </si>
  <si>
    <t>Van Den Neste</t>
  </si>
  <si>
    <t>Diederik</t>
  </si>
  <si>
    <t>Verstichel</t>
  </si>
  <si>
    <t>Jethro</t>
  </si>
  <si>
    <t>Pluym</t>
  </si>
  <si>
    <t>Unal</t>
  </si>
  <si>
    <t>Gök</t>
  </si>
  <si>
    <t>Davut</t>
  </si>
  <si>
    <t>Van de Capelle</t>
  </si>
  <si>
    <t>Busson</t>
  </si>
  <si>
    <t>De Boeck</t>
  </si>
  <si>
    <t>Johannes</t>
  </si>
  <si>
    <t>MW12</t>
  </si>
  <si>
    <t>Kizilmese</t>
  </si>
  <si>
    <t>Emra</t>
  </si>
  <si>
    <t>Celikoz</t>
  </si>
  <si>
    <t>Musa</t>
  </si>
  <si>
    <t>Vranken</t>
  </si>
  <si>
    <t>Zulkifly</t>
  </si>
  <si>
    <t>Cesmeli</t>
  </si>
  <si>
    <t>Achraf</t>
  </si>
  <si>
    <t>Abdulhamid</t>
  </si>
  <si>
    <t>Agil</t>
  </si>
  <si>
    <t>Birol</t>
  </si>
  <si>
    <t>Ahlaloum</t>
  </si>
  <si>
    <t>Khalid</t>
  </si>
  <si>
    <t>Willy</t>
  </si>
  <si>
    <t>De Lange</t>
  </si>
  <si>
    <t>Mine</t>
  </si>
  <si>
    <t>Akin</t>
  </si>
  <si>
    <t>Bastiaen</t>
  </si>
  <si>
    <t>Eric</t>
  </si>
  <si>
    <t>PPP</t>
  </si>
  <si>
    <t>Flamant</t>
  </si>
  <si>
    <t>Dierinck</t>
  </si>
  <si>
    <t>Charles</t>
  </si>
  <si>
    <t>Dekeuckelaere</t>
  </si>
  <si>
    <t>Paul</t>
  </si>
  <si>
    <t>Neghli</t>
  </si>
  <si>
    <t>Farid</t>
  </si>
  <si>
    <t>Petrovic</t>
  </si>
  <si>
    <t>Damir</t>
  </si>
  <si>
    <t>Geoffrey</t>
  </si>
  <si>
    <t>Colaes</t>
  </si>
  <si>
    <t>Dylan</t>
  </si>
  <si>
    <t>Ivo</t>
  </si>
  <si>
    <t>Verroeye</t>
  </si>
  <si>
    <t>Chris</t>
  </si>
  <si>
    <t>Dekens</t>
  </si>
  <si>
    <t>De Henau</t>
  </si>
  <si>
    <t>Wim</t>
  </si>
  <si>
    <t>Riahi</t>
  </si>
  <si>
    <t>Brahim</t>
  </si>
  <si>
    <t>Huseyin</t>
  </si>
  <si>
    <t>Kilinc</t>
  </si>
  <si>
    <t>Atilay</t>
  </si>
  <si>
    <t>Fadel</t>
  </si>
  <si>
    <t>Husam</t>
  </si>
  <si>
    <t>De Nys</t>
  </si>
  <si>
    <t>Elise</t>
  </si>
  <si>
    <t>El Aaddam</t>
  </si>
  <si>
    <t>Hodayfa</t>
  </si>
  <si>
    <t>Malak</t>
  </si>
  <si>
    <t>Kemal</t>
  </si>
  <si>
    <t>Callens</t>
  </si>
  <si>
    <t>Dimitri</t>
  </si>
  <si>
    <t>Ruben</t>
  </si>
  <si>
    <t>Dacic</t>
  </si>
  <si>
    <t>Esmir</t>
  </si>
  <si>
    <t>Haché</t>
  </si>
  <si>
    <t>Demirkazik</t>
  </si>
  <si>
    <t>Antoniewicz</t>
  </si>
  <si>
    <t>Stephan</t>
  </si>
  <si>
    <t>Blondeel</t>
  </si>
  <si>
    <t>Walleyn</t>
  </si>
  <si>
    <t>Renaat</t>
  </si>
  <si>
    <t>Demirkaya</t>
  </si>
  <si>
    <t>Kâzim</t>
  </si>
  <si>
    <t>Sturtewagen</t>
  </si>
  <si>
    <t>De Tandt</t>
  </si>
  <si>
    <t>Hans</t>
  </si>
  <si>
    <t>Öztürk</t>
  </si>
  <si>
    <t>Bilgehan</t>
  </si>
  <si>
    <t>Damlakhi</t>
  </si>
  <si>
    <t>Nawras</t>
  </si>
  <si>
    <t>De Groote</t>
  </si>
  <si>
    <t>Charlotte</t>
  </si>
  <si>
    <t>Van Doorselaere</t>
  </si>
  <si>
    <t>Alan</t>
  </si>
  <si>
    <t>Isa</t>
  </si>
  <si>
    <t>Aljorof</t>
  </si>
  <si>
    <t>Marwan</t>
  </si>
  <si>
    <t>Stomphorst</t>
  </si>
  <si>
    <t>Mattanja</t>
  </si>
  <si>
    <t>Asskale</t>
  </si>
  <si>
    <t>Zouhir</t>
  </si>
  <si>
    <t>Uckuyulu</t>
  </si>
  <si>
    <t>Muhammet Emin</t>
  </si>
  <si>
    <t>Muys</t>
  </si>
  <si>
    <t>Aäron</t>
  </si>
  <si>
    <t>Ben Sidhom</t>
  </si>
  <si>
    <t>Samir</t>
  </si>
  <si>
    <t>Meskens</t>
  </si>
  <si>
    <t>Anthony</t>
  </si>
  <si>
    <t>Devrim</t>
  </si>
  <si>
    <t>Huyghe</t>
  </si>
  <si>
    <t>Sven</t>
  </si>
  <si>
    <t>Smajla</t>
  </si>
  <si>
    <t>Samet</t>
  </si>
  <si>
    <t>Dossche</t>
  </si>
  <si>
    <t>Caroline</t>
  </si>
  <si>
    <t>Sancak</t>
  </si>
  <si>
    <t>Eyuphan</t>
  </si>
  <si>
    <t>Sedighi</t>
  </si>
  <si>
    <t>Hamid</t>
  </si>
  <si>
    <t>Al Masri</t>
  </si>
  <si>
    <t>Anas</t>
  </si>
  <si>
    <t>Shinwari</t>
  </si>
  <si>
    <t>Yasin</t>
  </si>
  <si>
    <t>Abdi Ali</t>
  </si>
  <si>
    <t>Ali</t>
  </si>
  <si>
    <t>Van Holsbeeck</t>
  </si>
  <si>
    <t>Asrih</t>
  </si>
  <si>
    <t>Habib</t>
  </si>
  <si>
    <t>Dalli</t>
  </si>
  <si>
    <t>Landoulsi</t>
  </si>
  <si>
    <t>Sabeur</t>
  </si>
  <si>
    <t>Burrick</t>
  </si>
  <si>
    <t>Salam Housin</t>
  </si>
  <si>
    <t>Weeks Aracena</t>
  </si>
  <si>
    <t>Jimmy Alexander</t>
  </si>
  <si>
    <t>Bensalah</t>
  </si>
  <si>
    <t>Mohammed</t>
  </si>
  <si>
    <t>Sahin</t>
  </si>
  <si>
    <t>Orhan</t>
  </si>
  <si>
    <t>Mihaylov</t>
  </si>
  <si>
    <t>Plamen</t>
  </si>
  <si>
    <t>Cedric</t>
  </si>
  <si>
    <t>Nguende Ngatcheu</t>
  </si>
  <si>
    <t>Ivan Belerd</t>
  </si>
  <si>
    <t>Duyck</t>
  </si>
  <si>
    <t>Kimberly</t>
  </si>
  <si>
    <t>Sayin</t>
  </si>
  <si>
    <t>Batuhan</t>
  </si>
  <si>
    <t>Kallenbach</t>
  </si>
  <si>
    <t>Sunny</t>
  </si>
  <si>
    <t>Camacho Encarnacion</t>
  </si>
  <si>
    <t>Lisandro Javier</t>
  </si>
  <si>
    <t>Lloyd</t>
  </si>
  <si>
    <t>Stanikazi</t>
  </si>
  <si>
    <t>Roien Sadder</t>
  </si>
  <si>
    <t>Calinalti</t>
  </si>
  <si>
    <t>Abdil</t>
  </si>
  <si>
    <t>Izmir</t>
  </si>
  <si>
    <t>Marian</t>
  </si>
  <si>
    <t>Birsanuc</t>
  </si>
  <si>
    <t>Staneva</t>
  </si>
  <si>
    <t>Mariyana</t>
  </si>
  <si>
    <t>De Wilde</t>
  </si>
  <si>
    <t>Jordy</t>
  </si>
  <si>
    <t>Mirazai</t>
  </si>
  <si>
    <t>Rahmatullah</t>
  </si>
  <si>
    <t>Mattan</t>
  </si>
  <si>
    <t>Maaren</t>
  </si>
  <si>
    <t>Souda</t>
  </si>
  <si>
    <t>Benjamin</t>
  </si>
  <si>
    <t>Bernaerts</t>
  </si>
  <si>
    <t>Tacq</t>
  </si>
  <si>
    <t>Joey</t>
  </si>
  <si>
    <t>Steurbaut</t>
  </si>
  <si>
    <t>Henri</t>
  </si>
  <si>
    <t>Repaj</t>
  </si>
  <si>
    <t>Ramazan</t>
  </si>
  <si>
    <t>El Khayat</t>
  </si>
  <si>
    <t>Jamal</t>
  </si>
  <si>
    <t>Nohut</t>
  </si>
  <si>
    <t>Baki</t>
  </si>
  <si>
    <t>Avci</t>
  </si>
  <si>
    <t>Muhammet Abdullah</t>
  </si>
  <si>
    <t>Serkan</t>
  </si>
  <si>
    <t>Dolgiev</t>
  </si>
  <si>
    <t>Mukhamed</t>
  </si>
  <si>
    <t>Curukcu</t>
  </si>
  <si>
    <t>Bayram</t>
  </si>
  <si>
    <t>Jacobs</t>
  </si>
  <si>
    <t>Elos</t>
  </si>
  <si>
    <t>Helleputte</t>
  </si>
  <si>
    <t>William</t>
  </si>
  <si>
    <t>Costers</t>
  </si>
  <si>
    <t>Kelly</t>
  </si>
  <si>
    <t>Khder</t>
  </si>
  <si>
    <t>Aram</t>
  </si>
  <si>
    <t>Sherifi</t>
  </si>
  <si>
    <t>Gani</t>
  </si>
  <si>
    <t>Prové</t>
  </si>
  <si>
    <t>Michaël</t>
  </si>
  <si>
    <t>Ennakaba</t>
  </si>
  <si>
    <t>Khaoula</t>
  </si>
  <si>
    <t>Salimova</t>
  </si>
  <si>
    <t>Eydzhan</t>
  </si>
  <si>
    <t>Afara</t>
  </si>
  <si>
    <t>Ammar</t>
  </si>
  <si>
    <t>Sögüt</t>
  </si>
  <si>
    <t>Can</t>
  </si>
  <si>
    <t>Karakaya</t>
  </si>
  <si>
    <t>Oguz</t>
  </si>
  <si>
    <t>De Waegeneer</t>
  </si>
  <si>
    <t>Cardon</t>
  </si>
  <si>
    <t>Sharon</t>
  </si>
  <si>
    <t>Moerman</t>
  </si>
  <si>
    <t>Tjimmy</t>
  </si>
  <si>
    <t>VandenDaele</t>
  </si>
  <si>
    <t>Arne</t>
  </si>
  <si>
    <t>Shahriyari</t>
  </si>
  <si>
    <t>Khalil</t>
  </si>
  <si>
    <t>Van Iterson</t>
  </si>
  <si>
    <t>Troch</t>
  </si>
  <si>
    <t>Jorick</t>
  </si>
  <si>
    <t>Ates</t>
  </si>
  <si>
    <t>Firat</t>
  </si>
  <si>
    <t>Bytebier</t>
  </si>
  <si>
    <t>Jason</t>
  </si>
  <si>
    <t>Kurti</t>
  </si>
  <si>
    <t>Domeniko</t>
  </si>
  <si>
    <t>Gilyann</t>
  </si>
  <si>
    <t>Fakash</t>
  </si>
  <si>
    <t>De Souza</t>
  </si>
  <si>
    <t>Marcos Eduardo</t>
  </si>
  <si>
    <t>Lopez Hernandez</t>
  </si>
  <si>
    <t>Herber Felix</t>
  </si>
  <si>
    <t>Hashimi</t>
  </si>
  <si>
    <t>Ali Mir</t>
  </si>
  <si>
    <t>Mekdad</t>
  </si>
  <si>
    <t>Noppe</t>
  </si>
  <si>
    <t>Lode</t>
  </si>
  <si>
    <t>Hiloui</t>
  </si>
  <si>
    <t>De Vijlder</t>
  </si>
  <si>
    <t>Ivanov</t>
  </si>
  <si>
    <t>Ivan</t>
  </si>
  <si>
    <t>Gözüküçük</t>
  </si>
  <si>
    <t>Ugur</t>
  </si>
  <si>
    <t>Neissi</t>
  </si>
  <si>
    <t>Sadegh</t>
  </si>
  <si>
    <t>Yagoub</t>
  </si>
  <si>
    <t>Hyuseinov</t>
  </si>
  <si>
    <t>Berdan</t>
  </si>
  <si>
    <t>Nejmeddine</t>
  </si>
  <si>
    <t>Cisse</t>
  </si>
  <si>
    <t>Sayon</t>
  </si>
  <si>
    <t>Rocabado Hinojosa</t>
  </si>
  <si>
    <t>Lukas</t>
  </si>
  <si>
    <t>Natad</t>
  </si>
  <si>
    <t>Younes</t>
  </si>
  <si>
    <t>Ardic</t>
  </si>
  <si>
    <t>Atilla</t>
  </si>
  <si>
    <t>Yavas</t>
  </si>
  <si>
    <t>Talha</t>
  </si>
  <si>
    <t>Shah</t>
  </si>
  <si>
    <t>Sekandar</t>
  </si>
  <si>
    <t>De Keyser</t>
  </si>
  <si>
    <t>Dorien</t>
  </si>
  <si>
    <t>De smet</t>
  </si>
  <si>
    <t>Hoeckman</t>
  </si>
  <si>
    <t>Yana</t>
  </si>
  <si>
    <t>De Witte</t>
  </si>
  <si>
    <t>Abulehia</t>
  </si>
  <si>
    <t>Oday</t>
  </si>
  <si>
    <t>Frise</t>
  </si>
  <si>
    <t>Jordi</t>
  </si>
  <si>
    <t>Van Huffel</t>
  </si>
  <si>
    <t>Tim</t>
  </si>
  <si>
    <t>Inci</t>
  </si>
  <si>
    <t>Hillaert</t>
  </si>
  <si>
    <t>Thimo</t>
  </si>
  <si>
    <t>Van Eeckhaut</t>
  </si>
  <si>
    <t>Rudi</t>
  </si>
  <si>
    <t>Hasan</t>
  </si>
  <si>
    <t>Salem</t>
  </si>
  <si>
    <t>Van de Winckel</t>
  </si>
  <si>
    <t>Fazal</t>
  </si>
  <si>
    <t>Zjarmi</t>
  </si>
  <si>
    <t>Hylgis</t>
  </si>
  <si>
    <t>Nolf</t>
  </si>
  <si>
    <t>Philippe</t>
  </si>
  <si>
    <t>Özdemir</t>
  </si>
  <si>
    <t>Smets</t>
  </si>
  <si>
    <t>Avery</t>
  </si>
  <si>
    <t>Bekir</t>
  </si>
  <si>
    <t>Naessens</t>
  </si>
  <si>
    <t>Yves</t>
  </si>
  <si>
    <t>Bachiri</t>
  </si>
  <si>
    <t>Ousama</t>
  </si>
  <si>
    <t>Kasmi</t>
  </si>
  <si>
    <t>Abdesamad</t>
  </si>
  <si>
    <t>Diels</t>
  </si>
  <si>
    <t>Karanfil</t>
  </si>
  <si>
    <t>Ibrahim</t>
  </si>
  <si>
    <t>Yannick</t>
  </si>
  <si>
    <t>Dobbeleire</t>
  </si>
  <si>
    <t>Van der Bauwhede</t>
  </si>
  <si>
    <t>Ben</t>
  </si>
  <si>
    <t>De Rammelaere</t>
  </si>
  <si>
    <t>Babai</t>
  </si>
  <si>
    <t>Saber</t>
  </si>
  <si>
    <t>Vervaecke</t>
  </si>
  <si>
    <t>Van Loo</t>
  </si>
  <si>
    <t>Mike</t>
  </si>
  <si>
    <t>Tuncer</t>
  </si>
  <si>
    <t>Hamza</t>
  </si>
  <si>
    <t>Bogaert</t>
  </si>
  <si>
    <t>El Gana</t>
  </si>
  <si>
    <t>Karim</t>
  </si>
  <si>
    <t>Safi</t>
  </si>
  <si>
    <t>Amrullah</t>
  </si>
  <si>
    <t>Crop</t>
  </si>
  <si>
    <t>Keita</t>
  </si>
  <si>
    <t>Yassin</t>
  </si>
  <si>
    <t>De Bruycker</t>
  </si>
  <si>
    <t>Othman</t>
  </si>
  <si>
    <t>Rahoens</t>
  </si>
  <si>
    <t>Christ</t>
  </si>
  <si>
    <t>Van den Bossche</t>
  </si>
  <si>
    <t>Jarne</t>
  </si>
  <si>
    <t>Verniers</t>
  </si>
  <si>
    <t>Coppens</t>
  </si>
  <si>
    <t>Lauwrence</t>
  </si>
  <si>
    <t>Rombaut</t>
  </si>
  <si>
    <t>Timo</t>
  </si>
  <si>
    <t>Aissati</t>
  </si>
  <si>
    <t>Ridouan</t>
  </si>
  <si>
    <t>Derraj</t>
  </si>
  <si>
    <t>Arsid</t>
  </si>
  <si>
    <t>Dimitry</t>
  </si>
  <si>
    <t>RESF2</t>
  </si>
  <si>
    <t>Momand</t>
  </si>
  <si>
    <t>Abdullah</t>
  </si>
  <si>
    <t>Camgöz</t>
  </si>
  <si>
    <t>Furkan</t>
  </si>
  <si>
    <t>AL-Haddad</t>
  </si>
  <si>
    <t>Blancquaert</t>
  </si>
  <si>
    <t>Alademir</t>
  </si>
  <si>
    <t>Muhammer</t>
  </si>
  <si>
    <t>Gys</t>
  </si>
  <si>
    <t>Shayya</t>
  </si>
  <si>
    <t>Orozco Camacho</t>
  </si>
  <si>
    <t>Ronald Reynaldo</t>
  </si>
  <si>
    <t>Cichonski</t>
  </si>
  <si>
    <t>Kamil</t>
  </si>
  <si>
    <t>Metehan</t>
  </si>
  <si>
    <t>Akbulut</t>
  </si>
  <si>
    <t>Samed</t>
  </si>
  <si>
    <t>Bontinck</t>
  </si>
  <si>
    <t>Sular</t>
  </si>
  <si>
    <t>Güler</t>
  </si>
  <si>
    <t>Ender</t>
  </si>
  <si>
    <t>Abdul</t>
  </si>
  <si>
    <t>Lega</t>
  </si>
  <si>
    <t>Claude</t>
  </si>
  <si>
    <t>RESV</t>
  </si>
  <si>
    <t>Allan</t>
  </si>
  <si>
    <t>Kenneth</t>
  </si>
  <si>
    <t>Kayim</t>
  </si>
  <si>
    <t>Aelterman</t>
  </si>
  <si>
    <t>Luc</t>
  </si>
  <si>
    <t>Bolle</t>
  </si>
  <si>
    <t>Cynthia</t>
  </si>
  <si>
    <t>Criel</t>
  </si>
  <si>
    <t>Veronique</t>
  </si>
  <si>
    <t>Priwall</t>
  </si>
  <si>
    <t>Heike</t>
  </si>
  <si>
    <t>Meau</t>
  </si>
  <si>
    <t>Tania</t>
  </si>
  <si>
    <t>S05</t>
  </si>
  <si>
    <t>Rosita</t>
  </si>
  <si>
    <t>Platteau</t>
  </si>
  <si>
    <t>Lydie</t>
  </si>
  <si>
    <t>Anjuijn</t>
  </si>
  <si>
    <t>Vanessa</t>
  </si>
  <si>
    <t>Goethals</t>
  </si>
  <si>
    <t>Mesut</t>
  </si>
  <si>
    <t>Hoste</t>
  </si>
  <si>
    <t>Wieme</t>
  </si>
  <si>
    <t>Bashir</t>
  </si>
  <si>
    <t>Muhammad Salman</t>
  </si>
  <si>
    <t>Van De Voorde</t>
  </si>
  <si>
    <t>Cindy</t>
  </si>
  <si>
    <t>Remue</t>
  </si>
  <si>
    <t>SW05</t>
  </si>
  <si>
    <t>De Feyter</t>
  </si>
  <si>
    <t>Kirdas</t>
  </si>
  <si>
    <t>Süleyman</t>
  </si>
  <si>
    <t>D'Haeyere</t>
  </si>
  <si>
    <t>Lippens</t>
  </si>
  <si>
    <t>Miguel</t>
  </si>
  <si>
    <t>De Muynck</t>
  </si>
  <si>
    <t>Laurian</t>
  </si>
  <si>
    <t>Choaïbi</t>
  </si>
  <si>
    <t>Bilal</t>
  </si>
  <si>
    <t>Deboosere</t>
  </si>
  <si>
    <t>Kathy</t>
  </si>
  <si>
    <t>De taeye</t>
  </si>
  <si>
    <t>Karin</t>
  </si>
  <si>
    <t>Didier</t>
  </si>
  <si>
    <t>Vandenbogaerde</t>
  </si>
  <si>
    <t>T24</t>
  </si>
  <si>
    <t>Seeuws</t>
  </si>
  <si>
    <t>Marnic</t>
  </si>
  <si>
    <t>Riobello-Olalla</t>
  </si>
  <si>
    <t>Wesley</t>
  </si>
  <si>
    <t>Eeckhout</t>
  </si>
  <si>
    <t>Vervoort</t>
  </si>
  <si>
    <t>Koen</t>
  </si>
  <si>
    <t>De Mey</t>
  </si>
  <si>
    <t>Petereyns</t>
  </si>
  <si>
    <t>Devriendt</t>
  </si>
  <si>
    <t>Vandecasteele</t>
  </si>
  <si>
    <t>Ruth</t>
  </si>
  <si>
    <t>Praet</t>
  </si>
  <si>
    <t>Reginald</t>
  </si>
  <si>
    <t>Joos</t>
  </si>
  <si>
    <t>Arampatzis</t>
  </si>
  <si>
    <t>Stavros</t>
  </si>
  <si>
    <t>Delamper</t>
  </si>
  <si>
    <t>Verlaeckt</t>
  </si>
  <si>
    <t>Lincey</t>
  </si>
  <si>
    <t>Ghysels</t>
  </si>
  <si>
    <t>Rivière</t>
  </si>
  <si>
    <t>Pretel</t>
  </si>
  <si>
    <t>Priem</t>
  </si>
  <si>
    <t>Dave</t>
  </si>
  <si>
    <t>De Weirdt</t>
  </si>
  <si>
    <t>Jeffrey</t>
  </si>
  <si>
    <t>TD12</t>
  </si>
  <si>
    <t>Van Vliet</t>
  </si>
  <si>
    <t>De Geyter</t>
  </si>
  <si>
    <t>Claudine</t>
  </si>
  <si>
    <t>Dejonghe</t>
  </si>
  <si>
    <t>Van Landschoot</t>
  </si>
  <si>
    <t>Jürgen</t>
  </si>
  <si>
    <t>Boone</t>
  </si>
  <si>
    <t>Vervust</t>
  </si>
  <si>
    <t>Guido</t>
  </si>
  <si>
    <t>De Craene</t>
  </si>
  <si>
    <t>Westelinck</t>
  </si>
  <si>
    <t>Eggermont</t>
  </si>
  <si>
    <t>TL12</t>
  </si>
  <si>
    <t>Lootens</t>
  </si>
  <si>
    <t>De Moor</t>
  </si>
  <si>
    <t>De Craemer</t>
  </si>
  <si>
    <t>Bicici</t>
  </si>
  <si>
    <t>Abdul Kadir</t>
  </si>
  <si>
    <t>Osseel</t>
  </si>
  <si>
    <t>Tayefeh Arbab</t>
  </si>
  <si>
    <t>Devos</t>
  </si>
  <si>
    <t>Stefaan</t>
  </si>
  <si>
    <t>Van Puyenbroeck</t>
  </si>
  <si>
    <t>Pascale</t>
  </si>
  <si>
    <t>Murat</t>
  </si>
  <si>
    <t>TN24</t>
  </si>
  <si>
    <t>Deschrijver</t>
  </si>
  <si>
    <t>Gevaert</t>
  </si>
  <si>
    <t>Imschoot</t>
  </si>
  <si>
    <t>Davey</t>
  </si>
  <si>
    <t>Luttens</t>
  </si>
  <si>
    <t>Haelterman</t>
  </si>
  <si>
    <t>Cetinkaya</t>
  </si>
  <si>
    <t>Veysel</t>
  </si>
  <si>
    <t>Hublau</t>
  </si>
  <si>
    <t>Roland</t>
  </si>
  <si>
    <t>De Meester</t>
  </si>
  <si>
    <t>Siderov</t>
  </si>
  <si>
    <t>Miroslav</t>
  </si>
  <si>
    <t>Frans</t>
  </si>
  <si>
    <t>Gabriella</t>
  </si>
  <si>
    <t>Verbanck</t>
  </si>
  <si>
    <t>Parmentier</t>
  </si>
  <si>
    <t>Van Lierde</t>
  </si>
  <si>
    <t>Michel</t>
  </si>
  <si>
    <t>Olenski</t>
  </si>
  <si>
    <t>Leonard</t>
  </si>
  <si>
    <t>Haerens</t>
  </si>
  <si>
    <t>Verberckmoes</t>
  </si>
  <si>
    <t>Sebastiaan</t>
  </si>
  <si>
    <t>Ridvan</t>
  </si>
  <si>
    <t>Hasni</t>
  </si>
  <si>
    <t>Helmi</t>
  </si>
  <si>
    <t>Saey</t>
  </si>
  <si>
    <t>Elias</t>
  </si>
  <si>
    <t>Kerremans</t>
  </si>
  <si>
    <t>Loots</t>
  </si>
  <si>
    <t>Grypdonck</t>
  </si>
  <si>
    <t>TO15</t>
  </si>
  <si>
    <t>Depaepe</t>
  </si>
  <si>
    <t>Petit</t>
  </si>
  <si>
    <t>Hoffelinck</t>
  </si>
  <si>
    <t>Thomas</t>
  </si>
  <si>
    <t>Wulleput</t>
  </si>
  <si>
    <t>Illya</t>
  </si>
  <si>
    <t>Limbourg</t>
  </si>
  <si>
    <t>Heidi</t>
  </si>
  <si>
    <t>De Staercke</t>
  </si>
  <si>
    <t>Desmadryl</t>
  </si>
  <si>
    <t>Desmet</t>
  </si>
  <si>
    <t>Patricia</t>
  </si>
  <si>
    <t>De Kee</t>
  </si>
  <si>
    <t>Ina</t>
  </si>
  <si>
    <t>TR15</t>
  </si>
  <si>
    <t>Thibaut</t>
  </si>
  <si>
    <t>Bouckhout</t>
  </si>
  <si>
    <t>Ingeborg</t>
  </si>
  <si>
    <t>Doolaege</t>
  </si>
  <si>
    <t>Elisa</t>
  </si>
  <si>
    <t>De Schenkel</t>
  </si>
  <si>
    <t>Mehman Doust</t>
  </si>
  <si>
    <t>Farhad</t>
  </si>
  <si>
    <t>Vanderstock</t>
  </si>
  <si>
    <t>Baetslé</t>
  </si>
  <si>
    <t>Stephen</t>
  </si>
  <si>
    <t>De Plus</t>
  </si>
  <si>
    <t>Gunter</t>
  </si>
  <si>
    <t>TV12</t>
  </si>
  <si>
    <t>De Vrieze</t>
  </si>
  <si>
    <t>Ludo</t>
  </si>
  <si>
    <t>Van Kerckhove</t>
  </si>
  <si>
    <t>Sabine</t>
  </si>
  <si>
    <t>Sofie</t>
  </si>
  <si>
    <t>De paepe</t>
  </si>
  <si>
    <t>Hilde</t>
  </si>
  <si>
    <t>Vermaete</t>
  </si>
  <si>
    <t>Willems</t>
  </si>
  <si>
    <t>Kristine</t>
  </si>
  <si>
    <t>Binard</t>
  </si>
  <si>
    <t>Merre</t>
  </si>
  <si>
    <t>Vinck</t>
  </si>
  <si>
    <t>Dewispelaere</t>
  </si>
  <si>
    <t>Lust</t>
  </si>
  <si>
    <t>Dominiek</t>
  </si>
  <si>
    <t>De Weirt</t>
  </si>
  <si>
    <t>TW24</t>
  </si>
  <si>
    <t>Devriese</t>
  </si>
  <si>
    <t>Van Lauwe</t>
  </si>
  <si>
    <t>Idrisi</t>
  </si>
  <si>
    <t>Hasana</t>
  </si>
  <si>
    <t>Pekdemir</t>
  </si>
  <si>
    <t>Ilkmur</t>
  </si>
  <si>
    <t>Mestdag</t>
  </si>
  <si>
    <t>Marius</t>
  </si>
  <si>
    <t>Laforce</t>
  </si>
  <si>
    <t>In</t>
  </si>
  <si>
    <t>Alkanat</t>
  </si>
  <si>
    <t>Metin</t>
  </si>
  <si>
    <t>De Volder</t>
  </si>
  <si>
    <t>Dierick</t>
  </si>
  <si>
    <t>Kesteloot</t>
  </si>
  <si>
    <t>Van Hulle</t>
  </si>
  <si>
    <t>Werner</t>
  </si>
  <si>
    <t>Delahaye</t>
  </si>
  <si>
    <t>Karina</t>
  </si>
  <si>
    <t>Brilyov</t>
  </si>
  <si>
    <t>Dmitriy</t>
  </si>
  <si>
    <t>Achalhi</t>
  </si>
  <si>
    <t>Abderrachid</t>
  </si>
  <si>
    <t>Baetens</t>
  </si>
  <si>
    <t>Christine</t>
  </si>
  <si>
    <t>Dellaert</t>
  </si>
  <si>
    <t>Planckaert</t>
  </si>
  <si>
    <t>Jurgen</t>
  </si>
  <si>
    <t>Wauters</t>
  </si>
  <si>
    <t>Van Vlem</t>
  </si>
  <si>
    <t>schade/ecoscore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</si>
</sst>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z val="28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b/>
      <i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1">
    <xf numFmtId="0" fontId="0" fillId="0" borderId="0" xfId="0"/>
    <xf numFmtId="49" fontId="0" fillId="3" borderId="0" xfId="0" applyNumberFormat="1" applyFill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16" fontId="0" fillId="0" borderId="0" xfId="0" applyNumberFormat="1"/>
    <xf numFmtId="14" fontId="0" fillId="0" borderId="0" xfId="0" applyNumberFormat="1"/>
    <xf numFmtId="0" fontId="0" fillId="5" borderId="0" xfId="0" applyFill="1"/>
    <xf numFmtId="0" fontId="0" fillId="6" borderId="0" xfId="0" applyFill="1"/>
    <xf numFmtId="14" fontId="0" fillId="5" borderId="0" xfId="0" applyNumberFormat="1" applyFill="1"/>
    <xf numFmtId="0" fontId="0" fillId="5" borderId="0" xfId="0" applyFill="1" applyAlignment="1">
      <alignment horizontal="center"/>
    </xf>
    <xf numFmtId="0" fontId="0" fillId="0" borderId="4" xfId="0" applyBorder="1" applyAlignment="1">
      <alignment wrapText="1"/>
    </xf>
    <xf numFmtId="0" fontId="0" fillId="5" borderId="0" xfId="0" applyFill="1" applyAlignment="1">
      <alignment wrapText="1"/>
    </xf>
    <xf numFmtId="0" fontId="0" fillId="7" borderId="0" xfId="0" applyFill="1"/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5" borderId="7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3" xfId="0" applyBorder="1"/>
    <xf numFmtId="0" fontId="0" fillId="0" borderId="9" xfId="0" applyBorder="1"/>
    <xf numFmtId="0" fontId="2" fillId="5" borderId="7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 vertical="center"/>
    </xf>
    <xf numFmtId="0" fontId="2" fillId="4" borderId="7" xfId="0" applyFont="1" applyFill="1" applyBorder="1" applyAlignment="1">
      <alignment horizontal="left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/>
    </xf>
    <xf numFmtId="14" fontId="0" fillId="9" borderId="0" xfId="0" applyNumberFormat="1" applyFill="1"/>
    <xf numFmtId="0" fontId="0" fillId="0" borderId="0" xfId="0" applyAlignment="1">
      <alignment horizontal="left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4" fillId="0" borderId="4" xfId="0" applyFont="1" applyBorder="1" applyAlignment="1">
      <alignment horizontal="left"/>
    </xf>
    <xf numFmtId="16" fontId="0" fillId="0" borderId="0" xfId="0" applyNumberFormat="1" applyAlignment="1">
      <alignment horizontal="left"/>
    </xf>
    <xf numFmtId="0" fontId="8" fillId="0" borderId="0" xfId="0" applyFont="1"/>
    <xf numFmtId="0" fontId="0" fillId="0" borderId="0" xfId="0" pivotButton="1"/>
    <xf numFmtId="0" fontId="9" fillId="0" borderId="0" xfId="0" applyFont="1"/>
    <xf numFmtId="14" fontId="0" fillId="0" borderId="0" xfId="0" applyNumberForma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7" fillId="8" borderId="0" xfId="0" applyFont="1" applyFill="1" applyAlignment="1">
      <alignment horizontal="center" vertical="center"/>
    </xf>
  </cellXfs>
  <cellStyles count="1">
    <cellStyle name="Standaard" xfId="0" builtinId="0"/>
  </cellStyles>
  <dxfs count="109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outline="0">
        <bottom style="dashed">
          <color auto="1"/>
        </bottom>
      </border>
    </dxf>
    <dxf>
      <alignment horizontal="center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</dxf>
    <dxf>
      <border outline="0">
        <top style="medium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/>
      </fill>
    </dxf>
    <dxf>
      <fill>
        <patternFill patternType="none"/>
      </fill>
    </dxf>
    <dxf>
      <numFmt numFmtId="19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ff Rotty" refreshedDate="46031.756040740744" createdVersion="8" refreshedVersion="8" minRefreshableVersion="3" recordCount="287" xr:uid="{2C2E810B-C8BD-475D-B078-0B5DAE072975}">
  <cacheSource type="worksheet">
    <worksheetSource name="Tabel3"/>
  </cacheSource>
  <cacheFields count="18">
    <cacheField name="Prioriteit" numFmtId="0">
      <sharedItems containsBlank="1"/>
    </cacheField>
    <cacheField name="P-nr" numFmtId="0">
      <sharedItems containsString="0" containsBlank="1" containsNumber="1" containsInteger="1" minValue="4419" maxValue="45736"/>
    </cacheField>
    <cacheField name="Naam" numFmtId="0">
      <sharedItems containsMixedTypes="1" containsNumber="1" containsInteger="1" minValue="36543" maxValue="36543"/>
    </cacheField>
    <cacheField name="Voornaam" numFmtId="0">
      <sharedItems/>
    </cacheField>
    <cacheField name="volledige naam" numFmtId="0">
      <sharedItems/>
    </cacheField>
    <cacheField name="OT" numFmtId="0">
      <sharedItems/>
    </cacheField>
    <cacheField name="Teamcoach" numFmtId="0">
      <sharedItems/>
    </cacheField>
    <cacheField name="Dienstrol" numFmtId="0">
      <sharedItems/>
    </cacheField>
    <cacheField name="Opmerking" numFmtId="0">
      <sharedItems containsBlank="1"/>
    </cacheField>
    <cacheField name="Bus/Tram" numFmtId="0">
      <sharedItems containsBlank="1"/>
    </cacheField>
    <cacheField name="Instructeur" numFmtId="0">
      <sharedItems containsBlank="1" containsMixedTypes="1" containsNumber="1" containsInteger="1" minValue="17552" maxValue="17552"/>
    </cacheField>
    <cacheField name="Datum coaching" numFmtId="14">
      <sharedItems containsDate="1" containsBlank="1" containsMixedTypes="1" minDate="2025-02-12T00:00:00" maxDate="2026-01-09T00:00:00"/>
    </cacheField>
    <cacheField name="Werkpunten 1" numFmtId="0">
      <sharedItems containsBlank="1" containsMixedTypes="1" containsNumber="1" containsInteger="1" minValue="46014" maxValue="46014" count="23">
        <m/>
        <s v="wegcode"/>
        <s v="achterruit rijden met tram"/>
        <s v="Klantenzorg"/>
        <s v="interne reglementering"/>
        <s v="te vroeg rijden"/>
        <s v="voertuigbeheersing"/>
        <s v="Geen opmerkingen"/>
        <s v="snelheden niet gerespecteerd"/>
        <s v="meer spiegel gebruik"/>
        <s v="rem"/>
        <s v="gsm gebruik"/>
        <s v="uniform"/>
        <s v="interne reglementering (gsm en oortjes) "/>
        <s v="Kijktechniek bij het nemen van halte en wegrijden van halten moet beter. Neemt regelmatig boorduren mee"/>
        <s v="positie baan"/>
        <s v="Positieve coaching"/>
        <s v="werkpunten 1"/>
        <n v="46014"/>
        <s v="snelheid" u="1"/>
        <s v="Snelheid zone 30 " u="1"/>
        <s v="spiegel" u="1"/>
        <s v="geen" u="1"/>
      </sharedItems>
    </cacheField>
    <cacheField name="Werkpunten 2" numFmtId="0">
      <sharedItems containsDate="1" containsBlank="1" containsMixedTypes="1" minDate="2025-06-30T00:00:00" maxDate="2025-07-01T00:00:00" count="30">
        <m/>
        <s v="snelheid"/>
        <s v="GSM"/>
        <s v="oortjes"/>
        <s v="achterruit rijden"/>
        <s v="te vroeg rijden"/>
        <s v="tegenovergestelde spiegel"/>
        <s v="spiegels"/>
        <s v="interne reglementering"/>
        <s v="voorangsregel / rechts"/>
        <s v="Defensief rijden"/>
        <s v="te ver op kruispunt om linksaf te draaien"/>
        <s v="rijcomfort"/>
        <s v="uniform"/>
        <s v="correct uitvoeren van haltering"/>
        <s v="aandacht voor correct stuurgebruik"/>
        <d v="2025-06-30T00:00:00"/>
        <s v="aandoen haltes"/>
        <s v="andere weggebruikers"/>
        <s v="snelheid en stuurhouding "/>
        <s v="sn"/>
        <s v="voertuigbeheersing"/>
        <s v="beter naleven verkeerslichten"/>
        <s v="voorang"/>
        <s v="wegcode"/>
        <s v="voorrang"/>
        <s v="snelhied"/>
        <s v="Geen opmerkingen"/>
        <s v="Vriendelijk"/>
        <s v="Behulpzaam"/>
      </sharedItems>
    </cacheField>
    <cacheField name="Beoordeling coaching" numFmtId="0">
      <sharedItems count="8">
        <s v="zeer goed"/>
        <s v="voldoende"/>
        <s v="goed"/>
        <s v="onvoldoende"/>
        <s v="slecht"/>
        <s v="Zeer slecht"/>
        <s v="Formule1" f="1"/>
        <s v="Formule2" f="1"/>
      </sharedItems>
    </cacheField>
    <cacheField name="Hercoaching noodzakelijk" numFmtId="0">
      <sharedItems containsBlank="1"/>
    </cacheField>
    <cacheField name="Gesprek" numFmtId="0">
      <sharedItems containsBlank="1"/>
    </cacheField>
    <cacheField name="Ingevoerd in SSF" numFmtId="0">
      <sharedItems containsBlank="1"/>
    </cacheField>
  </cacheFields>
  <calculatedItems count="2">
    <calculatedItem>
      <pivotArea cacheIndex="1" outline="0" fieldPosition="0">
        <references count="1">
          <reference field="14" count="1">
            <x v="6"/>
          </reference>
        </references>
      </pivotArea>
    </calculatedItem>
    <calculatedItem>
      <pivotArea cacheIndex="1" outline="0" fieldPosition="0">
        <references count="1">
          <reference field="14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m/>
    <n v="19810"/>
    <s v="Willems"/>
    <s v="Kristine"/>
    <s v="19810 Willems Kristine"/>
    <e v="#N/A"/>
    <s v="Dominique De Clercq"/>
    <s v="TV12"/>
    <s v="schade"/>
    <s v="tram"/>
    <s v="6046 Joel De Maegd"/>
    <d v="2025-02-12T00:00:00"/>
    <x v="0"/>
    <x v="0"/>
    <x v="0"/>
    <s v="nee"/>
    <m/>
    <s v="X"/>
  </r>
  <r>
    <m/>
    <n v="39779"/>
    <s v="Avci"/>
    <s v="Muhammet Abdullah"/>
    <s v="39779 Avci Muhammet Abdullah"/>
    <s v="Gent stad"/>
    <s v="Bart Van Der Beken"/>
    <s v="RESF"/>
    <s v="schade"/>
    <s v="bus"/>
    <s v="20608 Joeri Mestdag"/>
    <d v="2025-02-27T00:00:00"/>
    <x v="1"/>
    <x v="1"/>
    <x v="1"/>
    <s v="nee"/>
    <m/>
    <s v="X"/>
  </r>
  <r>
    <m/>
    <n v="36513"/>
    <s v="Sogut"/>
    <s v="Rauf"/>
    <s v="36513 Sogut Rauf"/>
    <s v="Gent stad"/>
    <s v="Kenneth De Rick"/>
    <s v="BN24"/>
    <m/>
    <s v="bus"/>
    <s v="20608 Joeri Mestdag"/>
    <d v="2025-03-05T00:00:00"/>
    <x v="1"/>
    <x v="2"/>
    <x v="1"/>
    <s v="nee"/>
    <m/>
    <s v="X"/>
  </r>
  <r>
    <m/>
    <n v="35026"/>
    <s v="Momsen"/>
    <s v="Rory"/>
    <s v="35026 Momsen Rory"/>
    <s v="Gent stad"/>
    <s v="Steven Storm"/>
    <s v="BN24"/>
    <s v="schade"/>
    <s v="bus"/>
    <s v="20608 Joeri Mestdag"/>
    <d v="2025-03-05T00:00:00"/>
    <x v="0"/>
    <x v="0"/>
    <x v="2"/>
    <m/>
    <m/>
    <s v="X"/>
  </r>
  <r>
    <m/>
    <n v="34286"/>
    <s v="Ghani"/>
    <s v="Mozamil"/>
    <s v="34286 Ghani Mozamil"/>
    <s v="Gent stad"/>
    <s v="Steven Storm"/>
    <s v="MN24"/>
    <s v="schade"/>
    <s v="bus"/>
    <s v="20608 Joeri Mestdag"/>
    <d v="2025-03-05T00:00:00"/>
    <x v="0"/>
    <x v="0"/>
    <x v="2"/>
    <m/>
    <m/>
    <s v="X"/>
  </r>
  <r>
    <m/>
    <n v="40266"/>
    <s v="Taibi"/>
    <s v="Yassine"/>
    <s v="40266 Taibi Yassine"/>
    <s v="Gent stad"/>
    <s v="Christoff Rotty"/>
    <s v="BR15"/>
    <s v="optrekken, afremmen onconfortabel"/>
    <s v="bus"/>
    <s v="8538 Philippe Vandewalle"/>
    <d v="2025-03-06T00:00:00"/>
    <x v="0"/>
    <x v="0"/>
    <x v="2"/>
    <m/>
    <m/>
    <s v="X"/>
  </r>
  <r>
    <m/>
    <n v="37543"/>
    <s v="Öztürk"/>
    <s v="Bilgehan"/>
    <s v="37543 Öztürk Bilgehan"/>
    <s v="Gent stad"/>
    <s v="Kenneth De Rick"/>
    <s v="RESF"/>
    <s v="schade"/>
    <s v="bus"/>
    <s v="8538 Philippe Vandewalle"/>
    <d v="2025-03-10T00:00:00"/>
    <x v="0"/>
    <x v="0"/>
    <x v="1"/>
    <s v="nee"/>
    <m/>
    <s v="X"/>
  </r>
  <r>
    <m/>
    <n v="19917"/>
    <s v="Vandevyvere"/>
    <s v="Frank"/>
    <s v="19917 Vandevyvere Frank"/>
    <e v="#N/A"/>
    <s v="Bart Van Der Beken"/>
    <s v="GW09"/>
    <s v="nav slechte vorige coaching"/>
    <s v="bus"/>
    <s v="8538 Philippe Vandewalle"/>
    <d v="2025-03-11T00:00:00"/>
    <x v="1"/>
    <x v="0"/>
    <x v="3"/>
    <s v="ja"/>
    <m/>
    <m/>
  </r>
  <r>
    <m/>
    <n v="29821"/>
    <s v="Mehman Doust"/>
    <s v="Farhad"/>
    <s v="29821 Mehman Doust Farhad"/>
    <s v="Gent stad"/>
    <s v="Dominique De Clercq"/>
    <s v="TR15"/>
    <s v="schade"/>
    <s v="tram"/>
    <s v="6046 Joel De Maegd"/>
    <d v="2025-03-12T00:00:00"/>
    <x v="0"/>
    <x v="0"/>
    <x v="0"/>
    <s v="nee"/>
    <m/>
    <s v="X"/>
  </r>
  <r>
    <m/>
    <n v="39677"/>
    <s v="Tacq"/>
    <s v="Joey"/>
    <s v="39677 Tacq Joey"/>
    <s v="Gent stad"/>
    <s v="Kenneth De Rick"/>
    <s v="RESF"/>
    <m/>
    <s v="bus"/>
    <s v="20608 Joeri Mestdag"/>
    <d v="2025-03-20T00:00:00"/>
    <x v="1"/>
    <x v="2"/>
    <x v="1"/>
    <s v="nee"/>
    <m/>
    <s v="X"/>
  </r>
  <r>
    <m/>
    <n v="39728"/>
    <s v="Nohut"/>
    <s v="Baki"/>
    <s v="39728 Nohut Baki"/>
    <s v="Gent stad"/>
    <s v="Lucie Vande Velde"/>
    <s v="RESF"/>
    <m/>
    <s v="bus"/>
    <s v="20608 Joeri Mestdag"/>
    <d v="2025-03-24T00:00:00"/>
    <x v="0"/>
    <x v="0"/>
    <x v="0"/>
    <m/>
    <m/>
    <s v="X"/>
  </r>
  <r>
    <m/>
    <n v="41012"/>
    <s v="Natad"/>
    <s v="Younes"/>
    <s v="41012 Natad Younes"/>
    <s v="Gent stad"/>
    <s v="Els Vanhoe"/>
    <s v="RESF"/>
    <s v="schade"/>
    <s v="bus"/>
    <s v="20608 Joeri Mestdag"/>
    <d v="2025-03-24T00:00:00"/>
    <x v="0"/>
    <x v="0"/>
    <x v="0"/>
    <s v="nee"/>
    <m/>
    <s v="X"/>
  </r>
  <r>
    <s v="ja"/>
    <n v="28794"/>
    <s v="Van Malderghem"/>
    <s v="Niels"/>
    <s v="28794 Van Malderghem Niels"/>
    <s v="Gent stad"/>
    <s v="Lucie Vande Velde"/>
    <s v="ML12"/>
    <s v="rijstijl tram in bochten"/>
    <s v="tram"/>
    <s v="Teamcoach"/>
    <d v="2025-03-26T00:00:00"/>
    <x v="0"/>
    <x v="0"/>
    <x v="0"/>
    <s v="nee"/>
    <m/>
    <s v="X"/>
  </r>
  <r>
    <m/>
    <n v="31092"/>
    <s v="De Jaeger"/>
    <s v="Kevin"/>
    <s v="31092 De Jaeger Kevin"/>
    <s v="Gent stad"/>
    <s v="Lucie Vande Velde"/>
    <s v="B24"/>
    <m/>
    <s v="bus"/>
    <s v="20608 Joeri Mestdag"/>
    <d v="2025-03-27T00:00:00"/>
    <x v="1"/>
    <x v="3"/>
    <x v="2"/>
    <s v="nee"/>
    <m/>
    <s v="X"/>
  </r>
  <r>
    <m/>
    <n v="27711"/>
    <s v="De Schenkel"/>
    <s v="David"/>
    <s v="27711 De Schenkel David"/>
    <s v="Gent stad"/>
    <s v="Christoff Rotty"/>
    <s v="TR15"/>
    <m/>
    <s v="tram"/>
    <s v="22812 Tom De Clercq"/>
    <d v="2025-03-27T00:00:00"/>
    <x v="0"/>
    <x v="1"/>
    <x v="2"/>
    <m/>
    <m/>
    <s v="X"/>
  </r>
  <r>
    <m/>
    <n v="19249"/>
    <s v="Odaci"/>
    <s v="Kadir"/>
    <s v="19249 Odaci Kadir"/>
    <e v="#N/A"/>
    <s v="Lucie Vande Velde"/>
    <s v="MV12"/>
    <m/>
    <m/>
    <s v="20608 Joeri Mestdag"/>
    <d v="2025-03-27T00:00:00"/>
    <x v="1"/>
    <x v="1"/>
    <x v="2"/>
    <s v="nee"/>
    <m/>
    <s v="X"/>
  </r>
  <r>
    <m/>
    <n v="33982"/>
    <s v="Hoffelinck"/>
    <s v="Thomas"/>
    <s v="33982 Hoffelinck Thomas"/>
    <s v="Gent stad"/>
    <s v="Els Dewulf"/>
    <s v="TO15"/>
    <m/>
    <s v="tram"/>
    <s v="22812 Tom De Clercq"/>
    <d v="2025-03-27T00:00:00"/>
    <x v="2"/>
    <x v="0"/>
    <x v="2"/>
    <m/>
    <m/>
    <s v="X"/>
  </r>
  <r>
    <m/>
    <n v="33982"/>
    <s v="Hoffelinck"/>
    <s v="Thomas"/>
    <s v="33982 Hoffelinck Thomas"/>
    <s v="Gent stad"/>
    <s v="Els Dewulf"/>
    <s v="TO15"/>
    <s v="achterruitrijden rabotstraat in eigen bedding"/>
    <s v="tram"/>
    <s v="22812 Tom De Clercq"/>
    <d v="2025-03-27T00:00:00"/>
    <x v="1"/>
    <x v="4"/>
    <x v="1"/>
    <m/>
    <m/>
    <s v="X"/>
  </r>
  <r>
    <m/>
    <n v="27711"/>
    <s v="De Schenkel"/>
    <s v="David"/>
    <s v="27711 De Schenkel David"/>
    <s v="Gent stad"/>
    <s v="Christoff Rotty"/>
    <s v="TR15"/>
    <s v="snelheid wissels en beweegbare brug"/>
    <s v="tram"/>
    <s v="22812 Tom De Clercq"/>
    <d v="2025-03-27T00:00:00"/>
    <x v="1"/>
    <x v="0"/>
    <x v="2"/>
    <m/>
    <m/>
    <s v="X"/>
  </r>
  <r>
    <m/>
    <n v="36626"/>
    <s v="Kartal"/>
    <s v="Kadir"/>
    <s v="36626 Kartal Kadir"/>
    <s v="Gent stad"/>
    <s v="Els Dewulf"/>
    <s v="BR15"/>
    <s v="schade"/>
    <s v="bus"/>
    <s v="20608 Joeri Mestdag"/>
    <d v="2025-03-28T00:00:00"/>
    <x v="3"/>
    <x v="5"/>
    <x v="2"/>
    <s v="nee"/>
    <m/>
    <s v="X"/>
  </r>
  <r>
    <m/>
    <n v="39660"/>
    <s v="Lloyd"/>
    <s v="Glenn"/>
    <s v="39660 Lloyd Glenn"/>
    <s v="Gent stad"/>
    <s v="Bart Van Der Beken"/>
    <s v="RESF"/>
    <s v="schade"/>
    <s v="bus"/>
    <s v="20608 Joeri Mestdag"/>
    <d v="2025-03-28T00:00:00"/>
    <x v="1"/>
    <x v="1"/>
    <x v="2"/>
    <s v="nee"/>
    <m/>
    <s v="X"/>
  </r>
  <r>
    <m/>
    <n v="38938"/>
    <s v="Sedighi"/>
    <s v="Hamid"/>
    <s v="38938 Sedighi Hamid"/>
    <s v="Gent stad"/>
    <s v="Lucie Vande Velde"/>
    <s v="RESF"/>
    <m/>
    <s v="bus"/>
    <s v="20608 Joeri Mestdag"/>
    <d v="2025-03-28T00:00:00"/>
    <x v="1"/>
    <x v="1"/>
    <x v="2"/>
    <s v="nee"/>
    <m/>
    <s v="X"/>
  </r>
  <r>
    <m/>
    <n v="40645"/>
    <s v="Bytebier"/>
    <s v="Jason"/>
    <s v="40645 Bytebier Jason"/>
    <s v="Gent stad"/>
    <s v="Els Dewulf"/>
    <s v="RESF"/>
    <m/>
    <s v="bus"/>
    <s v="17552 Daisy De Geyter"/>
    <d v="2025-03-28T00:00:00"/>
    <x v="0"/>
    <x v="0"/>
    <x v="0"/>
    <s v="nee"/>
    <m/>
    <s v="X"/>
  </r>
  <r>
    <m/>
    <n v="40294"/>
    <s v="Khder"/>
    <s v="Aram"/>
    <s v="40294 Khder Aram"/>
    <s v="Gent stad"/>
    <s v="Christoff Rotty"/>
    <s v="RESF"/>
    <s v="coaching van 3/3/25 slecht, werkpunten: remtechniek, snelheid, gsm gebruik"/>
    <s v="bus"/>
    <s v="17552 Daisy De Geyter"/>
    <d v="2025-03-28T00:00:00"/>
    <x v="4"/>
    <x v="3"/>
    <x v="1"/>
    <s v="ja"/>
    <m/>
    <s v="X"/>
  </r>
  <r>
    <m/>
    <n v="28717"/>
    <s v="Dejonckheere"/>
    <s v="Els"/>
    <s v="28717 Dejonckheere Els"/>
    <s v="Gent stad"/>
    <s v="Lucie Vande Velde"/>
    <s v="GW10"/>
    <m/>
    <s v="bus"/>
    <s v="20608 Joeri Mestdag"/>
    <d v="2025-04-02T00:00:00"/>
    <x v="1"/>
    <x v="1"/>
    <x v="2"/>
    <s v="nee"/>
    <m/>
    <s v="X"/>
  </r>
  <r>
    <m/>
    <n v="33986"/>
    <s v="Göktas"/>
    <s v="Muharrem"/>
    <s v="33986 Göktas Muharrem"/>
    <s v="Gent stad"/>
    <s v="Kenneth De Rick"/>
    <s v="GW10"/>
    <s v="scade"/>
    <s v="bus"/>
    <s v="16707 Wim Van Hende"/>
    <d v="2025-04-02T00:00:00"/>
    <x v="1"/>
    <x v="2"/>
    <x v="1"/>
    <s v="ja"/>
    <m/>
    <s v="X"/>
  </r>
  <r>
    <m/>
    <n v="41091"/>
    <s v="Yavas"/>
    <s v="Talha"/>
    <s v="41091 Yavas Talha"/>
    <s v="Gent stad"/>
    <s v="Dominique De Clercq"/>
    <s v="RESF"/>
    <s v="algemene rijstijl/ houding"/>
    <s v="bus"/>
    <s v="20608 Joeri Mestdag"/>
    <d v="2025-04-02T00:00:00"/>
    <x v="5"/>
    <x v="0"/>
    <x v="2"/>
    <s v="nee"/>
    <m/>
    <s v="X"/>
  </r>
  <r>
    <m/>
    <n v="35450"/>
    <s v="Roos"/>
    <s v="Hugo"/>
    <s v="35450 Roos Hugo"/>
    <s v="Gent stad"/>
    <s v="Els Dewulf"/>
    <s v="BR15"/>
    <m/>
    <s v="bus"/>
    <s v="peter schijvens"/>
    <d v="2025-04-02T00:00:00"/>
    <x v="0"/>
    <x v="0"/>
    <x v="2"/>
    <m/>
    <m/>
    <s v="X"/>
  </r>
  <r>
    <m/>
    <n v="27153"/>
    <s v="Oben"/>
    <s v="Thibaud"/>
    <s v="27153 Oben Thibaud"/>
    <s v="Gent stad"/>
    <s v="Christoff Rotty"/>
    <s v="GW09"/>
    <m/>
    <s v="bus"/>
    <s v="peter schijvens"/>
    <d v="2025-04-02T00:00:00"/>
    <x v="0"/>
    <x v="0"/>
    <x v="2"/>
    <m/>
    <m/>
    <s v="X"/>
  </r>
  <r>
    <m/>
    <n v="41348"/>
    <s v="Van Huffel"/>
    <s v="Tim"/>
    <s v="41348 Van Huffel Tim"/>
    <s v="Gent stad"/>
    <s v="Christoff Rotty"/>
    <s v="RESF"/>
    <s v="snelheid"/>
    <s v="bus"/>
    <s v="4707 Peter Schijvens"/>
    <d v="2025-04-02T00:00:00"/>
    <x v="0"/>
    <x v="0"/>
    <x v="3"/>
    <s v="ja"/>
    <s v="OK"/>
    <s v="X"/>
  </r>
  <r>
    <m/>
    <n v="41246"/>
    <s v="Van Holsbeeck"/>
    <s v="Yana"/>
    <s v="41246 Van Holsbeeck Yana"/>
    <s v="Gent stad"/>
    <s v="Dominique De Clercq"/>
    <s v="RESF"/>
    <s v="algemene rijstijl/ houding"/>
    <s v="bus"/>
    <s v="16707 Wim Van Hende"/>
    <d v="2025-04-02T00:00:00"/>
    <x v="6"/>
    <x v="0"/>
    <x v="2"/>
    <s v="nee"/>
    <m/>
    <s v="X"/>
  </r>
  <r>
    <m/>
    <n v="39581"/>
    <s v="Vandenhaute"/>
    <s v="Linus"/>
    <s v="39581 Vandenhaute Linus"/>
    <s v="Gent stad"/>
    <s v="Els Dewulf"/>
    <s v="BR15"/>
    <m/>
    <s v="bus"/>
    <s v="4707 Peter Schijvens"/>
    <d v="2025-04-08T00:00:00"/>
    <x v="0"/>
    <x v="0"/>
    <x v="0"/>
    <m/>
    <m/>
    <s v="X"/>
  </r>
  <r>
    <m/>
    <n v="38580"/>
    <s v="Smajla"/>
    <s v="Samet"/>
    <s v="38580 Smajla Samet"/>
    <s v="Gent stad"/>
    <s v="Els Dewulf"/>
    <s v="RESF"/>
    <s v="spontane coaching"/>
    <s v="bus"/>
    <s v="20608 Joeri Mestdag"/>
    <d v="2025-04-15T00:00:00"/>
    <x v="0"/>
    <x v="0"/>
    <x v="2"/>
    <s v="nee"/>
    <m/>
    <s v="X"/>
  </r>
  <r>
    <m/>
    <n v="39660"/>
    <s v="Lloyd"/>
    <s v="Glenn"/>
    <s v="39660 Lloyd Glenn"/>
    <s v="Gent stad"/>
    <s v="Bart Van Der Beken"/>
    <s v="RESF"/>
    <s v="snelheid en stuurhouding"/>
    <s v="bus"/>
    <s v="4707 Peter Schijvens"/>
    <d v="2025-04-16T00:00:00"/>
    <x v="1"/>
    <x v="0"/>
    <x v="4"/>
    <s v="ja"/>
    <m/>
    <s v="X"/>
  </r>
  <r>
    <m/>
    <n v="40486"/>
    <s v="De Souza"/>
    <s v="Marcos Eduardo"/>
    <s v="40486 De Souza Marcos Eduardo"/>
    <s v="Gent stad"/>
    <s v="Christoff Rotty"/>
    <s v="RESF"/>
    <m/>
    <s v="bus"/>
    <s v="4707 Peter Schijvens"/>
    <d v="2025-04-16T00:00:00"/>
    <x v="0"/>
    <x v="0"/>
    <x v="0"/>
    <s v="nee"/>
    <m/>
    <s v="X"/>
  </r>
  <r>
    <m/>
    <n v="39901"/>
    <s v="Basha"/>
    <s v="Izmir"/>
    <s v="39901 Basha Izmir"/>
    <s v="Gent stad"/>
    <s v="Christoff Rotty"/>
    <s v="RESF"/>
    <m/>
    <m/>
    <s v="4707 Peter Schijvens"/>
    <d v="2025-04-16T00:00:00"/>
    <x v="0"/>
    <x v="0"/>
    <x v="2"/>
    <s v="nee"/>
    <m/>
    <s v="X"/>
  </r>
  <r>
    <m/>
    <n v="11508"/>
    <s v="Beeckman"/>
    <s v="Nico"/>
    <s v="11508 Beeckman Nico"/>
    <e v="#N/A"/>
    <s v="Lucie Vande Velde"/>
    <s v="SW05"/>
    <m/>
    <s v="bus"/>
    <s v="4707 Peter Schijvens"/>
    <d v="2025-04-16T00:00:00"/>
    <x v="0"/>
    <x v="0"/>
    <x v="2"/>
    <s v="nee"/>
    <m/>
    <s v="X"/>
  </r>
  <r>
    <m/>
    <n v="32169"/>
    <s v="Kelchtermans"/>
    <s v="Raf"/>
    <s v="32169 Kelchtermans Raf"/>
    <s v="Gent stad"/>
    <s v="Steven Storm"/>
    <s v="B24"/>
    <s v="spontane coaching"/>
    <s v="bus"/>
    <s v="20608 Joeri Mestdag"/>
    <d v="2025-04-16T00:00:00"/>
    <x v="0"/>
    <x v="0"/>
    <x v="2"/>
    <s v="nee"/>
    <m/>
    <s v="X"/>
  </r>
  <r>
    <m/>
    <n v="21424"/>
    <s v="Verstichel"/>
    <s v="Jethro"/>
    <s v="21424 Verstichel Jethro"/>
    <s v="Gent stad"/>
    <s v="Els Dewulf"/>
    <s v="MV12"/>
    <s v="schade"/>
    <s v="bus"/>
    <s v="joeri mestdag"/>
    <d v="2025-04-17T00:00:00"/>
    <x v="0"/>
    <x v="0"/>
    <x v="0"/>
    <s v="nee"/>
    <m/>
    <s v="X"/>
  </r>
  <r>
    <m/>
    <n v="36425"/>
    <s v="Vandekerckhove"/>
    <s v="Nico"/>
    <s v="36425 Vandekerckhove Nico"/>
    <s v="Gent stad"/>
    <s v="Els Vanhoe"/>
    <s v="B24"/>
    <s v="algemene rijstijl/ houding"/>
    <s v="bus"/>
    <s v="20608 Joeri Mestdag"/>
    <d v="2025-04-18T00:00:00"/>
    <x v="1"/>
    <x v="2"/>
    <x v="4"/>
    <s v="nee"/>
    <m/>
    <s v="X"/>
  </r>
  <r>
    <m/>
    <n v="24367"/>
    <s v="Tayefeh Arbab"/>
    <s v="Ali"/>
    <s v="24367 Tayefeh Arbab Ali"/>
    <s v="Gent stad"/>
    <s v="Bart Van Der Beken"/>
    <s v="TL12"/>
    <s v="spontane coaching, gsm gebruik tijdens de rijtaak"/>
    <s v="bus"/>
    <s v="20608 Joeri Mestdag"/>
    <d v="2025-04-23T00:00:00"/>
    <x v="1"/>
    <x v="2"/>
    <x v="3"/>
    <s v="nee"/>
    <m/>
    <s v="X"/>
  </r>
  <r>
    <m/>
    <n v="33639"/>
    <s v="Van de Velde"/>
    <s v="Valentijn"/>
    <s v="33639 Van de Velde Valentijn"/>
    <s v="Gent stad"/>
    <s v="Lucie Vande Velde"/>
    <s v="GW10"/>
    <s v="spontane coaching"/>
    <s v="bus"/>
    <s v="20608 Joeri Mestdag"/>
    <d v="2025-04-23T00:00:00"/>
    <x v="3"/>
    <x v="0"/>
    <x v="2"/>
    <s v="ja"/>
    <m/>
    <s v="X"/>
  </r>
  <r>
    <m/>
    <n v="29477"/>
    <s v="De Vuyst"/>
    <s v="Boyke"/>
    <s v="29477 De Vuyst Boyke"/>
    <s v="Gent stad"/>
    <s v="Lucie Vande Velde"/>
    <s v="BD12"/>
    <s v="spontane coaching"/>
    <s v="bus"/>
    <s v="26202 Ward Desmet"/>
    <d v="2025-04-24T00:00:00"/>
    <x v="0"/>
    <x v="6"/>
    <x v="2"/>
    <s v="nee"/>
    <m/>
    <s v="X"/>
  </r>
  <r>
    <m/>
    <n v="39829"/>
    <s v="Demirkaya"/>
    <s v="Serkan"/>
    <s v="39829 Demirkaya Serkan"/>
    <s v="Gent stad"/>
    <s v="Lucie Vande Velde"/>
    <s v="RESF"/>
    <s v="spontane coaching"/>
    <s v="bus"/>
    <s v="26202 Ward Desmet"/>
    <d v="2025-04-24T00:00:00"/>
    <x v="0"/>
    <x v="0"/>
    <x v="0"/>
    <s v="nee"/>
    <m/>
    <s v="X"/>
  </r>
  <r>
    <m/>
    <n v="4720"/>
    <s v="De Roo"/>
    <s v="Jo"/>
    <s v="4720 De Roo Jo"/>
    <e v="#N/A"/>
    <s v="Els Vanhoe"/>
    <s v="G09"/>
    <m/>
    <s v="tram"/>
    <s v="22812 Tom De Clercq"/>
    <d v="2025-04-24T00:00:00"/>
    <x v="0"/>
    <x v="0"/>
    <x v="3"/>
    <s v="nee"/>
    <m/>
    <s v="X"/>
  </r>
  <r>
    <m/>
    <n v="23791"/>
    <s v="Baetens"/>
    <s v="Christine"/>
    <s v="23791 Baetens Christine"/>
    <s v="Gent stad"/>
    <s v="Dominique De Clercq"/>
    <s v="TW24"/>
    <m/>
    <s v="tram"/>
    <s v="22812 Tom De Clercq"/>
    <d v="2025-04-24T00:00:00"/>
    <x v="0"/>
    <x v="0"/>
    <x v="2"/>
    <m/>
    <m/>
    <s v="X"/>
  </r>
  <r>
    <m/>
    <n v="14625"/>
    <s v="Rodrigue"/>
    <s v="Vincent"/>
    <s v="14625 Rodrigue Vincent"/>
    <e v="#N/A"/>
    <s v="Lucie Vande Velde"/>
    <s v="G70"/>
    <s v="spontane coaching"/>
    <s v="bus"/>
    <s v="26202 Ward Desmet"/>
    <d v="2025-04-28T00:00:00"/>
    <x v="7"/>
    <x v="7"/>
    <x v="2"/>
    <s v="nee"/>
    <m/>
    <s v="X"/>
  </r>
  <r>
    <m/>
    <n v="11866"/>
    <s v="Bolle"/>
    <s v="Pascal"/>
    <s v="11866 Bolle Pascal"/>
    <e v="#N/A"/>
    <s v="Lucie Vande Velde"/>
    <s v="TD12"/>
    <s v="spontane coaching"/>
    <s v="tram"/>
    <s v="6046 Joel De Maegd"/>
    <d v="2025-04-28T00:00:00"/>
    <x v="8"/>
    <x v="8"/>
    <x v="1"/>
    <s v="nee"/>
    <m/>
    <s v="X"/>
  </r>
  <r>
    <m/>
    <n v="32168"/>
    <s v="Vranken"/>
    <s v="Zulkifly"/>
    <s v="32168 Vranken Zulkifly"/>
    <s v="Gent stad"/>
    <s v="Kenneth De Rick"/>
    <s v="MW12"/>
    <s v="spontane coaching"/>
    <s v="tram"/>
    <s v="6046 Joel De Maegd"/>
    <d v="2025-04-28T00:00:00"/>
    <x v="4"/>
    <x v="9"/>
    <x v="2"/>
    <s v="nee"/>
    <m/>
    <s v="X"/>
  </r>
  <r>
    <m/>
    <n v="40036"/>
    <s v="Karakaya"/>
    <s v="Oguz"/>
    <s v="40036 Karakaya Oguz"/>
    <s v="Gent stad"/>
    <s v="Dominique De Clercq"/>
    <s v="RESF"/>
    <s v="algemene rijstijl/ houding"/>
    <s v="bus"/>
    <s v="16707 Wim Van Hende"/>
    <d v="2025-05-02T00:00:00"/>
    <x v="3"/>
    <x v="0"/>
    <x v="1"/>
    <s v="nee"/>
    <m/>
    <s v="X"/>
  </r>
  <r>
    <m/>
    <n v="12684"/>
    <s v="Van Den Bossche"/>
    <s v="Martine"/>
    <s v="12684 Van Den Bossche Martine"/>
    <e v="#N/A"/>
    <s v="Els Vanhoe"/>
    <s v="G09"/>
    <m/>
    <s v="bus"/>
    <s v="4707 Peter Schijvens"/>
    <d v="2025-05-05T00:00:00"/>
    <x v="0"/>
    <x v="0"/>
    <x v="0"/>
    <s v="nee"/>
    <m/>
    <s v="X"/>
  </r>
  <r>
    <s v="ja"/>
    <n v="41092"/>
    <s v="De Keyser"/>
    <s v="Dorien"/>
    <s v="41092 De Keyser Dorien"/>
    <s v="Gent stad"/>
    <s v="Dominique De Clercq"/>
    <s v="RESF"/>
    <s v="ongevallen"/>
    <s v="bus"/>
    <s v="8539 Philippe Vandewalle"/>
    <d v="2025-05-12T00:00:00"/>
    <x v="0"/>
    <x v="0"/>
    <x v="2"/>
    <s v="nee"/>
    <m/>
    <s v="X"/>
  </r>
  <r>
    <m/>
    <n v="25679"/>
    <s v="Vanrenterghem"/>
    <s v="Serge"/>
    <s v="25679 Vanrenterghem Serge"/>
    <s v="Gent stad"/>
    <s v="Christoff Rotty"/>
    <s v="M15"/>
    <m/>
    <s v="bus"/>
    <s v="8538 Philippe Vandewalle"/>
    <d v="2025-05-12T00:00:00"/>
    <x v="0"/>
    <x v="0"/>
    <x v="2"/>
    <m/>
    <m/>
    <s v="X"/>
  </r>
  <r>
    <m/>
    <n v="40938"/>
    <s v="Hasnaoui"/>
    <s v="Nejmeddine"/>
    <s v="40938 Hasnaoui Nejmeddine"/>
    <s v="Gent stad"/>
    <s v="Dominique De Clercq"/>
    <s v="RESF"/>
    <s v="algemene rijstijl/ houding"/>
    <s v="bus"/>
    <m/>
    <d v="2025-05-13T00:00:00"/>
    <x v="6"/>
    <x v="10"/>
    <x v="1"/>
    <m/>
    <m/>
    <s v="X"/>
  </r>
  <r>
    <m/>
    <n v="40138"/>
    <s v="Moerman"/>
    <s v="Tjimmy"/>
    <s v="40138 Moerman Tjimmy"/>
    <s v="Gent stad"/>
    <s v="Christoff Rotty"/>
    <s v="RESF"/>
    <s v="ongevallen"/>
    <s v="bus"/>
    <s v="Teamcoach"/>
    <d v="2025-05-14T00:00:00"/>
    <x v="6"/>
    <x v="10"/>
    <x v="2"/>
    <s v="nee"/>
    <m/>
    <s v="X"/>
  </r>
  <r>
    <m/>
    <n v="41348"/>
    <s v="Van Huffel"/>
    <s v="Tim"/>
    <s v="41348 Van Huffel Tim"/>
    <s v="Gent stad"/>
    <s v="Christoff Rotty"/>
    <s v="RESF"/>
    <s v="snelheid"/>
    <s v="bus"/>
    <s v="Teamcoach"/>
    <d v="2025-05-15T00:00:00"/>
    <x v="0"/>
    <x v="0"/>
    <x v="0"/>
    <s v="nee"/>
    <m/>
    <s v="X"/>
  </r>
  <r>
    <m/>
    <n v="19917"/>
    <s v="Vandevyvere"/>
    <s v="Frank"/>
    <s v="19917 Vandevyvere Frank"/>
    <e v="#N/A"/>
    <s v="Bart Van Der Beken"/>
    <s v="GW09"/>
    <s v="wegcode, na negatieve coaching"/>
    <s v="bus"/>
    <s v="16707 Wim Van Hende"/>
    <d v="2025-05-16T00:00:00"/>
    <x v="4"/>
    <x v="3"/>
    <x v="3"/>
    <s v="ja"/>
    <m/>
    <s v="X"/>
  </r>
  <r>
    <m/>
    <n v="38475"/>
    <s v="Verschraegen"/>
    <s v="Katleen"/>
    <s v="38475 Verschraegen Katleen"/>
    <s v="Gent stad"/>
    <s v="Els Dewulf"/>
    <s v="BR15"/>
    <m/>
    <s v="bus"/>
    <s v="26202 Ward Desmet"/>
    <d v="2025-05-16T00:00:00"/>
    <x v="9"/>
    <x v="11"/>
    <x v="2"/>
    <s v="nee"/>
    <m/>
    <s v="X"/>
  </r>
  <r>
    <m/>
    <n v="39654"/>
    <s v="Camacho Encarnacion"/>
    <s v="Lisandro Javier"/>
    <s v="39654 Camacho Encarnacion Lisandro Javier"/>
    <s v="Gent stad"/>
    <s v="Kenneth De Rick"/>
    <s v="RESF"/>
    <s v="spontane coaching"/>
    <s v="bus"/>
    <s v="26202 Ward Desmet"/>
    <d v="2025-05-16T00:00:00"/>
    <x v="10"/>
    <x v="6"/>
    <x v="1"/>
    <s v="nee"/>
    <m/>
    <s v="X"/>
  </r>
  <r>
    <m/>
    <n v="40478"/>
    <s v="Hashimi"/>
    <s v="Ali Mir"/>
    <s v="40478 Hashimi Ali Mir"/>
    <s v="Gent stad"/>
    <s v="Bart Van Der Beken"/>
    <s v="RESF"/>
    <s v="Nav. remtechniek, verschillende maanden hoge eco louter door aandeel remmingen"/>
    <s v="bus"/>
    <s v="Teamcoach"/>
    <d v="2025-05-19T00:00:00"/>
    <x v="11"/>
    <x v="0"/>
    <x v="3"/>
    <m/>
    <m/>
    <s v="X"/>
  </r>
  <r>
    <m/>
    <n v="40652"/>
    <s v="Van Damme"/>
    <s v="Gilyann"/>
    <s v="40652 Van Damme Gilyann"/>
    <s v="Gent stad"/>
    <s v="Els Vanhoe"/>
    <s v="RESF"/>
    <s v="schade+rijstijl"/>
    <s v="bus"/>
    <s v="Teamcoach"/>
    <d v="2025-05-26T00:00:00"/>
    <x v="0"/>
    <x v="0"/>
    <x v="2"/>
    <s v="nee"/>
    <m/>
    <s v="X"/>
  </r>
  <r>
    <m/>
    <n v="37950"/>
    <s v="De Naegel"/>
    <s v="Bruno"/>
    <s v="37950 De Naegel Bruno"/>
    <s v="Gent stad"/>
    <s v="Dominique De Clercq"/>
    <s v="BO15"/>
    <s v="spontane coaching"/>
    <s v="bus"/>
    <s v="24577 Thierry De Vlieger"/>
    <d v="2025-05-26T00:00:00"/>
    <x v="0"/>
    <x v="0"/>
    <x v="2"/>
    <s v="nee"/>
    <m/>
    <s v="X"/>
  </r>
  <r>
    <m/>
    <n v="40938"/>
    <s v="Hasnaoui"/>
    <s v="Nejmeddine"/>
    <s v="40938 Hasnaoui Nejmeddine"/>
    <s v="Gent stad"/>
    <s v="Dominique De Clercq"/>
    <s v="RESF"/>
    <s v="spontane coaching"/>
    <s v="bus"/>
    <s v="24577 Thierry De Vlieger"/>
    <d v="2025-05-26T00:00:00"/>
    <x v="11"/>
    <x v="0"/>
    <x v="2"/>
    <m/>
    <m/>
    <s v="X"/>
  </r>
  <r>
    <m/>
    <n v="36426"/>
    <s v="Mohamed Yassin"/>
    <s v="Abdulhamid"/>
    <s v="36426 Mohamed Yassin Abdulhamid"/>
    <s v="Gent stad"/>
    <s v="Bart Van Der Beken"/>
    <s v="MW12"/>
    <s v="spontane coaching"/>
    <s v="bus"/>
    <s v="24577 Thierry De Vlieger"/>
    <d v="2025-05-26T00:00:00"/>
    <x v="8"/>
    <x v="12"/>
    <x v="1"/>
    <s v="ja"/>
    <m/>
    <s v="X"/>
  </r>
  <r>
    <m/>
    <n v="40443"/>
    <s v="Fakash"/>
    <s v="Mahmoud"/>
    <s v="40443 Fakash Mahmoud"/>
    <s v="Gent stad"/>
    <s v="Bart Van Der Beken"/>
    <s v="RESF"/>
    <s v="spontane coaching"/>
    <s v="bus"/>
    <s v="24577 Thierry De Vlieger"/>
    <d v="2025-05-26T00:00:00"/>
    <x v="8"/>
    <x v="0"/>
    <x v="2"/>
    <s v="nee"/>
    <m/>
    <s v="X"/>
  </r>
  <r>
    <m/>
    <n v="40859"/>
    <s v="Abdelali"/>
    <s v="Abdelali"/>
    <s v="40859 Abdelali Abdelali"/>
    <s v="Gent stad"/>
    <s v="Els Vanhoe"/>
    <s v="RESF"/>
    <s v="spontane coaching"/>
    <s v="bus"/>
    <s v="24577 Thierry De Vlieger"/>
    <d v="2025-05-26T00:00:00"/>
    <x v="0"/>
    <x v="0"/>
    <x v="2"/>
    <m/>
    <m/>
    <s v="X"/>
  </r>
  <r>
    <s v="ja"/>
    <n v="36354"/>
    <s v="El Aaddam"/>
    <s v="Hodayfa"/>
    <s v="36354 El Aaddam Hodayfa"/>
    <s v="Gent stad"/>
    <s v="Els Vanhoe"/>
    <s v="RESF"/>
    <m/>
    <s v="bus"/>
    <m/>
    <d v="2025-06-04T00:00:00"/>
    <x v="1"/>
    <x v="2"/>
    <x v="3"/>
    <s v="ja"/>
    <m/>
    <s v="X"/>
  </r>
  <r>
    <m/>
    <n v="38691"/>
    <s v="Muys"/>
    <s v="Aäron"/>
    <s v="38691 Muys Aäron"/>
    <s v="Gent stad"/>
    <s v="Els Dewulf"/>
    <s v="RESF"/>
    <s v="spontane coaching"/>
    <s v="bus"/>
    <s v="20608 Joeri Mestdag"/>
    <d v="2025-06-04T00:00:00"/>
    <x v="1"/>
    <x v="1"/>
    <x v="2"/>
    <s v="nee"/>
    <m/>
    <s v="X"/>
  </r>
  <r>
    <m/>
    <n v="37543"/>
    <s v="Öztürk"/>
    <s v="Bilgehan"/>
    <s v="37543 Öztürk Bilgehan"/>
    <s v="Gent stad"/>
    <s v="Kenneth De Rick"/>
    <s v="RESF"/>
    <m/>
    <m/>
    <s v="20609 Joeri Mestdag"/>
    <d v="2025-06-04T00:00:00"/>
    <x v="1"/>
    <x v="0"/>
    <x v="1"/>
    <s v="nee"/>
    <m/>
    <s v="X"/>
  </r>
  <r>
    <m/>
    <n v="38580"/>
    <s v="Smajla"/>
    <s v="Samet"/>
    <s v="38580 Smajla Samet"/>
    <s v="Gent stad"/>
    <s v="Els Dewulf"/>
    <s v="RESF"/>
    <m/>
    <s v="bus"/>
    <s v="4707 Peter Schijvens"/>
    <d v="2025-06-13T00:00:00"/>
    <x v="4"/>
    <x v="0"/>
    <x v="2"/>
    <s v="nee"/>
    <m/>
    <s v="X"/>
  </r>
  <r>
    <m/>
    <n v="21506"/>
    <s v="Kesteloot"/>
    <s v="Patrick"/>
    <s v="21506 Kesteloot Patrick"/>
    <s v="Gent stad"/>
    <s v="Steven Storm"/>
    <s v="TW24"/>
    <m/>
    <s v="bus"/>
    <s v="4708 Peter Schijvens"/>
    <d v="2025-06-13T00:00:00"/>
    <x v="0"/>
    <x v="0"/>
    <x v="0"/>
    <s v="nee"/>
    <m/>
    <s v="X"/>
  </r>
  <r>
    <m/>
    <n v="40200"/>
    <s v="Shahriyari"/>
    <s v="Khalil"/>
    <s v="40200 Shahriyari Khalil"/>
    <s v="Gent stad"/>
    <s v="Dominique De Clercq"/>
    <s v="RESF"/>
    <m/>
    <s v="bus"/>
    <s v="4709 Peter Schijvens"/>
    <d v="2025-06-13T00:00:00"/>
    <x v="0"/>
    <x v="0"/>
    <x v="1"/>
    <s v="nee"/>
    <m/>
    <s v="X"/>
  </r>
  <r>
    <m/>
    <n v="40294"/>
    <s v="Khder"/>
    <s v="Aram"/>
    <s v="40294 Khder Aram"/>
    <s v="Gent stad"/>
    <s v="Christoff Rotty"/>
    <s v="RESF"/>
    <m/>
    <s v="bus"/>
    <s v="20608 Joeri Mestdag"/>
    <d v="2025-06-13T00:00:00"/>
    <x v="1"/>
    <x v="0"/>
    <x v="2"/>
    <m/>
    <m/>
    <s v="X"/>
  </r>
  <r>
    <m/>
    <n v="39712"/>
    <s v="Repaj"/>
    <s v="Ramazan"/>
    <s v="39712 Repaj Ramazan"/>
    <s v="Gent stad"/>
    <s v="Bart Van Der Beken"/>
    <s v="RESF"/>
    <m/>
    <m/>
    <s v="20608 Joeri Mestdag"/>
    <d v="2025-06-13T00:00:00"/>
    <x v="1"/>
    <x v="2"/>
    <x v="1"/>
    <m/>
    <m/>
    <s v="X"/>
  </r>
  <r>
    <m/>
    <n v="29746"/>
    <s v="Huyse"/>
    <s v="Annicke"/>
    <s v="29746 Huyse Annicke"/>
    <s v="Gent stad"/>
    <s v="Bart Van Der Beken"/>
    <s v="B24"/>
    <s v="spontane coaching"/>
    <s v="bus"/>
    <s v="20608 Joeri Mestdag"/>
    <d v="2025-06-16T00:00:00"/>
    <x v="3"/>
    <x v="1"/>
    <x v="2"/>
    <s v="nee"/>
    <m/>
    <s v="X"/>
  </r>
  <r>
    <m/>
    <n v="41520"/>
    <s v="Smets"/>
    <s v="Avery"/>
    <s v="41520 Smets Avery"/>
    <s v="Gent stad"/>
    <s v="Christoff Rotty"/>
    <s v="RESF"/>
    <m/>
    <s v="bus"/>
    <s v="4710 Peter Schijvens"/>
    <d v="2025-06-16T00:00:00"/>
    <x v="0"/>
    <x v="0"/>
    <x v="0"/>
    <s v="nee"/>
    <m/>
    <s v="X"/>
  </r>
  <r>
    <m/>
    <n v="40414"/>
    <s v="Ennakaba"/>
    <s v="Khaoula"/>
    <s v="40414 Ennakaba Khaoula"/>
    <s v="Gent stad"/>
    <s v="Steven Storm"/>
    <s v="RESF"/>
    <s v="spontane coaching"/>
    <s v="bus"/>
    <s v="17552 Daisy De Geyter"/>
    <d v="2025-06-17T00:00:00"/>
    <x v="12"/>
    <x v="0"/>
    <x v="0"/>
    <s v="nee"/>
    <m/>
    <s v="X"/>
  </r>
  <r>
    <s v="ja"/>
    <n v="39930"/>
    <s v="Mirazai"/>
    <s v="Rahmatullah"/>
    <s v="39930 Mirazai Rahmatullah"/>
    <s v="Gent stad"/>
    <s v="Christoff Rotty"/>
    <s v="RESF"/>
    <s v="snelheid/ negatieve coaching"/>
    <s v="bus"/>
    <s v="20608 Joeri Mestdag"/>
    <d v="2025-06-18T00:00:00"/>
    <x v="6"/>
    <x v="13"/>
    <x v="2"/>
    <s v="nee"/>
    <m/>
    <s v="X"/>
  </r>
  <r>
    <m/>
    <n v="12173"/>
    <s v="De Feyter"/>
    <s v="David"/>
    <s v="12173 De Feyter David"/>
    <e v="#N/A"/>
    <s v="Els Vanhoe"/>
    <s v="SW05"/>
    <s v="spontane coaching"/>
    <s v="bus"/>
    <s v="20608 Joeri Mestdag"/>
    <d v="2025-06-18T00:00:00"/>
    <x v="0"/>
    <x v="0"/>
    <x v="0"/>
    <m/>
    <m/>
    <s v="X"/>
  </r>
  <r>
    <s v="ja"/>
    <n v="39850"/>
    <s v="Helleputte"/>
    <s v="William"/>
    <s v="39850 Helleputte William"/>
    <s v="Gent stad"/>
    <s v="Dominique De Clercq"/>
    <s v="RESF"/>
    <s v="algemene rijstijl/ houding"/>
    <m/>
    <m/>
    <d v="2025-06-18T00:00:00"/>
    <x v="0"/>
    <x v="0"/>
    <x v="2"/>
    <m/>
    <m/>
    <s v="X"/>
  </r>
  <r>
    <m/>
    <n v="40745"/>
    <s v="Ivanov"/>
    <s v="Ivan"/>
    <s v="40745 Ivanov Ivan"/>
    <s v="Gent stad"/>
    <s v="Bart Van Der Beken"/>
    <s v="RESF"/>
    <m/>
    <m/>
    <m/>
    <d v="2025-06-18T00:00:00"/>
    <x v="0"/>
    <x v="0"/>
    <x v="0"/>
    <s v="nee"/>
    <m/>
    <s v="X"/>
  </r>
  <r>
    <m/>
    <n v="38047"/>
    <s v="Aljorof"/>
    <s v="Marwan"/>
    <s v="38047 Aljorof Marwan"/>
    <s v="Gent stad"/>
    <s v="Christoff Rotty"/>
    <s v="RESF"/>
    <m/>
    <m/>
    <s v="17552 Daisy De Geyter"/>
    <d v="2025-06-18T00:00:00"/>
    <x v="0"/>
    <x v="0"/>
    <x v="1"/>
    <m/>
    <m/>
    <s v="X"/>
  </r>
  <r>
    <m/>
    <n v="31360"/>
    <s v="Simsek"/>
    <s v="Fatih"/>
    <s v="31360 Simsek Fatih"/>
    <s v="Gent stad"/>
    <s v="Dominique De Clercq"/>
    <s v="ML12"/>
    <m/>
    <m/>
    <n v="17552"/>
    <d v="2025-06-18T00:00:00"/>
    <x v="1"/>
    <x v="1"/>
    <x v="1"/>
    <m/>
    <m/>
    <s v="X"/>
  </r>
  <r>
    <m/>
    <n v="35220"/>
    <s v="Akmese"/>
    <s v="Ahmet"/>
    <s v="35220 Akmese Ahmet"/>
    <s v="Gent stad"/>
    <s v="Lucie Vande Velde"/>
    <s v="B09"/>
    <s v="spontane coaching"/>
    <s v="bus"/>
    <s v="20608 Joeri Mestdag"/>
    <d v="2025-06-25T00:00:00"/>
    <x v="0"/>
    <x v="0"/>
    <x v="2"/>
    <m/>
    <m/>
    <s v="X"/>
  </r>
  <r>
    <m/>
    <n v="36627"/>
    <s v="Dobbelaere"/>
    <s v="David"/>
    <s v="36627 Dobbelaere David"/>
    <s v="Gent stad"/>
    <s v="Els Dewulf"/>
    <s v="B24"/>
    <s v="spontane coaching"/>
    <s v="bus"/>
    <s v="20608 Joeri Mestdag"/>
    <d v="2025-06-25T00:00:00"/>
    <x v="1"/>
    <x v="0"/>
    <x v="1"/>
    <m/>
    <m/>
    <s v="X"/>
  </r>
  <r>
    <m/>
    <n v="39858"/>
    <s v="Jacobs"/>
    <s v="Elos"/>
    <s v="39858 Jacobs Elos"/>
    <s v="Gent stad"/>
    <s v="Els Dewulf"/>
    <s v="RESF"/>
    <s v="spontane coaching"/>
    <s v="bus"/>
    <s v="24577 Thierry De Vlieger"/>
    <d v="2025-06-30T00:00:00"/>
    <x v="8"/>
    <x v="14"/>
    <x v="3"/>
    <s v="ja"/>
    <m/>
    <s v="X"/>
  </r>
  <r>
    <m/>
    <n v="41520"/>
    <s v="Smets"/>
    <s v="Avery"/>
    <s v="41520 Smets Avery"/>
    <s v="Gent stad"/>
    <s v="Christoff Rotty"/>
    <s v="RESF"/>
    <s v="spontane coaching"/>
    <s v="bus"/>
    <s v="24577 Thierry De Vlieger"/>
    <d v="2025-06-30T00:00:00"/>
    <x v="9"/>
    <x v="15"/>
    <x v="2"/>
    <s v="nee"/>
    <m/>
    <s v="X"/>
  </r>
  <r>
    <m/>
    <n v="17951"/>
    <s v="Lega"/>
    <s v="Claude"/>
    <s v="17951 Lega Claude"/>
    <e v="#N/A"/>
    <s v="Bart Van Der Beken"/>
    <s v="RESV"/>
    <s v="spontane coaching"/>
    <s v="tram"/>
    <s v="25875 Debby Verstockt"/>
    <d v="2025-06-30T00:00:00"/>
    <x v="0"/>
    <x v="16"/>
    <x v="1"/>
    <m/>
    <m/>
    <s v="X"/>
  </r>
  <r>
    <m/>
    <n v="20400"/>
    <s v="Allan"/>
    <s v="Kenneth"/>
    <s v="20400 Allan Kenneth"/>
    <e v="#N/A"/>
    <s v="Dominique De Clercq"/>
    <s v="RESV"/>
    <s v="spontane coaching"/>
    <s v="tram"/>
    <s v="25875 Debby Verstockt"/>
    <d v="2025-06-30T00:00:00"/>
    <x v="0"/>
    <x v="0"/>
    <x v="2"/>
    <m/>
    <m/>
    <s v="X"/>
  </r>
  <r>
    <m/>
    <n v="36512"/>
    <s v="Van Herreweghe"/>
    <s v="Branco"/>
    <s v="36512 Van Herreweghe Branco"/>
    <s v="Gent stad"/>
    <s v="Steven Storm"/>
    <s v="G10"/>
    <s v="schade"/>
    <m/>
    <s v="8538 Philippe Vandewalle"/>
    <d v="2025-06-30T00:00:00"/>
    <x v="1"/>
    <x v="0"/>
    <x v="2"/>
    <m/>
    <m/>
    <s v="X"/>
  </r>
  <r>
    <m/>
    <n v="40138"/>
    <s v="Moerman"/>
    <s v="Tjimmy"/>
    <s v="40138 Moerman Tjimmy"/>
    <s v="Gent stad"/>
    <s v="Christoff Rotty"/>
    <s v="RESF"/>
    <s v="ongevallen"/>
    <s v="bus"/>
    <s v="8538 Philippe Vandewalle"/>
    <d v="2025-06-30T00:00:00"/>
    <x v="0"/>
    <x v="0"/>
    <x v="2"/>
    <m/>
    <m/>
    <s v="X"/>
  </r>
  <r>
    <m/>
    <n v="33965"/>
    <e v="#N/A"/>
    <e v="#N/A"/>
    <e v="#N/A"/>
    <s v="Gent stad"/>
    <e v="#N/A"/>
    <e v="#N/A"/>
    <s v="schade &gt;5 ongevallen"/>
    <m/>
    <s v="16707 Wim Van Hende"/>
    <d v="2025-07-03T00:00:00"/>
    <x v="1"/>
    <x v="1"/>
    <x v="1"/>
    <m/>
    <m/>
    <s v="X"/>
  </r>
  <r>
    <m/>
    <n v="17566"/>
    <s v="Praet"/>
    <s v="Reginald"/>
    <s v="17566 Praet Reginald"/>
    <e v="#N/A"/>
    <s v="Bart Van Der Beken"/>
    <s v="T24"/>
    <s v="spontane coaching"/>
    <s v="tram"/>
    <s v="6046 Joel De Maegd"/>
    <d v="2025-07-03T00:00:00"/>
    <x v="0"/>
    <x v="0"/>
    <x v="2"/>
    <m/>
    <m/>
    <s v="X"/>
  </r>
  <r>
    <m/>
    <n v="16897"/>
    <s v="VandenDaele"/>
    <s v="Andy"/>
    <s v="16897 VandenDaele Andy"/>
    <e v="#N/A"/>
    <s v="Steven Storm"/>
    <s v="T24"/>
    <s v="spontane coaching"/>
    <s v="tram"/>
    <s v="6046 Joel De Maegd"/>
    <d v="2025-07-03T00:00:00"/>
    <x v="0"/>
    <x v="0"/>
    <x v="2"/>
    <m/>
    <m/>
    <s v="X"/>
  </r>
  <r>
    <m/>
    <n v="39712"/>
    <s v="Repaj"/>
    <s v="Ramazan"/>
    <s v="39712 Repaj Ramazan"/>
    <s v="Gent stad"/>
    <s v="Bart Van Der Beken"/>
    <s v="RESF"/>
    <s v="coaching na gsm gebruik"/>
    <s v="bus"/>
    <s v="8538 Philippe Vandewalle"/>
    <d v="2025-07-03T00:00:00"/>
    <x v="0"/>
    <x v="0"/>
    <x v="1"/>
    <m/>
    <m/>
    <s v="X"/>
  </r>
  <r>
    <m/>
    <n v="39660"/>
    <s v="Lloyd"/>
    <s v="Glenn"/>
    <s v="39660 Lloyd Glenn"/>
    <s v="Gent stad"/>
    <s v="Bart Van Der Beken"/>
    <s v="RESF"/>
    <s v="niet naleven snelheid/stuurhouding"/>
    <s v="bus"/>
    <s v="7848 Kathy Vermandel"/>
    <d v="2025-07-04T00:00:00"/>
    <x v="0"/>
    <x v="0"/>
    <x v="2"/>
    <m/>
    <m/>
    <s v="X"/>
  </r>
  <r>
    <m/>
    <n v="40939"/>
    <s v="Cisse"/>
    <s v="Sayon"/>
    <s v="40939 Cisse Sayon"/>
    <s v="Gent stad"/>
    <s v="Kenneth De Rick"/>
    <s v="RESF"/>
    <s v="schade"/>
    <s v="bus"/>
    <s v="20608 Joeri Mestdag"/>
    <d v="2025-07-14T00:00:00"/>
    <x v="4"/>
    <x v="3"/>
    <x v="1"/>
    <m/>
    <m/>
    <s v="X"/>
  </r>
  <r>
    <m/>
    <n v="31731"/>
    <s v="Dedapper"/>
    <s v="Marijke"/>
    <s v="31731 Dedapper Marijke"/>
    <s v="Gent stad"/>
    <s v="Els Vanhoe"/>
    <s v="BO15"/>
    <s v="schade"/>
    <s v="bus"/>
    <s v="20608 Joeri Mestdag"/>
    <d v="2025-07-14T00:00:00"/>
    <x v="4"/>
    <x v="3"/>
    <x v="1"/>
    <m/>
    <m/>
    <s v="X"/>
  </r>
  <r>
    <m/>
    <n v="16095"/>
    <s v="Rouan"/>
    <s v="Jeroen"/>
    <s v="16095 Rouan Jeroen"/>
    <e v="#N/A"/>
    <s v="Kenneth De Rick"/>
    <s v="M15"/>
    <s v="ongevallen"/>
    <s v="tram"/>
    <s v="6046 Joel De Maegd"/>
    <d v="2025-07-16T00:00:00"/>
    <x v="0"/>
    <x v="0"/>
    <x v="0"/>
    <m/>
    <m/>
    <s v="X"/>
  </r>
  <r>
    <m/>
    <n v="15282"/>
    <s v="Marinx"/>
    <s v="Kristoff"/>
    <s v="15282 Marinx Kristoff"/>
    <e v="#N/A"/>
    <s v="Kenneth De Rick"/>
    <s v="M15"/>
    <s v="ongevallen"/>
    <s v="tram"/>
    <s v="6046 Joel De Maegd"/>
    <d v="2025-07-16T00:00:00"/>
    <x v="0"/>
    <x v="0"/>
    <x v="0"/>
    <m/>
    <m/>
    <s v="X"/>
  </r>
  <r>
    <m/>
    <n v="16899"/>
    <s v="Devriese"/>
    <s v="Luc"/>
    <s v="16899 Devriese Luc"/>
    <e v="#N/A"/>
    <s v="Steven Storm"/>
    <s v="TW24"/>
    <s v="ongevallen"/>
    <s v="tram"/>
    <s v="25875 Debby Verstockt"/>
    <d v="2025-07-17T00:00:00"/>
    <x v="0"/>
    <x v="0"/>
    <x v="0"/>
    <m/>
    <m/>
    <s v="X"/>
  </r>
  <r>
    <m/>
    <n v="38740"/>
    <s v="Meskens"/>
    <s v="Anthony"/>
    <s v="38740 Meskens Anthony"/>
    <s v="Gent stad"/>
    <s v="Christoff Rotty"/>
    <s v="RESF"/>
    <s v="ongevallen"/>
    <s v="tram"/>
    <s v="25875 Debby Verstockt"/>
    <d v="2025-07-17T00:00:00"/>
    <x v="0"/>
    <x v="0"/>
    <x v="0"/>
    <m/>
    <m/>
    <s v="X"/>
  </r>
  <r>
    <m/>
    <n v="14261"/>
    <s v="Vandaele"/>
    <s v="Sofie"/>
    <s v="14261 Vandaele Sofie"/>
    <e v="#N/A"/>
    <s v="Els Vanhoe"/>
    <s v="TV12"/>
    <s v="ongevallen"/>
    <s v="tram"/>
    <s v="25875 Debby Verstockt"/>
    <d v="2025-07-17T00:00:00"/>
    <x v="0"/>
    <x v="0"/>
    <x v="0"/>
    <m/>
    <m/>
    <s v="X"/>
  </r>
  <r>
    <m/>
    <n v="41871"/>
    <s v="Karanfil"/>
    <s v="Ibrahim"/>
    <s v="41871 Karanfil Ibrahim"/>
    <s v="Gent stad"/>
    <s v="Dominique De Clercq"/>
    <s v="RESF"/>
    <s v="ongevallen"/>
    <s v="bus"/>
    <s v="8538 Philippe Vandewalle"/>
    <d v="2025-07-17T00:00:00"/>
    <x v="0"/>
    <x v="0"/>
    <x v="2"/>
    <m/>
    <m/>
    <s v="X"/>
  </r>
  <r>
    <m/>
    <n v="39654"/>
    <s v="Camacho Encarnacion"/>
    <s v="Lisandro Javier"/>
    <s v="39654 Camacho Encarnacion Lisandro Javier"/>
    <s v="Gent stad"/>
    <s v="Kenneth De Rick"/>
    <s v="RESF"/>
    <s v="ongevallen"/>
    <s v="bus"/>
    <s v="8538 Philippe Vandewalle"/>
    <d v="2025-07-17T00:00:00"/>
    <x v="0"/>
    <x v="0"/>
    <x v="2"/>
    <m/>
    <m/>
    <s v="X"/>
  </r>
  <r>
    <m/>
    <n v="33049"/>
    <s v="Depaepe"/>
    <s v="Dirk"/>
    <s v="33049 Depaepe Dirk"/>
    <s v="Gent stad"/>
    <s v="Kenneth De Rick"/>
    <s v="TO15"/>
    <s v="spontane coaching"/>
    <s v="tram"/>
    <s v="25875 Debby Verstockt"/>
    <d v="2025-07-18T00:00:00"/>
    <x v="0"/>
    <x v="0"/>
    <x v="0"/>
    <m/>
    <m/>
    <s v="X"/>
  </r>
  <r>
    <m/>
    <n v="32168"/>
    <s v="Vranken"/>
    <s v="Zulkifly"/>
    <s v="32168 Vranken Zulkifly"/>
    <s v="Gent stad"/>
    <s v="Kenneth De Rick"/>
    <s v="MW12"/>
    <s v="spontane coaching"/>
    <s v="tram"/>
    <s v="25875 Debby Verstockt"/>
    <d v="2025-07-19T00:00:00"/>
    <x v="0"/>
    <x v="0"/>
    <x v="0"/>
    <m/>
    <m/>
    <s v="X"/>
  </r>
  <r>
    <m/>
    <n v="40939"/>
    <s v="Cisse"/>
    <s v="Sayon"/>
    <s v="40939 Cisse Sayon"/>
    <s v="Gent stad"/>
    <s v="Kenneth De Rick"/>
    <s v="RESF"/>
    <s v="spontane coaching"/>
    <s v="bus"/>
    <s v="17552 Daisy De Geyter"/>
    <d v="2025-07-28T00:00:00"/>
    <x v="1"/>
    <x v="1"/>
    <x v="2"/>
    <m/>
    <m/>
    <s v="X"/>
  </r>
  <r>
    <m/>
    <n v="40478"/>
    <s v="Hashimi"/>
    <s v="Ali Mir"/>
    <s v="40478 Hashimi Ali Mir"/>
    <s v="Gent stad"/>
    <s v="Bart Van Der Beken"/>
    <s v="RESF"/>
    <s v="spontane coaching"/>
    <s v="bus"/>
    <s v="17552 Daisy De Geyter"/>
    <d v="2025-07-28T00:00:00"/>
    <x v="1"/>
    <x v="17"/>
    <x v="1"/>
    <m/>
    <m/>
    <s v="X"/>
  </r>
  <r>
    <m/>
    <n v="31165"/>
    <s v="Govaerts"/>
    <s v="Sandro"/>
    <s v="31165 Govaerts Sandro"/>
    <s v="Gent stad"/>
    <s v="Lucie Vande Velde"/>
    <s v="GW10"/>
    <s v="spontane coaching"/>
    <s v="bus"/>
    <s v="17552 Daisy De Geyter"/>
    <d v="2025-07-28T00:00:00"/>
    <x v="0"/>
    <x v="0"/>
    <x v="0"/>
    <m/>
    <m/>
    <s v="X"/>
  </r>
  <r>
    <m/>
    <n v="31668"/>
    <s v="Weemhof"/>
    <s v="Maurice"/>
    <s v="31668 Weemhof Maurice"/>
    <s v="Gent stad"/>
    <s v="Dominique De Clercq"/>
    <s v="B24"/>
    <s v="spontane coaching"/>
    <s v="bus"/>
    <s v="17552 Daisy De Geyter"/>
    <d v="2025-07-28T00:00:00"/>
    <x v="0"/>
    <x v="0"/>
    <x v="0"/>
    <m/>
    <m/>
    <s v="X"/>
  </r>
  <r>
    <m/>
    <n v="19087"/>
    <s v="Deschepper"/>
    <s v="Peter"/>
    <s v="19087 Deschepper Peter"/>
    <e v="#N/A"/>
    <s v="Els Vanhoe"/>
    <s v="BD12"/>
    <s v="spontane coaching"/>
    <m/>
    <s v="17552 Daisy De Geyter"/>
    <d v="2025-07-28T00:00:00"/>
    <x v="4"/>
    <x v="0"/>
    <x v="0"/>
    <m/>
    <m/>
    <s v="X"/>
  </r>
  <r>
    <m/>
    <n v="31118"/>
    <s v="De Sutter"/>
    <s v="Michiel"/>
    <s v="31118 De Sutter Michiel"/>
    <s v="Gent stad"/>
    <s v="Els Dewulf"/>
    <s v="GW10"/>
    <s v="spontane coaching"/>
    <s v="bus"/>
    <s v="10905 Nourreddine Hamidou"/>
    <d v="2025-07-29T00:00:00"/>
    <x v="0"/>
    <x v="0"/>
    <x v="1"/>
    <m/>
    <m/>
    <s v="X"/>
  </r>
  <r>
    <m/>
    <n v="17931"/>
    <s v="Idrisi"/>
    <s v="Hasana"/>
    <s v="17931 Idrisi Hasana"/>
    <e v="#N/A"/>
    <s v="Els Dewulf"/>
    <s v="TW24"/>
    <s v="verstrooidheid/focus"/>
    <s v="tram"/>
    <s v="6046 Joel De Maegd"/>
    <d v="2025-07-29T00:00:00"/>
    <x v="0"/>
    <x v="0"/>
    <x v="1"/>
    <m/>
    <m/>
    <s v="X"/>
  </r>
  <r>
    <m/>
    <n v="9158"/>
    <s v="De Weirdt"/>
    <s v="Ronny"/>
    <s v="9158 De Weirdt Ronny"/>
    <e v="#N/A"/>
    <s v="Steven Storm"/>
    <s v="T24"/>
    <s v="spontane coaching"/>
    <s v="tram"/>
    <s v="22812 Tom De Clercq"/>
    <d v="2025-08-04T00:00:00"/>
    <x v="0"/>
    <x v="0"/>
    <x v="0"/>
    <s v="nee"/>
    <m/>
    <s v="X"/>
  </r>
  <r>
    <m/>
    <n v="28071"/>
    <s v="Omari"/>
    <s v="Said"/>
    <s v="28071 Omari Said"/>
    <s v="Gent stad"/>
    <s v="Els Dewulf"/>
    <s v="BD12"/>
    <s v="spontane coaching"/>
    <s v="tram"/>
    <s v="22812 Tom De Clercq"/>
    <d v="2025-08-04T00:00:00"/>
    <x v="0"/>
    <x v="0"/>
    <x v="1"/>
    <s v="nee"/>
    <m/>
    <s v="X"/>
  </r>
  <r>
    <m/>
    <n v="27672"/>
    <s v="Criel"/>
    <s v="Veronique"/>
    <s v="27672 Criel Veronique"/>
    <s v="Gent stad"/>
    <s v="Steven Storm"/>
    <s v="RESV"/>
    <s v="spontane coaching"/>
    <s v="tram"/>
    <s v="25875 Debby Verstockt"/>
    <d v="2025-08-06T00:00:00"/>
    <x v="0"/>
    <x v="0"/>
    <x v="0"/>
    <m/>
    <m/>
    <s v="X"/>
  </r>
  <r>
    <m/>
    <n v="21382"/>
    <s v="De Volder"/>
    <s v="Marc"/>
    <s v="21382 De Volder Marc"/>
    <e v="#N/A"/>
    <s v="Els Dewulf"/>
    <s v="TW24"/>
    <s v="spontane coaching"/>
    <s v="tram"/>
    <s v="25875 Debby Verstockt"/>
    <d v="2025-08-06T00:00:00"/>
    <x v="0"/>
    <x v="0"/>
    <x v="0"/>
    <m/>
    <m/>
    <s v="X"/>
  </r>
  <r>
    <m/>
    <n v="21382"/>
    <s v="De Volder"/>
    <s v="Marc"/>
    <s v="21382 De Volder Marc"/>
    <e v="#N/A"/>
    <s v="Els Dewulf"/>
    <s v="TW24"/>
    <s v="spontane coaching"/>
    <s v="tram"/>
    <s v="25875 Debby Verstockt"/>
    <d v="2025-08-06T00:00:00"/>
    <x v="4"/>
    <x v="1"/>
    <x v="3"/>
    <m/>
    <m/>
    <s v="X"/>
  </r>
  <r>
    <m/>
    <n v="21507"/>
    <s v="De Cooman"/>
    <s v="Bart"/>
    <s v="21507 De Cooman Bart"/>
    <s v="Gent stad"/>
    <s v="Kenneth De Rick"/>
    <s v="M15"/>
    <s v="spontane coaching"/>
    <s v="tram"/>
    <s v="25875 Debby Verstockt"/>
    <d v="2025-08-06T00:00:00"/>
    <x v="0"/>
    <x v="0"/>
    <x v="0"/>
    <m/>
    <m/>
    <s v="X"/>
  </r>
  <r>
    <m/>
    <n v="8016"/>
    <s v="Vinck"/>
    <s v="Roland"/>
    <s v="8016 Vinck Roland"/>
    <e v="#N/A"/>
    <s v="Dominique De Clercq"/>
    <s v="TV12"/>
    <s v="spontane coaching"/>
    <s v="tram"/>
    <s v="25875 Debby Verstockt"/>
    <d v="2025-08-07T00:00:00"/>
    <x v="0"/>
    <x v="0"/>
    <x v="0"/>
    <m/>
    <m/>
    <s v="X"/>
  </r>
  <r>
    <m/>
    <n v="19810"/>
    <s v="Willems"/>
    <s v="Kristine"/>
    <s v="19810 Willems Kristine"/>
    <e v="#N/A"/>
    <s v="Dominique De Clercq"/>
    <s v="TV12"/>
    <s v="spontane coaching"/>
    <s v="tram"/>
    <s v="25875 Debby Verstockt"/>
    <d v="2025-08-07T00:00:00"/>
    <x v="0"/>
    <x v="0"/>
    <x v="0"/>
    <m/>
    <m/>
    <s v="X"/>
  </r>
  <r>
    <m/>
    <n v="12514"/>
    <s v="De Smet"/>
    <s v="Kenneth"/>
    <s v="12514 De Smet Kenneth"/>
    <e v="#N/A"/>
    <s v="Lucie Vande Velde"/>
    <s v="TR15"/>
    <s v="spontane coaching"/>
    <s v="tram"/>
    <s v="25875 Debby Verstockt"/>
    <d v="2025-08-07T00:00:00"/>
    <x v="0"/>
    <x v="0"/>
    <x v="0"/>
    <m/>
    <m/>
    <s v="X"/>
  </r>
  <r>
    <m/>
    <n v="41230"/>
    <s v="De Witte"/>
    <s v="Bart"/>
    <s v="41230 De Witte Bart"/>
    <s v="Gent stad"/>
    <s v="Dominique De Clercq"/>
    <s v="RESF"/>
    <s v="spontane coaching"/>
    <s v="bus"/>
    <s v="17552 Daisy De Geyter"/>
    <d v="2025-08-07T00:00:00"/>
    <x v="0"/>
    <x v="1"/>
    <x v="0"/>
    <m/>
    <m/>
    <s v="X"/>
  </r>
  <r>
    <m/>
    <n v="15218"/>
    <s v="Ackermans"/>
    <s v="Christian"/>
    <s v="15218 Ackermans Christian"/>
    <e v="#N/A"/>
    <s v="Els Vanhoe"/>
    <s v="BD12"/>
    <s v="spontane coaching"/>
    <m/>
    <s v="17552 Daisy De Geyter"/>
    <d v="2025-08-07T00:00:00"/>
    <x v="3"/>
    <x v="18"/>
    <x v="3"/>
    <m/>
    <m/>
    <s v="X"/>
  </r>
  <r>
    <m/>
    <n v="40939"/>
    <s v="Cisse"/>
    <s v="Sayon"/>
    <s v="40939 Cisse Sayon"/>
    <s v="Gent stad"/>
    <s v="Kenneth De Rick"/>
    <s v="RESF"/>
    <s v="spontane coaching"/>
    <s v="bus"/>
    <s v="29909 Ellen Lenders "/>
    <d v="2025-08-08T00:00:00"/>
    <x v="13"/>
    <x v="19"/>
    <x v="1"/>
    <m/>
    <m/>
    <s v="X"/>
  </r>
  <r>
    <m/>
    <n v="21581"/>
    <s v="Vanderstraeten"/>
    <s v="Franky"/>
    <s v="21581 Vanderstraeten Franky"/>
    <s v="Gent Stad "/>
    <s v="Lucie Vande Velde"/>
    <s v="G70"/>
    <s v="spontane coaching"/>
    <s v="bus"/>
    <s v="29909 Ellen Lenders "/>
    <d v="2025-08-12T00:00:00"/>
    <x v="8"/>
    <x v="0"/>
    <x v="2"/>
    <m/>
    <m/>
    <s v="X"/>
  </r>
  <r>
    <m/>
    <n v="16094"/>
    <s v="Bracke"/>
    <s v="Peter"/>
    <s v="16094 Bracke Peter"/>
    <s v="Gent Stad "/>
    <s v="Kenneth De Rick"/>
    <s v="G09"/>
    <s v="spontane coaching"/>
    <s v="bus"/>
    <s v="29909 Ellen Lenders "/>
    <d v="2025-08-12T00:00:00"/>
    <x v="8"/>
    <x v="0"/>
    <x v="2"/>
    <m/>
    <m/>
    <s v="X"/>
  </r>
  <r>
    <m/>
    <n v="35862"/>
    <s v="Van Damme"/>
    <s v="Patrick"/>
    <s v="35862 Van Damme Patrick"/>
    <s v="Gent Stad "/>
    <s v="Els Dewulf"/>
    <s v="B09"/>
    <s v="schadegevallen"/>
    <s v="bus"/>
    <s v="10905 Nourreddine Hamidou"/>
    <d v="2025-08-13T00:00:00"/>
    <x v="0"/>
    <x v="0"/>
    <x v="0"/>
    <s v="nee"/>
    <m/>
    <s v="X"/>
  </r>
  <r>
    <m/>
    <n v="40134"/>
    <s v="Cardon"/>
    <s v="Sharon"/>
    <s v="40134 Cardon Sharon"/>
    <s v="Gent stad"/>
    <s v="Dominique De Clercq"/>
    <s v="RESF"/>
    <s v="schadegevallen"/>
    <s v="bus"/>
    <s v="10905 Nourreddine Hamidou"/>
    <d v="2025-08-13T00:00:00"/>
    <x v="0"/>
    <x v="0"/>
    <x v="1"/>
    <s v="nee"/>
    <m/>
    <s v="X"/>
  </r>
  <r>
    <m/>
    <n v="36635"/>
    <s v="Fadel"/>
    <s v="Husam"/>
    <s v="36635 Fadel Husam"/>
    <s v="Gent stad"/>
    <s v="Kenneth De Rick"/>
    <s v="RESF"/>
    <s v="algemene rijstijl/ snelheid en veiligheid"/>
    <s v="bus"/>
    <s v="10905 Nourreddine Hamidou"/>
    <d v="2025-08-13T00:00:00"/>
    <x v="1"/>
    <x v="0"/>
    <x v="1"/>
    <s v="nee"/>
    <m/>
    <s v="X"/>
  </r>
  <r>
    <m/>
    <n v="40278"/>
    <s v="Ates"/>
    <s v="Firat"/>
    <s v="40278 Ates Firat"/>
    <s v="Gent stad"/>
    <s v="Christoff Rotty"/>
    <s v="RESF"/>
    <s v="schadegevallen"/>
    <s v="bus"/>
    <s v="20608 Joeri Mestdag"/>
    <d v="2025-08-19T00:00:00"/>
    <x v="0"/>
    <x v="0"/>
    <x v="2"/>
    <s v="nee"/>
    <m/>
    <s v="X"/>
  </r>
  <r>
    <m/>
    <n v="26792"/>
    <s v="Ong"/>
    <s v="Geok Hong"/>
    <s v="26792 Ong Geok Hong"/>
    <s v="Gent stad"/>
    <s v="Lucie Vande Velde"/>
    <s v="BD12"/>
    <s v="spontane coaching"/>
    <s v="bus"/>
    <s v="20608 Joeri Mestdag"/>
    <d v="2025-08-22T00:00:00"/>
    <x v="6"/>
    <x v="0"/>
    <x v="1"/>
    <m/>
    <m/>
    <s v="X"/>
  </r>
  <r>
    <m/>
    <n v="31150"/>
    <s v="Oueslati"/>
    <s v="Mohamed Ali"/>
    <s v="31150 Oueslati Mohamed Ali"/>
    <s v="Gent stad"/>
    <s v="Kenneth De Rick"/>
    <s v="GW09"/>
    <s v="wegcode, rijstijl"/>
    <s v="bus"/>
    <s v="20608 Joeri Mestdag"/>
    <d v="2025-08-22T00:00:00"/>
    <x v="6"/>
    <x v="17"/>
    <x v="1"/>
    <m/>
    <m/>
    <s v="X"/>
  </r>
  <r>
    <m/>
    <n v="36512"/>
    <s v="Van Herreweghe"/>
    <s v="Branco"/>
    <s v="36512 Van Herreweghe Branco"/>
    <s v="Gent stad"/>
    <s v="Steven Storm"/>
    <s v="G10"/>
    <s v="schadegevallen"/>
    <m/>
    <s v="20608 Joeri Mestdag"/>
    <d v="2025-08-22T00:00:00"/>
    <x v="1"/>
    <x v="20"/>
    <x v="2"/>
    <m/>
    <m/>
    <s v="X"/>
  </r>
  <r>
    <m/>
    <n v="41091"/>
    <s v="Yavas"/>
    <s v="Talha"/>
    <s v="41091 Yavas Talha"/>
    <s v="Gent stad"/>
    <s v="Dominique De Clercq"/>
    <s v="RESF"/>
    <s v="spontane coaching"/>
    <s v="bus"/>
    <s v="7848 Kathy Vermandel"/>
    <d v="2025-08-26T00:00:00"/>
    <x v="0"/>
    <x v="0"/>
    <x v="0"/>
    <s v="nee"/>
    <m/>
    <s v="X"/>
  </r>
  <r>
    <m/>
    <n v="35419"/>
    <s v="Vermeir"/>
    <s v="Davy"/>
    <s v="35419 Vermeir Davy"/>
    <s v="Gent stad"/>
    <s v="Lucie Vande Velde"/>
    <s v="GW10"/>
    <s v="spontane coaching"/>
    <s v="bus"/>
    <s v="7848 Kathy Vermandel"/>
    <d v="2025-08-26T00:00:00"/>
    <x v="0"/>
    <x v="0"/>
    <x v="0"/>
    <s v="nee"/>
    <m/>
    <s v="X"/>
  </r>
  <r>
    <m/>
    <n v="34019"/>
    <s v="Hoste"/>
    <s v="Tom"/>
    <s v="34019 Hoste Tom"/>
    <s v="Gent stad"/>
    <s v="Christoff Rotty"/>
    <s v="S05"/>
    <s v="spontane coaching"/>
    <s v="bus"/>
    <s v="7848 Kathy Vermandel"/>
    <d v="2025-08-26T00:00:00"/>
    <x v="0"/>
    <x v="0"/>
    <x v="0"/>
    <s v="nee"/>
    <m/>
    <s v="X"/>
  </r>
  <r>
    <m/>
    <n v="36626"/>
    <s v="Kartal"/>
    <s v="Kadir"/>
    <s v="36626 Kartal Kadir"/>
    <s v="Gent stad"/>
    <s v="Els Dewulf"/>
    <s v="BR15"/>
    <s v="schade"/>
    <s v="bus"/>
    <s v="20608 Joeri Mestdag"/>
    <d v="2025-09-01T00:00:00"/>
    <x v="4"/>
    <x v="13"/>
    <x v="2"/>
    <m/>
    <m/>
    <s v="X"/>
  </r>
  <r>
    <m/>
    <n v="36625"/>
    <s v="Carion"/>
    <s v="Rojet"/>
    <s v="36625 Carion Rojet"/>
    <s v="Gent stad"/>
    <s v="Kenneth De Rick"/>
    <s v="BR15"/>
    <s v="spontane coaching"/>
    <s v="bus"/>
    <s v="8538 Philippe Vandewalle"/>
    <d v="2025-09-09T00:00:00"/>
    <x v="14"/>
    <x v="21"/>
    <x v="3"/>
    <s v="ja"/>
    <s v="nee"/>
    <s v="X"/>
  </r>
  <r>
    <m/>
    <n v="39673"/>
    <s v="Steurbaut"/>
    <s v="Henri"/>
    <s v="39673 Steurbaut Henri"/>
    <s v="Gent stad"/>
    <s v="Els Vanhoe"/>
    <s v="RESF"/>
    <s v="schadegevallen"/>
    <s v="bus"/>
    <s v="20608 Joeri Mestdag"/>
    <d v="2025-09-22T00:00:00"/>
    <x v="0"/>
    <x v="0"/>
    <x v="0"/>
    <m/>
    <m/>
    <s v="X"/>
  </r>
  <r>
    <m/>
    <n v="31668"/>
    <s v="Weemhof"/>
    <s v="Maurice"/>
    <s v="31668 Weemhof Maurice"/>
    <s v="Gent stad"/>
    <s v="Dominique De Clercq"/>
    <s v="B24"/>
    <s v="algemene rijstijl/ houding"/>
    <s v="bus"/>
    <s v="20608 Joeri Mestdag"/>
    <d v="2025-09-22T00:00:00"/>
    <x v="1"/>
    <x v="1"/>
    <x v="3"/>
    <m/>
    <m/>
    <s v="X"/>
  </r>
  <r>
    <m/>
    <n v="21581"/>
    <s v="Vanderstraeten"/>
    <s v="Franky"/>
    <s v="21581 Vanderstraeten Franky"/>
    <s v="Gent stad"/>
    <s v="Lucie Vande Velde"/>
    <s v="G70"/>
    <s v="te hoge snelheden zone 30 (zie vorige coaching van 12/08/2025)"/>
    <s v="bus"/>
    <s v="20608 Joeri Mestdag"/>
    <d v="2025-09-22T00:00:00"/>
    <x v="1"/>
    <x v="1"/>
    <x v="1"/>
    <m/>
    <m/>
    <s v="X"/>
  </r>
  <r>
    <m/>
    <n v="31668"/>
    <s v="Weemhof"/>
    <s v="Maurice"/>
    <s v="31668 Weemhof Maurice"/>
    <s v="Gent stad"/>
    <s v="Dominique De Clercq"/>
    <s v="B24"/>
    <s v="Algemene rijstijl/houding"/>
    <s v="bus"/>
    <s v="20608 Joeri Mestdag"/>
    <d v="2025-09-22T00:00:00"/>
    <x v="1"/>
    <x v="22"/>
    <x v="1"/>
    <m/>
    <m/>
    <s v="X"/>
  </r>
  <r>
    <m/>
    <n v="15220"/>
    <s v="Dejonghe"/>
    <s v="Katleen"/>
    <s v="15220 Dejonghe Katleen"/>
    <e v="#N/A"/>
    <s v="Dominique De Clercq"/>
    <s v="TD12"/>
    <s v="snelheid.rijstijl"/>
    <s v="tram"/>
    <s v="6046 Joel De Maegd"/>
    <d v="2025-09-25T00:00:00"/>
    <x v="4"/>
    <x v="23"/>
    <x v="3"/>
    <s v="ja"/>
    <m/>
    <s v="X"/>
  </r>
  <r>
    <m/>
    <n v="38555"/>
    <s v="Almohammad"/>
    <s v="Malek"/>
    <s v="38555 Almohammad Malek"/>
    <s v="Gent stad"/>
    <s v="Els Vanhoe"/>
    <s v="B09"/>
    <s v="spontane coaching"/>
    <s v="tram"/>
    <s v="6046 Joel De Maegd"/>
    <d v="2025-09-25T00:00:00"/>
    <x v="0"/>
    <x v="0"/>
    <x v="0"/>
    <m/>
    <m/>
    <s v="X"/>
  </r>
  <r>
    <m/>
    <n v="8792"/>
    <s v="VandenDaele"/>
    <s v="Dave"/>
    <s v="8792 VandenDaele Dave"/>
    <e v="#N/A"/>
    <s v="Bart Van Der Beken"/>
    <s v="T24"/>
    <s v="spontane coaching"/>
    <s v="tram"/>
    <s v="6046 Joel De Maegd"/>
    <d v="2025-09-25T00:00:00"/>
    <x v="0"/>
    <x v="0"/>
    <x v="0"/>
    <m/>
    <m/>
    <s v="X"/>
  </r>
  <r>
    <m/>
    <n v="8918"/>
    <s v="De Graeve"/>
    <s v="Marc"/>
    <s v="8918 De Graeve Marc"/>
    <e v="#N/A"/>
    <s v="Kenneth De Rick"/>
    <s v="M15"/>
    <s v="spontane coaching"/>
    <s v="tram"/>
    <s v="6046 Joel De Maegd"/>
    <d v="2025-09-25T00:00:00"/>
    <x v="4"/>
    <x v="1"/>
    <x v="1"/>
    <m/>
    <m/>
    <s v="X"/>
  </r>
  <r>
    <m/>
    <n v="8016"/>
    <s v="Vinck"/>
    <s v="Roland"/>
    <s v="8016 Vinck Roland"/>
    <e v="#N/A"/>
    <s v="Dominique De Clercq"/>
    <s v="TV12"/>
    <s v="spontane coaching"/>
    <s v="tram"/>
    <s v="6046 Joel De Maegd"/>
    <d v="2025-09-25T00:00:00"/>
    <x v="4"/>
    <x v="1"/>
    <x v="1"/>
    <m/>
    <m/>
    <s v="X"/>
  </r>
  <r>
    <m/>
    <n v="41671"/>
    <s v="Hasan"/>
    <s v="Salem"/>
    <s v="41671 Hasan Salem"/>
    <s v="Gent stad"/>
    <s v="Bart Van Der Beken"/>
    <s v="RESF"/>
    <s v="spontane coaching"/>
    <s v="bus"/>
    <s v="8538 Philippe Vandewalle"/>
    <d v="2025-09-25T00:00:00"/>
    <x v="6"/>
    <x v="0"/>
    <x v="2"/>
    <m/>
    <m/>
    <s v="X"/>
  </r>
  <r>
    <m/>
    <n v="37496"/>
    <s v="Oosterlinck"/>
    <s v="Willy"/>
    <s v="37496 Oosterlinck Willy"/>
    <s v="Gent stad"/>
    <s v="Dominique De Clercq"/>
    <s v="MW12"/>
    <s v="schadegevallen"/>
    <s v="bus"/>
    <s v="8538 Philippe Vandewalle"/>
    <d v="2025-09-25T00:00:00"/>
    <x v="3"/>
    <x v="0"/>
    <x v="1"/>
    <m/>
    <m/>
    <s v="X"/>
  </r>
  <r>
    <m/>
    <n v="41874"/>
    <s v="Dobbeleire"/>
    <s v="Bruno"/>
    <s v="41874 Dobbeleire Bruno"/>
    <s v="Gent stad"/>
    <s v="Dominique De Clercq"/>
    <s v="RESF"/>
    <s v="schadegevallen"/>
    <s v="bus"/>
    <s v="8538 Philippe Vandewalle"/>
    <d v="2025-09-25T00:00:00"/>
    <x v="0"/>
    <x v="0"/>
    <x v="2"/>
    <m/>
    <m/>
    <s v="X"/>
  </r>
  <r>
    <m/>
    <n v="23790"/>
    <s v="Adiyil"/>
    <s v="Attila"/>
    <s v="23790 Adiyil Attila"/>
    <s v="Gent stad"/>
    <s v="Dominique De Clercq"/>
    <s v="M15"/>
    <s v="schadegevallen"/>
    <s v="bus"/>
    <s v="20608 Joeri Mestdag"/>
    <d v="2025-10-01T00:00:00"/>
    <x v="1"/>
    <x v="0"/>
    <x v="1"/>
    <m/>
    <m/>
    <s v="X"/>
  </r>
  <r>
    <m/>
    <n v="39715"/>
    <s v="El Khayat"/>
    <s v="Jamal"/>
    <s v="39715 El Khayat Jamal"/>
    <s v="Gent stad"/>
    <s v="Kenneth De Rick"/>
    <s v="RESF"/>
    <s v="spontane coaching"/>
    <s v="bus"/>
    <s v="20608 Joeri Mestdag"/>
    <d v="2025-10-02T00:00:00"/>
    <x v="0"/>
    <x v="0"/>
    <x v="0"/>
    <s v="nee"/>
    <m/>
    <s v="X"/>
  </r>
  <r>
    <m/>
    <n v="23481"/>
    <s v="Kerman"/>
    <s v="Riza"/>
    <s v="23481 Kerman Riza"/>
    <s v="Gent stad"/>
    <s v="Bart Van Der Beken"/>
    <s v="G09"/>
    <s v="spontane coaching"/>
    <s v="bus"/>
    <s v="20608 Joeri Mestdag"/>
    <d v="2025-10-02T00:00:00"/>
    <x v="1"/>
    <x v="0"/>
    <x v="2"/>
    <s v="nee"/>
    <m/>
    <s v="X"/>
  </r>
  <r>
    <m/>
    <n v="39985"/>
    <s v="Mattan"/>
    <s v="Maaren"/>
    <s v="39985 Mattan Maaren"/>
    <s v="Gent stad"/>
    <s v="Christoff Rotty"/>
    <s v="RESF"/>
    <s v="spontane coaching"/>
    <s v="tram"/>
    <s v="6046 Joel De Maegd"/>
    <d v="2025-10-06T00:00:00"/>
    <x v="0"/>
    <x v="0"/>
    <x v="0"/>
    <m/>
    <m/>
    <s v="X"/>
  </r>
  <r>
    <m/>
    <n v="38634"/>
    <s v="Asskale"/>
    <s v="Zouhir"/>
    <s v="38634 Asskale Zouhir"/>
    <s v="Gent stad"/>
    <s v="Bart Van Der Beken"/>
    <s v="RESF"/>
    <s v="spontane coaching"/>
    <s v="tram"/>
    <s v="6046 Joel De Maegd"/>
    <d v="2025-10-06T00:00:00"/>
    <x v="0"/>
    <x v="0"/>
    <x v="2"/>
    <m/>
    <m/>
    <s v="X"/>
  </r>
  <r>
    <m/>
    <n v="33551"/>
    <s v="Dekens"/>
    <s v="Andy"/>
    <s v="33551 Dekens Andy"/>
    <s v="Gent stad"/>
    <s v="Els Vanhoe"/>
    <s v="RESF"/>
    <s v="spontane coaching"/>
    <s v="tram"/>
    <s v="6046 Joel De Maegd"/>
    <d v="2025-10-06T00:00:00"/>
    <x v="0"/>
    <x v="0"/>
    <x v="0"/>
    <m/>
    <m/>
    <s v="X"/>
  </r>
  <r>
    <m/>
    <n v="39014"/>
    <s v="Genbrugge"/>
    <s v="Kyllian"/>
    <s v="39014 Genbrugge Kyllian"/>
    <s v="Gent stad"/>
    <s v="Bart Van Der Beken"/>
    <s v="BR15"/>
    <s v="schadegevallen"/>
    <s v="bus"/>
    <s v="8538 Philippe Vandewalle"/>
    <d v="2025-10-06T00:00:00"/>
    <x v="0"/>
    <x v="0"/>
    <x v="2"/>
    <m/>
    <m/>
    <s v="X"/>
  </r>
  <r>
    <m/>
    <n v="14425"/>
    <s v="Vandaele"/>
    <s v="Thibaut"/>
    <s v="14425 Vandaele Thibaut"/>
    <e v="#N/A"/>
    <s v="Bart Van Der Beken"/>
    <s v="TR15"/>
    <s v="schadegevallen"/>
    <s v="bus"/>
    <s v="8538 Philippe Vandewalle"/>
    <d v="2025-10-07T00:00:00"/>
    <x v="4"/>
    <x v="1"/>
    <x v="1"/>
    <m/>
    <m/>
    <s v="X"/>
  </r>
  <r>
    <m/>
    <n v="6092"/>
    <s v="Boone"/>
    <s v="Pascal"/>
    <s v="6092 Boone Pascal"/>
    <e v="#N/A"/>
    <s v="Steven Storm"/>
    <s v="TD12"/>
    <s v="schadegevallen"/>
    <s v="bus"/>
    <s v="8538 Philippe Vandewalle"/>
    <d v="2025-10-07T00:00:00"/>
    <x v="0"/>
    <x v="0"/>
    <x v="2"/>
    <m/>
    <m/>
    <s v="X"/>
  </r>
  <r>
    <m/>
    <n v="36354"/>
    <s v="El Aaddam"/>
    <s v="Hodayfa"/>
    <s v="36354 El Aaddam Hodayfa"/>
    <s v="Gent stad"/>
    <s v="Els Vanhoe"/>
    <s v="RESF"/>
    <s v="eco score"/>
    <s v="bus"/>
    <s v="20608 Joeri Mestdag"/>
    <d v="2025-10-08T00:00:00"/>
    <x v="6"/>
    <x v="10"/>
    <x v="1"/>
    <s v="nee"/>
    <m/>
    <s v="X"/>
  </r>
  <r>
    <m/>
    <n v="39779"/>
    <s v="Avci"/>
    <s v="Muhammet Abdullah"/>
    <s v="39779 Avci Muhammet Abdullah"/>
    <s v="Gent stad"/>
    <s v="Bart Van Der Beken"/>
    <s v="RESF"/>
    <s v="snelheid en gsm"/>
    <s v="bus"/>
    <s v="20608 Joeri Mestdag"/>
    <d v="2025-10-08T00:00:00"/>
    <x v="4"/>
    <x v="0"/>
    <x v="2"/>
    <s v="nee"/>
    <m/>
    <s v="X"/>
  </r>
  <r>
    <m/>
    <n v="36635"/>
    <s v="Fadel"/>
    <s v="Husam"/>
    <s v="36635 Fadel Husam"/>
    <s v="Gent stad"/>
    <s v="Kenneth De Rick"/>
    <s v="RESF"/>
    <m/>
    <s v="bus"/>
    <s v="4707 Peter Schijvens"/>
    <d v="2025-10-08T00:00:00"/>
    <x v="0"/>
    <x v="0"/>
    <x v="0"/>
    <s v="nee"/>
    <m/>
    <s v="X"/>
  </r>
  <r>
    <m/>
    <n v="37222"/>
    <s v="Blondeel"/>
    <s v="Dominique"/>
    <s v="37222 Blondeel Dominique"/>
    <s v="Gent stad"/>
    <s v="Lucie Vande Velde"/>
    <s v="RESF"/>
    <m/>
    <s v="bus"/>
    <s v="4707 Peter Schijvens"/>
    <d v="2025-10-08T00:00:00"/>
    <x v="0"/>
    <x v="0"/>
    <x v="0"/>
    <s v="nee"/>
    <m/>
    <s v="X"/>
  </r>
  <r>
    <m/>
    <n v="35419"/>
    <s v="Vermeir"/>
    <s v="Davy"/>
    <s v="35419 Vermeir Davy"/>
    <s v="Gent stad"/>
    <s v="Lucie Vande Velde"/>
    <s v="GW10"/>
    <s v="spontane coaching"/>
    <s v="bus"/>
    <s v="20608 Joeri Mestdag"/>
    <d v="2025-10-09T00:00:00"/>
    <x v="8"/>
    <x v="0"/>
    <x v="2"/>
    <m/>
    <m/>
    <s v="X"/>
  </r>
  <r>
    <m/>
    <n v="41092"/>
    <s v="De Keyser"/>
    <s v="Dorien"/>
    <s v="41092 De Keyser Dorien"/>
    <s v="Gent stad"/>
    <s v="Dominique De Clercq"/>
    <s v="RESF"/>
    <s v="spontane coaching"/>
    <s v="bus"/>
    <s v="20608 Joeri Mestdag"/>
    <d v="2025-10-09T00:00:00"/>
    <x v="8"/>
    <x v="0"/>
    <x v="2"/>
    <m/>
    <m/>
    <s v="X"/>
  </r>
  <r>
    <m/>
    <n v="41064"/>
    <s v="Ardic"/>
    <s v="Atilla"/>
    <s v="41064 Ardic Atilla"/>
    <s v="Gent stad"/>
    <s v="Dominique De Clercq"/>
    <s v="RESF"/>
    <s v="schadegevallen"/>
    <s v="bus"/>
    <s v="20608 Joeri Mestdag"/>
    <d v="2025-10-09T00:00:00"/>
    <x v="1"/>
    <x v="2"/>
    <x v="3"/>
    <m/>
    <m/>
    <s v="X"/>
  </r>
  <r>
    <m/>
    <n v="40859"/>
    <s v="Yagoub"/>
    <s v="Abdelali"/>
    <s v="40859 Yagoub Abdelali"/>
    <s v="Gent stad"/>
    <s v="Els Vanhoe"/>
    <s v="RESF"/>
    <s v="schadegevallen"/>
    <s v="bus"/>
    <s v="20608 Joeri Mestdag"/>
    <d v="2025-10-09T00:00:00"/>
    <x v="1"/>
    <x v="1"/>
    <x v="1"/>
    <m/>
    <m/>
    <s v="X"/>
  </r>
  <r>
    <m/>
    <n v="11508"/>
    <s v="Beeckman"/>
    <s v="Nico"/>
    <s v="11508 Beeckman Nico"/>
    <e v="#N/A"/>
    <s v="Lucie Vande Velde"/>
    <s v="SW05"/>
    <s v="spontane coaching"/>
    <s v="bus"/>
    <s v="26202 Ward Desmet"/>
    <d v="2025-05-14T00:00:00"/>
    <x v="0"/>
    <x v="0"/>
    <x v="0"/>
    <s v="nee"/>
    <m/>
    <s v="X"/>
  </r>
  <r>
    <m/>
    <n v="41101"/>
    <s v="Shah"/>
    <s v="Sekandar"/>
    <s v="41101 Shah Sekandar"/>
    <s v="Gent stad"/>
    <s v="Dominique De Clercq"/>
    <s v="RESF"/>
    <s v="algemene rijstijl/ houding"/>
    <s v="bus"/>
    <s v="20608 Joeri Mestdag"/>
    <d v="2025-04-02T00:00:00"/>
    <x v="15"/>
    <x v="0"/>
    <x v="2"/>
    <s v="nee"/>
    <m/>
    <s v="X"/>
  </r>
  <r>
    <m/>
    <n v="35709"/>
    <s v="El Gasmi"/>
    <s v="Sami"/>
    <s v="35709 El Gasmi Sami"/>
    <s v="Gent stad"/>
    <s v="Els Vanhoe"/>
    <s v="BN24"/>
    <m/>
    <s v="bus"/>
    <s v="4707 Peter Schijvens"/>
    <d v="2025-03-21T00:00:00"/>
    <x v="0"/>
    <x v="0"/>
    <x v="0"/>
    <s v="nee"/>
    <m/>
    <s v="X"/>
  </r>
  <r>
    <m/>
    <n v="35379"/>
    <s v="Engels"/>
    <s v="Sam"/>
    <s v="35379 Engels Sam"/>
    <s v="Gent stad"/>
    <s v="Els Vanhoe"/>
    <s v="BR15"/>
    <m/>
    <s v="bus"/>
    <s v="4707 Peter Schijvens"/>
    <d v="2025-03-20T00:00:00"/>
    <x v="0"/>
    <x v="0"/>
    <x v="0"/>
    <m/>
    <m/>
    <s v="X"/>
  </r>
  <r>
    <m/>
    <n v="40223"/>
    <e v="#N/A"/>
    <e v="#N/A"/>
    <e v="#N/A"/>
    <s v="Gent stad"/>
    <e v="#N/A"/>
    <e v="#N/A"/>
    <m/>
    <m/>
    <m/>
    <s v="uit dienst"/>
    <x v="0"/>
    <x v="0"/>
    <x v="2"/>
    <m/>
    <m/>
    <m/>
  </r>
  <r>
    <s v="ja"/>
    <n v="39930"/>
    <s v="Mirazai"/>
    <s v="Rahmatullah"/>
    <s v="39930 Mirazai Rahmatullah"/>
    <s v="Gent stad"/>
    <s v="Christoff Rotty"/>
    <s v="RESF"/>
    <s v="snelheid"/>
    <s v="bus"/>
    <s v="4707 Peter Schijvens"/>
    <d v="2025-06-17T00:00:00"/>
    <x v="8"/>
    <x v="24"/>
    <x v="4"/>
    <s v="ja"/>
    <s v="nee"/>
    <s v="X"/>
  </r>
  <r>
    <m/>
    <n v="38807"/>
    <s v="Dossche"/>
    <s v="Caroline"/>
    <s v="38807 Dossche Caroline"/>
    <s v="Gent stad"/>
    <s v="Christoff Rotty"/>
    <s v="RESF"/>
    <m/>
    <s v="bus"/>
    <s v="4707 Peter Schijvens"/>
    <d v="2025-04-08T00:00:00"/>
    <x v="0"/>
    <x v="0"/>
    <x v="0"/>
    <m/>
    <m/>
    <s v="X"/>
  </r>
  <r>
    <m/>
    <n v="25873"/>
    <s v="Kazakbiyev"/>
    <s v="Osman"/>
    <s v="25873 Kazakbiyev Osman"/>
    <s v="Gent stad"/>
    <s v="Els Vanhoe"/>
    <s v="BD12"/>
    <m/>
    <s v="bus"/>
    <s v="4707 Peter Schijvens"/>
    <d v="2025-04-08T00:00:00"/>
    <x v="0"/>
    <x v="0"/>
    <x v="2"/>
    <m/>
    <m/>
    <s v="X"/>
  </r>
  <r>
    <m/>
    <n v="41162"/>
    <s v="Hoeckman"/>
    <s v="Jeroen"/>
    <s v="41162 Hoeckman Jeroen"/>
    <s v="Gent stad"/>
    <s v="Dominique De Clercq"/>
    <s v="RESF"/>
    <s v="schade"/>
    <s v="bus"/>
    <m/>
    <d v="2025-11-07T00:00:00"/>
    <x v="0"/>
    <x v="0"/>
    <x v="2"/>
    <m/>
    <m/>
    <s v="X"/>
  </r>
  <r>
    <m/>
    <n v="41092"/>
    <s v="De Keyser"/>
    <s v="Dorien"/>
    <s v="41092 De Keyser Dorien"/>
    <s v="Gent stad"/>
    <s v="Dominique De Clercq"/>
    <s v="RESF"/>
    <m/>
    <s v="bus"/>
    <m/>
    <d v="2025-10-09T00:00:00"/>
    <x v="0"/>
    <x v="0"/>
    <x v="2"/>
    <m/>
    <m/>
    <s v="X"/>
  </r>
  <r>
    <m/>
    <n v="38475"/>
    <s v="Verschraegen"/>
    <s v="Katleen"/>
    <s v="38475 Verschraegen Katleen"/>
    <s v="Gent stad"/>
    <s v="Els Dewulf"/>
    <s v="BR15"/>
    <s v="ongevallen"/>
    <s v="bus"/>
    <s v="26202 Ward Desmet"/>
    <s v="uit dienst"/>
    <x v="0"/>
    <x v="0"/>
    <x v="0"/>
    <s v="nee"/>
    <m/>
    <m/>
  </r>
  <r>
    <m/>
    <n v="40521"/>
    <s v="Mekdad"/>
    <s v="Ali"/>
    <s v="40521 Mekdad Ali"/>
    <s v="Gent stad"/>
    <s v="Lucie Vande Velde"/>
    <s v="RESF"/>
    <m/>
    <s v="bus"/>
    <s v="8538 Philippe Vandewalle"/>
    <d v="2025-05-12T00:00:00"/>
    <x v="0"/>
    <x v="0"/>
    <x v="0"/>
    <s v="nee"/>
    <m/>
    <s v="X"/>
  </r>
  <r>
    <m/>
    <n v="41064"/>
    <s v="Ardic"/>
    <s v="Atilla"/>
    <s v="41064 Ardic Atilla"/>
    <s v="Gent stad"/>
    <s v="Dominique De Clercq"/>
    <s v="RESF"/>
    <s v="spontane coaching"/>
    <s v="bus"/>
    <s v="26202 Ward Desmet"/>
    <d v="2025-09-01T00:00:00"/>
    <x v="0"/>
    <x v="0"/>
    <x v="0"/>
    <s v="nee"/>
    <m/>
    <s v="X"/>
  </r>
  <r>
    <m/>
    <n v="36425"/>
    <s v="Vandekerckhove"/>
    <s v="Nico"/>
    <s v="36425 Vandekerckhove Nico"/>
    <s v="Gent stad"/>
    <s v="Els Vanhoe"/>
    <s v="B24"/>
    <s v="spontane coaching"/>
    <s v="bus"/>
    <s v="26202 Ward Desmet"/>
    <d v="2025-05-12T00:00:00"/>
    <x v="0"/>
    <x v="0"/>
    <x v="0"/>
    <s v="nee"/>
    <m/>
    <s v="X"/>
  </r>
  <r>
    <m/>
    <n v="34044"/>
    <s v="Wieme"/>
    <s v="Kevin"/>
    <s v="34044 Wieme Kevin"/>
    <s v="Gent stad"/>
    <s v="Christoff Rotty"/>
    <s v="S05"/>
    <s v="spontane coaching"/>
    <s v="bus"/>
    <s v="6046 Joel De Maegd"/>
    <d v="2025-05-09T00:00:00"/>
    <x v="0"/>
    <x v="0"/>
    <x v="0"/>
    <s v="nee"/>
    <m/>
    <s v="X"/>
  </r>
  <r>
    <m/>
    <n v="26959"/>
    <s v="Bohez"/>
    <s v="Olivier"/>
    <s v="26959 Bohez Olivier"/>
    <s v="Gent stad"/>
    <s v="Dominique De Clercq"/>
    <s v="M15"/>
    <s v="spontane coaching"/>
    <s v="tram"/>
    <s v="6046 Joel De Maegd"/>
    <d v="2025-05-09T00:00:00"/>
    <x v="0"/>
    <x v="0"/>
    <x v="0"/>
    <s v="nee"/>
    <m/>
    <s v="X"/>
  </r>
  <r>
    <m/>
    <n v="39529"/>
    <s v="Desmet"/>
    <s v="Patricia"/>
    <s v="39529 Desmet Patricia"/>
    <s v="Gent stad"/>
    <s v="Christoff Rotty"/>
    <s v="TO15"/>
    <s v="spontane coaching"/>
    <s v="tram"/>
    <s v="6046 Joel De Maegd"/>
    <d v="2025-05-09T00:00:00"/>
    <x v="0"/>
    <x v="0"/>
    <x v="0"/>
    <s v="nee"/>
    <m/>
    <s v="X"/>
  </r>
  <r>
    <m/>
    <n v="40859"/>
    <s v="Yagoub"/>
    <s v="Abdelali"/>
    <s v="40859 Yagoub Abdelali"/>
    <s v="Gent stad"/>
    <s v="Els Vanhoe"/>
    <s v="RESF"/>
    <m/>
    <s v="bus"/>
    <s v="4707 Peter Schijvens"/>
    <d v="2025-05-27T00:00:00"/>
    <x v="0"/>
    <x v="0"/>
    <x v="2"/>
    <s v="nee"/>
    <m/>
    <s v="X"/>
  </r>
  <r>
    <m/>
    <n v="17555"/>
    <s v="DeBisschop"/>
    <s v="Wendy"/>
    <s v="17555 DeBisschop Wendy"/>
    <e v="#N/A"/>
    <s v="Bart Van Der Beken"/>
    <s v="G09"/>
    <m/>
    <s v="bus"/>
    <s v="17552 Daisy De Geyter"/>
    <d v="2025-10-16T00:00:00"/>
    <x v="0"/>
    <x v="0"/>
    <x v="0"/>
    <m/>
    <m/>
    <s v="X"/>
  </r>
  <r>
    <m/>
    <n v="40055"/>
    <s v="Afara"/>
    <s v="Ammar"/>
    <s v="40055 Afara Ammar"/>
    <s v="Gent stad"/>
    <s v="Els Vanhoe"/>
    <s v="RESF"/>
    <m/>
    <s v="bus"/>
    <s v="17552 Daisy De Geyter"/>
    <d v="2025-05-21T00:00:00"/>
    <x v="1"/>
    <x v="1"/>
    <x v="2"/>
    <m/>
    <m/>
    <s v="X"/>
  </r>
  <r>
    <m/>
    <n v="41870"/>
    <s v="Goossens"/>
    <s v="Yannick"/>
    <s v="41870 Goossens Yannick"/>
    <s v="Gent stad"/>
    <s v="Steven Storm"/>
    <s v="RESF"/>
    <m/>
    <s v="bus"/>
    <s v="17552 Daisy De Geyter"/>
    <s v="zit niet in CBH"/>
    <x v="1"/>
    <x v="25"/>
    <x v="1"/>
    <m/>
    <m/>
    <m/>
  </r>
  <r>
    <m/>
    <n v="10326"/>
    <s v="Lefebvre"/>
    <s v="Olivier"/>
    <s v="10326 Lefebvre Olivier"/>
    <e v="#N/A"/>
    <s v="Bart Van Der Beken"/>
    <s v="GW09"/>
    <m/>
    <s v="bus"/>
    <s v="17552 Daisy De Geyter"/>
    <d v="2025-10-16T00:00:00"/>
    <x v="0"/>
    <x v="1"/>
    <x v="2"/>
    <m/>
    <m/>
    <s v="X"/>
  </r>
  <r>
    <m/>
    <n v="41882"/>
    <s v="Van der Bauwhede"/>
    <s v="Ben"/>
    <s v="41882 Van der Bauwhede Ben"/>
    <s v="Gent stad"/>
    <s v="Els Vanhoe"/>
    <s v="RESF"/>
    <m/>
    <s v="bus"/>
    <s v="7848 Kathy Vermandel"/>
    <d v="2025-10-15T00:00:00"/>
    <x v="0"/>
    <x v="0"/>
    <x v="2"/>
    <m/>
    <m/>
    <s v="X"/>
  </r>
  <r>
    <m/>
    <n v="40110"/>
    <s v="Vanlerberghe"/>
    <s v="Sandra"/>
    <s v="40110 Vanlerberghe Sandra"/>
    <s v="Gent stad"/>
    <s v="Christoff Rotty"/>
    <s v="RESF"/>
    <s v="schadegevallen"/>
    <s v="bus"/>
    <s v="7848 Kathy Vermandel"/>
    <d v="2025-10-15T00:00:00"/>
    <x v="0"/>
    <x v="0"/>
    <x v="2"/>
    <m/>
    <m/>
    <s v="X"/>
  </r>
  <r>
    <m/>
    <n v="42002"/>
    <s v="Bogaert"/>
    <s v="Kevin"/>
    <s v="42002 Bogaert Kevin"/>
    <s v="Gent stad"/>
    <s v="Els Vanhoe"/>
    <s v="RESF"/>
    <s v="schadegevallen"/>
    <s v="bus"/>
    <s v="7848 Kathy Vermandel"/>
    <d v="2025-10-15T00:00:00"/>
    <x v="6"/>
    <x v="0"/>
    <x v="1"/>
    <m/>
    <m/>
    <s v="X"/>
  </r>
  <r>
    <m/>
    <n v="33085"/>
    <s v="Van Hoe"/>
    <s v="Ivo"/>
    <s v="33085 Van Hoe Ivo"/>
    <s v="Gent stad"/>
    <s v="Kenneth De Rick"/>
    <s v="RESF"/>
    <s v="schadegevallen"/>
    <s v="bus"/>
    <s v="8538 Philippe Vandewalle"/>
    <d v="2025-10-20T00:00:00"/>
    <x v="1"/>
    <x v="0"/>
    <x v="2"/>
    <m/>
    <m/>
    <s v="X"/>
  </r>
  <r>
    <m/>
    <n v="41942"/>
    <e v="#N/A"/>
    <e v="#N/A"/>
    <e v="#N/A"/>
    <s v="Gent stad"/>
    <e v="#N/A"/>
    <e v="#N/A"/>
    <m/>
    <m/>
    <s v="7848 Kathy Vermandel"/>
    <d v="2025-10-21T00:00:00"/>
    <x v="7"/>
    <x v="0"/>
    <x v="0"/>
    <s v="nee"/>
    <m/>
    <s v="X"/>
  </r>
  <r>
    <m/>
    <n v="42269"/>
    <s v="Ahmed"/>
    <s v="Abdul"/>
    <s v="42269 Ahmed Abdul"/>
    <s v="Gent stad"/>
    <s v="Christoff Rotty"/>
    <s v="RESF2"/>
    <m/>
    <m/>
    <s v="7848 Kathy Vermandel"/>
    <d v="2025-10-21T00:00:00"/>
    <x v="6"/>
    <x v="17"/>
    <x v="1"/>
    <s v="nee"/>
    <m/>
    <s v="X"/>
  </r>
  <r>
    <m/>
    <n v="42393"/>
    <s v="AL-Haddad"/>
    <s v="Rashid"/>
    <s v="42393 AL-Haddad Rashid"/>
    <s v="Gent stad"/>
    <s v="Steven Storm"/>
    <s v="RESF2"/>
    <m/>
    <m/>
    <s v="7848 Kathy Vermandel"/>
    <d v="2025-10-21T00:00:00"/>
    <x v="6"/>
    <x v="0"/>
    <x v="2"/>
    <s v="nee"/>
    <m/>
    <s v="X"/>
  </r>
  <r>
    <m/>
    <n v="42082"/>
    <s v="Ahmad"/>
    <s v="Othman"/>
    <s v="42082 Ahmad Othman"/>
    <s v="Gent stad"/>
    <s v="Dominique De Clercq"/>
    <s v="RESF"/>
    <m/>
    <m/>
    <s v="7848 Kathy Vermandel"/>
    <d v="2025-10-21T00:00:00"/>
    <x v="1"/>
    <x v="1"/>
    <x v="2"/>
    <s v="nee"/>
    <m/>
    <s v="X"/>
  </r>
  <r>
    <m/>
    <n v="39528"/>
    <s v="Mihaylov"/>
    <s v="Plamen"/>
    <s v="39528 Mihaylov Plamen"/>
    <s v="Gent stad"/>
    <s v="Christoff Rotty"/>
    <s v="RESF"/>
    <m/>
    <m/>
    <s v="7848 Kathy Vermandel"/>
    <d v="2025-10-21T00:00:00"/>
    <x v="1"/>
    <x v="18"/>
    <x v="1"/>
    <s v="ja"/>
    <m/>
    <s v="X"/>
  </r>
  <r>
    <m/>
    <n v="32387"/>
    <s v="Meersman"/>
    <s v="Herman"/>
    <s v="32387 Meersman Herman"/>
    <s v="Gent stad"/>
    <s v="Steven Storm"/>
    <s v="B24"/>
    <m/>
    <m/>
    <s v="7848 Kathy Vermandel"/>
    <d v="2025-10-21T00:00:00"/>
    <x v="7"/>
    <x v="0"/>
    <x v="0"/>
    <s v="nee"/>
    <m/>
    <s v="X"/>
  </r>
  <r>
    <m/>
    <n v="42146"/>
    <s v="Cichonski"/>
    <s v="Kamil"/>
    <s v="42146 Cichonski Kamil"/>
    <s v="Gent stad"/>
    <s v="Steven Storm"/>
    <s v="RESF2"/>
    <m/>
    <m/>
    <s v="8538 Philippe Vandewalle"/>
    <d v="2025-10-06T00:00:00"/>
    <x v="0"/>
    <x v="0"/>
    <x v="2"/>
    <m/>
    <m/>
    <s v="X"/>
  </r>
  <r>
    <m/>
    <n v="35491"/>
    <s v="Toubadie"/>
    <s v="Zakaria"/>
    <s v="35491 Toubadie Zakaria"/>
    <s v="Gent stad"/>
    <s v="Els Vanhoe"/>
    <s v="B24"/>
    <s v="schadegevallen"/>
    <s v="bus"/>
    <s v="8538 Philippe Vandewalle"/>
    <d v="2025-10-21T00:00:00"/>
    <x v="0"/>
    <x v="0"/>
    <x v="2"/>
    <m/>
    <m/>
    <s v="X"/>
  </r>
  <r>
    <m/>
    <n v="26960"/>
    <s v="Toubadie"/>
    <s v="Mossa"/>
    <s v="26960 Toubadie Mossa"/>
    <s v="Gent stad"/>
    <s v="Els Vanhoe"/>
    <s v="BD12"/>
    <s v="schadegevallen"/>
    <s v="bus"/>
    <s v="8538 Philippe Vandewalle"/>
    <d v="2025-10-21T00:00:00"/>
    <x v="0"/>
    <x v="0"/>
    <x v="0"/>
    <m/>
    <m/>
    <s v="X"/>
  </r>
  <r>
    <m/>
    <n v="37683"/>
    <s v="De Boever"/>
    <s v="Charlotte"/>
    <s v="37683 De Boever Charlotte"/>
    <s v="Gent stad"/>
    <s v="Steven Storm"/>
    <s v="RESF"/>
    <m/>
    <s v="bus"/>
    <s v="10905 Nourreddine Hamidou"/>
    <d v="2025-10-27T00:00:00"/>
    <x v="0"/>
    <x v="0"/>
    <x v="0"/>
    <m/>
    <m/>
    <s v="X"/>
  </r>
  <r>
    <m/>
    <n v="36021"/>
    <s v="Boelaert"/>
    <s v="Frederik"/>
    <s v="36021 Boelaert Frederik"/>
    <s v="Gent stad"/>
    <s v="Lucie Vande Velde"/>
    <s v="GW10"/>
    <s v="random coaching na examens"/>
    <s v="bus"/>
    <s v="8538 Philippe Vandewalle"/>
    <d v="2025-10-27T00:00:00"/>
    <x v="4"/>
    <x v="0"/>
    <x v="0"/>
    <m/>
    <m/>
    <s v="X"/>
  </r>
  <r>
    <m/>
    <n v="36543"/>
    <s v="Babaian"/>
    <s v="Sammy"/>
    <s v="36543 Babaian Sammy"/>
    <s v="Gent stad"/>
    <s v="Lucie Vande Velde"/>
    <s v="RESF"/>
    <m/>
    <s v="bus"/>
    <s v="7848 Kathy Vermandel"/>
    <d v="2025-10-27T00:00:00"/>
    <x v="1"/>
    <x v="26"/>
    <x v="3"/>
    <m/>
    <m/>
    <s v="X"/>
  </r>
  <r>
    <m/>
    <n v="38633"/>
    <s v="Stomphorst"/>
    <s v="Mattanja"/>
    <s v="38633 Stomphorst Mattanja"/>
    <s v="Gent stad"/>
    <s v="Els Dewulf"/>
    <s v="RESF"/>
    <m/>
    <s v="bus"/>
    <s v="7848 Kathy Vermandel"/>
    <d v="2025-10-27T00:00:00"/>
    <x v="6"/>
    <x v="17"/>
    <x v="2"/>
    <m/>
    <m/>
    <s v="X"/>
  </r>
  <r>
    <m/>
    <n v="41588"/>
    <s v="Naessens"/>
    <s v="Yves"/>
    <s v="41588 Naessens Yves"/>
    <s v="Gent stad"/>
    <s v="Kenneth De Rick"/>
    <s v="RESF"/>
    <m/>
    <s v="bus"/>
    <s v="7848 Kathy Vermandel"/>
    <d v="2025-10-27T00:00:00"/>
    <x v="7"/>
    <x v="27"/>
    <x v="0"/>
    <m/>
    <m/>
    <s v="X"/>
  </r>
  <r>
    <m/>
    <n v="45721"/>
    <n v="36543"/>
    <s v="Babaian"/>
    <s v="Sammy"/>
    <s v="36543 Babaian Sammy "/>
    <s v="Gent stad"/>
    <s v="Lucie Vande Velde"/>
    <s v="RESF"/>
    <s v="rijstijl"/>
    <s v="7848 Kathy Vermandel"/>
    <d v="2025-10-27T00:00:00"/>
    <x v="1"/>
    <x v="1"/>
    <x v="3"/>
    <s v="ja"/>
    <m/>
    <s v="X"/>
  </r>
  <r>
    <m/>
    <n v="25873"/>
    <s v="Kazakbiyev"/>
    <s v="Osman"/>
    <s v="25873 Kazakbiyev Osman"/>
    <s v="Gent stad"/>
    <s v="Els Vanhoe"/>
    <s v="BD12"/>
    <m/>
    <s v="bus"/>
    <s v="4707 Peter Schijvens"/>
    <d v="2025-10-29T00:00:00"/>
    <x v="7"/>
    <x v="0"/>
    <x v="0"/>
    <m/>
    <m/>
    <m/>
  </r>
  <r>
    <m/>
    <n v="37542"/>
    <s v="De Tandt"/>
    <s v="Hans"/>
    <s v="37542 De Tandt Hans"/>
    <s v="Gent stad"/>
    <s v="Bart Van Der Beken"/>
    <s v="RESF"/>
    <s v="spontane coaching"/>
    <s v="tram"/>
    <s v="6046 Joel De Maegd"/>
    <d v="2025-10-30T00:00:00"/>
    <x v="7"/>
    <x v="0"/>
    <x v="0"/>
    <m/>
    <m/>
    <m/>
  </r>
  <r>
    <m/>
    <n v="39184"/>
    <s v="Shinwari"/>
    <s v="Yasin"/>
    <s v="39184 Shinwari Yasin"/>
    <s v="Gent stad"/>
    <s v="Christoff Rotty"/>
    <s v="RESF"/>
    <s v="spontane coaching"/>
    <s v="tram"/>
    <s v="6046 Joel De Maegd"/>
    <d v="2025-10-30T00:00:00"/>
    <x v="7"/>
    <x v="0"/>
    <x v="0"/>
    <m/>
    <m/>
    <m/>
  </r>
  <r>
    <m/>
    <n v="11120"/>
    <s v="De Vrieze"/>
    <s v="Ludo"/>
    <s v="11120 De Vrieze Ludo"/>
    <e v="#N/A"/>
    <s v="Lucie Vande Velde"/>
    <s v="TV12"/>
    <s v="spontane coaching"/>
    <s v="tram"/>
    <s v="6046 Joel De Maegd"/>
    <d v="2025-10-30T00:00:00"/>
    <x v="7"/>
    <x v="0"/>
    <x v="2"/>
    <s v="nee"/>
    <m/>
    <m/>
  </r>
  <r>
    <m/>
    <n v="30901"/>
    <s v="vanden Bulcke"/>
    <s v="Johan"/>
    <s v="30901 vanden Bulcke Johan"/>
    <s v="Gent stad"/>
    <s v="Els Dewulf"/>
    <s v="G10"/>
    <s v="agressie tov fietser"/>
    <s v="bus"/>
    <s v="20608 Joeri Mestdag"/>
    <d v="2025-11-05T00:00:00"/>
    <x v="7"/>
    <x v="0"/>
    <x v="2"/>
    <s v="nee"/>
    <m/>
    <m/>
  </r>
  <r>
    <m/>
    <n v="27153"/>
    <s v="Oben"/>
    <s v="Thibaud"/>
    <s v="27153 Oben Thibaud"/>
    <s v="Gent stad"/>
    <s v="Christoff Rotty"/>
    <s v="GW09"/>
    <s v="Spontane coaching"/>
    <s v="bus"/>
    <s v="6046 Joël De Maegd"/>
    <d v="2025-11-04T00:00:00"/>
    <x v="7"/>
    <x v="28"/>
    <x v="0"/>
    <s v="nee"/>
    <m/>
    <m/>
  </r>
  <r>
    <m/>
    <n v="33982"/>
    <s v="Hoffelinck"/>
    <s v="Thomas"/>
    <s v="33982 Hoffelinck Thomas"/>
    <s v="Gent stad"/>
    <s v="Els Dewulf"/>
    <s v="TO15"/>
    <s v="Spontane coaching"/>
    <s v="tram"/>
    <s v="6046 Joël De Maegd"/>
    <d v="2025-11-04T00:00:00"/>
    <x v="4"/>
    <x v="0"/>
    <x v="3"/>
    <s v="ja"/>
    <m/>
    <m/>
  </r>
  <r>
    <m/>
    <n v="24472"/>
    <s v="Gök"/>
    <s v="Davut"/>
    <s v="24472 Gök Davut"/>
    <s v="Gent stad"/>
    <s v="Dominique De Clercq"/>
    <s v="MV12"/>
    <s v="Spontane coaching"/>
    <s v="tram"/>
    <s v="6046 Joël De Maegd"/>
    <d v="2025-11-04T00:00:00"/>
    <x v="4"/>
    <x v="0"/>
    <x v="1"/>
    <m/>
    <m/>
    <m/>
  </r>
  <r>
    <m/>
    <n v="20705"/>
    <s v="Van Den Neste"/>
    <s v="Diederik"/>
    <s v="20705 Van Den Neste Diederik"/>
    <e v="#N/A"/>
    <s v="Els Vanhoe"/>
    <s v="MV12"/>
    <s v="Spontane coaching"/>
    <s v="bus"/>
    <s v="6046 Joël De Maegd"/>
    <d v="2025-11-04T00:00:00"/>
    <x v="7"/>
    <x v="28"/>
    <x v="2"/>
    <m/>
    <m/>
    <m/>
  </r>
  <r>
    <m/>
    <n v="31891"/>
    <s v="De Wilde"/>
    <s v="Dimitry"/>
    <s v="31891 De Wilde Dimitry"/>
    <s v="Gent stad"/>
    <s v="Bart Van Der Beken"/>
    <s v="RESF2"/>
    <s v="Spontane coaching"/>
    <s v="tram"/>
    <s v="6046 Joël De Maegd"/>
    <d v="2025-11-05T00:00:00"/>
    <x v="7"/>
    <x v="28"/>
    <x v="0"/>
    <s v="nee"/>
    <m/>
    <m/>
  </r>
  <r>
    <m/>
    <n v="40278"/>
    <s v="Ates"/>
    <s v="Firat"/>
    <s v="40278 Ates Firat"/>
    <s v="Gent stad"/>
    <s v="Christoff Rotty"/>
    <s v="RESF"/>
    <s v="Spontane coaching"/>
    <s v="bus"/>
    <s v="6046 Joël De Maegd"/>
    <d v="2025-11-05T00:00:00"/>
    <x v="7"/>
    <x v="29"/>
    <x v="0"/>
    <s v="nee"/>
    <m/>
    <m/>
  </r>
  <r>
    <m/>
    <n v="42082"/>
    <s v="Ahmad"/>
    <s v="Othman"/>
    <s v="42082 Ahmad Othman"/>
    <s v="Gent stad"/>
    <s v="Dominique De Clercq"/>
    <s v="RESF"/>
    <s v="Spontane coaching"/>
    <s v="bus"/>
    <s v="6046 Joël De Maegd"/>
    <d v="2025-11-05T00:00:00"/>
    <x v="7"/>
    <x v="29"/>
    <x v="0"/>
    <s v="nee"/>
    <m/>
    <m/>
  </r>
  <r>
    <m/>
    <n v="12124"/>
    <s v="Van Vliet"/>
    <s v="Tom"/>
    <s v="12124 Van Vliet Tom"/>
    <e v="#N/A"/>
    <s v="Steven Storm"/>
    <s v="TD12"/>
    <s v="Spontane coaching"/>
    <s v="tram"/>
    <s v="6046 Joël De Maegd"/>
    <d v="2025-11-05T00:00:00"/>
    <x v="7"/>
    <x v="27"/>
    <x v="2"/>
    <s v="nee"/>
    <m/>
    <m/>
  </r>
  <r>
    <m/>
    <n v="32458"/>
    <s v="Cifteoglu"/>
    <s v="Sedat"/>
    <s v="32458 Cifteoglu Sedat"/>
    <s v="Gent stad"/>
    <s v="Els Dewulf"/>
    <s v="B09"/>
    <s v="Spontane coaching"/>
    <s v="bus"/>
    <s v="20608 Joeri Mestdag"/>
    <d v="2025-11-05T00:00:00"/>
    <x v="6"/>
    <x v="27"/>
    <x v="2"/>
    <s v="nee"/>
    <m/>
    <m/>
  </r>
  <r>
    <m/>
    <n v="38555"/>
    <s v="Almohammad"/>
    <s v="Malek"/>
    <s v="38555 Almohammad Malek"/>
    <s v="Gent stad"/>
    <s v="Els Vanhoe"/>
    <s v="B09"/>
    <s v="Spontane coaching"/>
    <s v="tram"/>
    <s v="25875 Debby Verstockt"/>
    <d v="2025-11-07T00:00:00"/>
    <x v="7"/>
    <x v="0"/>
    <x v="2"/>
    <s v="nee"/>
    <m/>
    <m/>
  </r>
  <r>
    <m/>
    <n v="6092"/>
    <s v="Boone"/>
    <s v="Pascal"/>
    <s v="6092 Boone Pascal"/>
    <e v="#N/A"/>
    <s v="Steven Storm"/>
    <s v="TD12"/>
    <s v="Spontane coaching"/>
    <s v="tram"/>
    <s v="25875 Debby Verstockt"/>
    <d v="2025-11-07T00:00:00"/>
    <x v="7"/>
    <x v="0"/>
    <x v="2"/>
    <s v="nee"/>
    <m/>
    <m/>
  </r>
  <r>
    <m/>
    <n v="35493"/>
    <s v="van Turnhout"/>
    <s v="Mariëlle"/>
    <s v="35493 van Turnhout Mariëlle"/>
    <s v="Gent stad"/>
    <s v="Lucie Vande Velde"/>
    <s v="B09"/>
    <s v="Spontane coaching"/>
    <s v="tram"/>
    <s v="25875 Debby Verstockt"/>
    <d v="2025-11-07T00:00:00"/>
    <x v="7"/>
    <x v="0"/>
    <x v="2"/>
    <s v="nee"/>
    <m/>
    <m/>
  </r>
  <r>
    <m/>
    <n v="4419"/>
    <s v="Maelbrancke"/>
    <s v="Eddy"/>
    <s v="4419 Maelbrancke Eddy"/>
    <e v="#N/A"/>
    <s v="Lucie Vande Velde"/>
    <s v="G70"/>
    <s v="schadegevallen"/>
    <s v="bus"/>
    <s v="20608 Joeri Mestdag"/>
    <d v="2025-11-05T00:00:00"/>
    <x v="6"/>
    <x v="0"/>
    <x v="0"/>
    <s v="nee"/>
    <m/>
    <m/>
  </r>
  <r>
    <m/>
    <n v="39358"/>
    <s v="Weeks Aracena"/>
    <s v="Jimmy Alexander"/>
    <s v="39358 Weeks Aracena Jimmy Alexander"/>
    <s v="Gent stad"/>
    <s v="Christoff Rotty"/>
    <s v="RESF"/>
    <s v="ongevallen"/>
    <s v="bus"/>
    <s v="20608 Joeri Mestdag"/>
    <d v="2025-11-05T00:00:00"/>
    <x v="6"/>
    <x v="0"/>
    <x v="2"/>
    <s v="nee"/>
    <m/>
    <m/>
  </r>
  <r>
    <m/>
    <n v="41685"/>
    <s v="Zjarmi"/>
    <s v="Hylgis"/>
    <s v="41685 Zjarmi Hylgis"/>
    <s v="Gent stad"/>
    <s v="Kenneth De Rick"/>
    <s v="RESF"/>
    <s v="spontane coaching"/>
    <s v="bus"/>
    <s v="8538 Philippe Vandewalle"/>
    <d v="2025-11-04T00:00:00"/>
    <x v="0"/>
    <x v="0"/>
    <x v="0"/>
    <m/>
    <m/>
    <m/>
  </r>
  <r>
    <m/>
    <n v="35493"/>
    <s v="van Turnhout"/>
    <s v="Mariëlle"/>
    <s v="35493 van Turnhout Mariëlle"/>
    <s v="Gent stad"/>
    <s v="Lucie Vande Velde"/>
    <s v="B09"/>
    <s v="spontanande coaching"/>
    <s v="bus"/>
    <s v="8538 Philippe Vandewalle"/>
    <d v="2025-11-06T00:00:00"/>
    <x v="0"/>
    <x v="0"/>
    <x v="0"/>
    <m/>
    <m/>
    <m/>
  </r>
  <r>
    <m/>
    <n v="34351"/>
    <s v="Callant"/>
    <s v="Dieter"/>
    <s v="34351 Callant Dieter"/>
    <s v="Gent stad"/>
    <s v="Els Vanhoe"/>
    <s v="B24"/>
    <s v="6 ongevallen"/>
    <s v="bus"/>
    <s v="20608 Joeri Mestdag"/>
    <d v="2025-11-14T00:00:00"/>
    <x v="6"/>
    <x v="13"/>
    <x v="1"/>
    <s v="nee"/>
    <m/>
    <m/>
  </r>
  <r>
    <m/>
    <n v="36663"/>
    <s v="Cesmeli"/>
    <s v="Achraf"/>
    <s v="36663 Cesmeli Achraf"/>
    <s v="Gent stad"/>
    <s v="Dominique De Clercq"/>
    <s v="MW12"/>
    <s v="algemene rijstijl/ houding"/>
    <s v="bus"/>
    <s v="20608 Joeri Mestdag"/>
    <d v="2025-11-14T00:00:00"/>
    <x v="6"/>
    <x v="1"/>
    <x v="2"/>
    <s v="nee"/>
    <m/>
    <m/>
  </r>
  <r>
    <m/>
    <n v="4720"/>
    <s v="De Roo"/>
    <s v="Jo"/>
    <s v="4720 De Roo Jo"/>
    <e v="#N/A"/>
    <s v="Els Vanhoe"/>
    <s v="G09"/>
    <m/>
    <s v="bus"/>
    <s v="4707 Peter Schijvens"/>
    <d v="2025-11-07T00:00:00"/>
    <x v="0"/>
    <x v="0"/>
    <x v="0"/>
    <s v="nee"/>
    <m/>
    <m/>
  </r>
  <r>
    <m/>
    <n v="37808"/>
    <s v="Gök"/>
    <s v="Mustafa"/>
    <s v="37808 Gök Mustafa"/>
    <s v="Gent stad"/>
    <s v="Els Vanhoe"/>
    <s v="MW12"/>
    <m/>
    <s v="bus"/>
    <s v="4707 Peter Schijvens"/>
    <d v="2025-11-07T00:00:00"/>
    <x v="0"/>
    <x v="0"/>
    <x v="0"/>
    <s v="nee"/>
    <m/>
    <m/>
  </r>
  <r>
    <m/>
    <n v="41948"/>
    <s v="Vervaecke"/>
    <s v="Wim"/>
    <s v="41948 Vervaecke Wim"/>
    <s v="Gent stad"/>
    <s v="Els Dewulf"/>
    <s v="RESF"/>
    <s v="schade"/>
    <s v="bus"/>
    <s v="4707 Peter Schijvens"/>
    <d v="2025-11-12T00:00:00"/>
    <x v="4"/>
    <x v="10"/>
    <x v="3"/>
    <s v="ja"/>
    <m/>
    <m/>
  </r>
  <r>
    <m/>
    <n v="42082"/>
    <s v="Ahmad"/>
    <s v="Othman"/>
    <s v="42082 Ahmad Othman"/>
    <s v="Gent stad"/>
    <s v="Dominique De Clercq"/>
    <s v="RESF"/>
    <m/>
    <s v="bus"/>
    <s v="4707 Peter Schijvens"/>
    <d v="2025-11-12T00:00:00"/>
    <x v="0"/>
    <x v="0"/>
    <x v="0"/>
    <s v="nee"/>
    <m/>
    <m/>
  </r>
  <r>
    <m/>
    <n v="41550"/>
    <s v="Timmerman"/>
    <s v="Bjorn"/>
    <s v="41550 Timmerman Bjorn"/>
    <s v="Gent stad"/>
    <s v="Christoff Rotty"/>
    <s v="BO15"/>
    <s v="spontane coaching"/>
    <s v="bus"/>
    <s v="20608 Joeri Mestdag"/>
    <d v="2025-11-18T00:00:00"/>
    <x v="1"/>
    <x v="1"/>
    <x v="1"/>
    <s v="nee"/>
    <m/>
    <m/>
  </r>
  <r>
    <m/>
    <n v="36635"/>
    <s v="Fadel"/>
    <s v="Husam"/>
    <s v="36635 Fadel Husam"/>
    <s v="Gent stad"/>
    <s v="Kenneth De Rick"/>
    <s v="RESF"/>
    <s v="spontane coaching"/>
    <s v="bus"/>
    <s v="4707 Peter Schijvens"/>
    <d v="2025-11-18T00:00:00"/>
    <x v="4"/>
    <x v="3"/>
    <x v="1"/>
    <s v="nee"/>
    <m/>
    <m/>
  </r>
  <r>
    <m/>
    <n v="31635"/>
    <s v="Vaeyens"/>
    <s v="Midas"/>
    <s v="31635 Vaeyens Midas"/>
    <s v="Gent stad"/>
    <s v="Els Vanhoe"/>
    <s v="BR15"/>
    <s v="spontane coaching"/>
    <s v="bus"/>
    <s v="4707 Peter Schijvens"/>
    <d v="2025-11-18T00:00:00"/>
    <x v="1"/>
    <x v="10"/>
    <x v="5"/>
    <s v="ja"/>
    <m/>
    <m/>
  </r>
  <r>
    <m/>
    <n v="35495"/>
    <s v="Razzaz"/>
    <s v="Mahmoud"/>
    <s v="35495 Razzaz Mahmoud"/>
    <s v="Gent stad"/>
    <s v="Kenneth De Rick"/>
    <s v="B09"/>
    <s v="meer dan 5 ongevallen afgelopen jaar - 9 ongevallen"/>
    <s v="bus"/>
    <s v="20608 Joeri Mestdag"/>
    <d v="2025-11-18T00:00:00"/>
    <x v="6"/>
    <x v="0"/>
    <x v="2"/>
    <s v="nee"/>
    <m/>
    <m/>
  </r>
  <r>
    <m/>
    <n v="36512"/>
    <s v="Van Herreweghe"/>
    <s v="Branco"/>
    <s v="36512 Van Herreweghe Branco"/>
    <s v="Gent stad"/>
    <s v="Steven Storm"/>
    <s v="G10"/>
    <s v="spontane coaching"/>
    <s v="bus"/>
    <s v="20608 Joeri Mestdag"/>
    <d v="2025-12-01T00:00:00"/>
    <x v="4"/>
    <x v="13"/>
    <x v="2"/>
    <s v="nee"/>
    <m/>
    <m/>
  </r>
  <r>
    <m/>
    <n v="39581"/>
    <s v="Vandenhaute"/>
    <s v="Linus"/>
    <s v="39581 Vandenhaute Linus"/>
    <s v="Gent stad"/>
    <s v="Els Dewulf"/>
    <s v="BR15"/>
    <s v="spontane coaching"/>
    <s v="bus"/>
    <s v="20608 Joeri Mestdag"/>
    <d v="2025-12-01T00:00:00"/>
    <x v="6"/>
    <x v="17"/>
    <x v="2"/>
    <s v="nee"/>
    <m/>
    <m/>
  </r>
  <r>
    <m/>
    <n v="28830"/>
    <s v="Isiklar"/>
    <s v="Okan"/>
    <s v="28830 Isiklar Okan"/>
    <s v="Gent stad"/>
    <s v="Christoff Rotty"/>
    <s v="G10"/>
    <s v="spontane coaching"/>
    <s v="bus"/>
    <s v="20608 Joeri Mestdag"/>
    <d v="2025-12-01T00:00:00"/>
    <x v="6"/>
    <x v="10"/>
    <x v="1"/>
    <s v="ja"/>
    <m/>
    <m/>
  </r>
  <r>
    <m/>
    <n v="26695"/>
    <s v="Lippens"/>
    <s v="Miguel"/>
    <s v="26695 Lippens Miguel"/>
    <s v="Gent stad"/>
    <s v="Christoff Rotty"/>
    <s v="SW05"/>
    <s v="spontane coaching"/>
    <s v="bus"/>
    <s v="24577 Thierry De Vlieger"/>
    <d v="2025-12-03T00:00:00"/>
    <x v="16"/>
    <x v="0"/>
    <x v="2"/>
    <s v="nee"/>
    <m/>
    <m/>
  </r>
  <r>
    <m/>
    <n v="27711"/>
    <s v="De Schenkel"/>
    <s v="David"/>
    <s v="27711 De Schenkel David"/>
    <s v="Gent stad"/>
    <s v="Christoff Rotty"/>
    <s v="TR15"/>
    <s v="slechte eco score optrekken/afremmen"/>
    <s v="Bus/Tram"/>
    <s v="6046 Joël De Maegd"/>
    <d v="2025-12-03T00:00:00"/>
    <x v="4"/>
    <x v="3"/>
    <x v="3"/>
    <s v="ja"/>
    <m/>
    <m/>
  </r>
  <r>
    <m/>
    <n v="33085"/>
    <s v="Van Hoe"/>
    <s v="Ivo"/>
    <s v="33085 Van Hoe Ivo"/>
    <s v="Gent stad"/>
    <s v="Kenneth De Rick"/>
    <s v="RESF"/>
    <s v="Spontane coaching"/>
    <s v="tram"/>
    <s v="6046 Joël De Maegd"/>
    <d v="2025-12-03T00:00:00"/>
    <x v="7"/>
    <x v="0"/>
    <x v="2"/>
    <s v="nee"/>
    <m/>
    <m/>
  </r>
  <r>
    <m/>
    <n v="30999"/>
    <s v="Biesemans"/>
    <s v="Jasper"/>
    <s v="30999 Biesemans Jasper"/>
    <s v="Gent stad"/>
    <s v="Els Vanhoe"/>
    <s v="B24"/>
    <s v="spontane coaching"/>
    <s v="bus"/>
    <s v="20608 Joeri Mestdag"/>
    <d v="2025-12-04T00:00:00"/>
    <x v="1"/>
    <x v="1"/>
    <x v="1"/>
    <m/>
    <m/>
    <m/>
  </r>
  <r>
    <m/>
    <n v="15726"/>
    <s v="Van Wezemael"/>
    <s v="Patrick"/>
    <s v="15726 Van Wezemael Patrick"/>
    <e v="#N/A"/>
    <s v="Bart Van Der Beken"/>
    <s v="GW09"/>
    <s v="spontane coaching"/>
    <s v="bus"/>
    <s v="10905 Nourreddine Hamidou"/>
    <d v="2025-12-05T00:00:00"/>
    <x v="1"/>
    <x v="1"/>
    <x v="1"/>
    <m/>
    <m/>
    <m/>
  </r>
  <r>
    <m/>
    <n v="39928"/>
    <s v="Momand"/>
    <s v="Abdullah"/>
    <s v="39928 Momand Abdullah"/>
    <s v="Gent stad"/>
    <s v="Bart Van Der Beken"/>
    <s v="RESF2"/>
    <s v="remtechniek - ecoscore - verkeersinzicht"/>
    <s v="bus"/>
    <s v="8538 Philippe Vandewalle"/>
    <d v="2025-12-01T00:00:00"/>
    <x v="0"/>
    <x v="0"/>
    <x v="0"/>
    <s v="nee"/>
    <m/>
    <m/>
  </r>
  <r>
    <m/>
    <n v="42252"/>
    <s v="Sular"/>
    <s v="Abdullah"/>
    <s v="42252 Sular Abdullah"/>
    <s v="Gent stad"/>
    <s v="Christoff Rotty"/>
    <s v="RESF2"/>
    <s v="schadegevallen"/>
    <s v="bus"/>
    <s v="20608 Joeri Mestdag"/>
    <d v="2025-12-04T00:00:00"/>
    <x v="6"/>
    <x v="10"/>
    <x v="2"/>
    <s v="nee"/>
    <m/>
    <m/>
  </r>
  <r>
    <m/>
    <n v="38633"/>
    <s v="Stomphorst"/>
    <s v="Mattanja"/>
    <s v="38633 Stomphorst Mattanja"/>
    <s v="Gent stad"/>
    <s v="Els Dewulf"/>
    <s v="RESF"/>
    <s v="schadegevallen"/>
    <s v="Bus/Tram"/>
    <s v="8538 Philippe Vandewalle"/>
    <d v="2025-12-01T00:00:00"/>
    <x v="0"/>
    <x v="0"/>
    <x v="0"/>
    <s v="nee"/>
    <m/>
    <m/>
  </r>
  <r>
    <m/>
    <n v="34325"/>
    <s v="Eid"/>
    <s v="Mathyn"/>
    <s v="34325 Eid Mathyn"/>
    <s v="Gent stad"/>
    <s v="Steven Storm"/>
    <s v="B09"/>
    <m/>
    <s v="tram"/>
    <s v="25875 Debby Verstockt"/>
    <d v="2025-12-03T00:00:00"/>
    <x v="7"/>
    <x v="0"/>
    <x v="0"/>
    <m/>
    <m/>
    <m/>
  </r>
  <r>
    <m/>
    <n v="23880"/>
    <s v="Wyffels"/>
    <s v="Jean-Pierre"/>
    <s v="23880 Wyffels Jean-Pierre"/>
    <s v="Gent stad"/>
    <s v="Dominique De Clercq"/>
    <s v="M15"/>
    <m/>
    <s v="tram"/>
    <s v="25876 Debby Verstockt"/>
    <d v="2025-12-03T00:00:00"/>
    <x v="7"/>
    <x v="0"/>
    <x v="0"/>
    <m/>
    <m/>
    <m/>
  </r>
  <r>
    <m/>
    <n v="9062"/>
    <s v="Westelinck"/>
    <s v="Davy"/>
    <s v="9062 Westelinck Davy"/>
    <e v="#N/A"/>
    <s v="Kenneth De Rick"/>
    <s v="TD12"/>
    <m/>
    <s v="tram"/>
    <s v="25877 Debby Verstockt"/>
    <d v="2025-12-03T00:00:00"/>
    <x v="17"/>
    <x v="0"/>
    <x v="0"/>
    <m/>
    <m/>
    <m/>
  </r>
  <r>
    <m/>
    <n v="41918"/>
    <s v="Babai"/>
    <s v="Saber"/>
    <s v="41918 Babai Saber"/>
    <s v="Gent stad"/>
    <s v="Christoff Rotty"/>
    <s v="RESF"/>
    <s v="spontane coaching"/>
    <s v="bus"/>
    <s v="8538 Philippe Vandewalle"/>
    <m/>
    <x v="0"/>
    <x v="0"/>
    <x v="0"/>
    <m/>
    <m/>
    <m/>
  </r>
  <r>
    <m/>
    <n v="39988"/>
    <s v="Souda"/>
    <s v="Mahmoud"/>
    <s v="39988 Souda Mahmoud"/>
    <s v="Gent stad"/>
    <s v="Christoff Rotty"/>
    <s v="RESF"/>
    <s v="spontane coaching"/>
    <s v="bus"/>
    <s v="8538 Philippe Vandewalle"/>
    <m/>
    <x v="0"/>
    <x v="0"/>
    <x v="0"/>
    <m/>
    <m/>
    <m/>
  </r>
  <r>
    <m/>
    <n v="31550"/>
    <s v="Cetin"/>
    <s v="Serdar"/>
    <s v="31550 Cetin Serdar"/>
    <s v="Gent stad"/>
    <s v="Dominique De Clercq"/>
    <s v="ML12"/>
    <m/>
    <s v="bus"/>
    <s v="10905 Nourreddine Hamidou"/>
    <d v="2025-12-16T00:00:00"/>
    <x v="0"/>
    <x v="1"/>
    <x v="1"/>
    <s v="nee"/>
    <m/>
    <m/>
  </r>
  <r>
    <m/>
    <n v="39715"/>
    <s v="El Khayat"/>
    <s v="Jamal"/>
    <s v="39715 El Khayat Jamal"/>
    <s v="Gent stad"/>
    <s v="Kenneth De Rick"/>
    <s v="RESF"/>
    <m/>
    <s v="bus"/>
    <s v="10905 Nourreddine Hamidou"/>
    <d v="2025-12-18T00:00:00"/>
    <x v="0"/>
    <x v="0"/>
    <x v="0"/>
    <m/>
    <m/>
    <m/>
  </r>
  <r>
    <m/>
    <n v="27153"/>
    <s v="Oben"/>
    <s v="Thibaud"/>
    <s v="27153 Oben Thibaud"/>
    <s v="Gent stad"/>
    <s v="Christoff Rotty"/>
    <s v="GW09"/>
    <m/>
    <s v="tram"/>
    <s v="25875 Debby Verstockt"/>
    <d v="2025-12-09T00:00:00"/>
    <x v="7"/>
    <x v="0"/>
    <x v="2"/>
    <s v="nee"/>
    <m/>
    <m/>
  </r>
  <r>
    <m/>
    <n v="27635"/>
    <s v="Petrovic"/>
    <s v="Damir"/>
    <s v="27635 Petrovic Damir"/>
    <s v="Gent stad"/>
    <s v="Kenneth De Rick"/>
    <s v="RESF"/>
    <m/>
    <s v="tram"/>
    <s v="25875 Debby Verstockt"/>
    <d v="2025-12-09T00:00:00"/>
    <x v="7"/>
    <x v="0"/>
    <x v="2"/>
    <s v="nee"/>
    <m/>
    <m/>
  </r>
  <r>
    <m/>
    <n v="15220"/>
    <s v="Dejonghe"/>
    <s v="Katleen"/>
    <s v="15220 Dejonghe Katleen"/>
    <e v="#N/A"/>
    <s v="Dominique De Clercq"/>
    <s v="TD12"/>
    <m/>
    <s v="tram"/>
    <s v="25875 Debby Verstockt"/>
    <d v="2025-12-18T00:00:00"/>
    <x v="6"/>
    <x v="10"/>
    <x v="5"/>
    <s v="ja"/>
    <m/>
    <m/>
  </r>
  <r>
    <m/>
    <n v="39267"/>
    <s v="Van Holsbeeck"/>
    <s v="Jens"/>
    <s v="39267 Van Holsbeeck Jens"/>
    <s v="Gent stad"/>
    <s v="Christoff Rotty"/>
    <s v="RESF"/>
    <m/>
    <s v="tram"/>
    <s v="10905 Nourreddine Hamidou"/>
    <d v="2025-12-19T00:00:00"/>
    <x v="7"/>
    <x v="0"/>
    <x v="2"/>
    <s v="nee"/>
    <m/>
    <m/>
  </r>
  <r>
    <m/>
    <n v="28690"/>
    <s v="Debreuckere"/>
    <s v="Renzo"/>
    <s v="28690 Debreuckere Renzo"/>
    <s v="Gent stad"/>
    <s v="Els Vanhoe"/>
    <s v="GW09"/>
    <s v="spontane coaching"/>
    <s v="bus"/>
    <s v="20608 Joeri Mestdag"/>
    <d v="2025-12-19T00:00:00"/>
    <x v="0"/>
    <x v="0"/>
    <x v="1"/>
    <m/>
    <m/>
    <m/>
  </r>
  <r>
    <m/>
    <n v="42015"/>
    <s v="Crop"/>
    <s v="Alexander"/>
    <s v="42015 Crop Alexander"/>
    <s v="Gent stad"/>
    <s v="Els Vanhoe"/>
    <s v="RESF"/>
    <s v="spontane coaching"/>
    <s v="bus"/>
    <s v="20608 Joeri Mestdag"/>
    <d v="2025-12-22T00:00:00"/>
    <x v="0"/>
    <x v="0"/>
    <x v="1"/>
    <m/>
    <m/>
    <m/>
  </r>
  <r>
    <m/>
    <n v="41821"/>
    <s v="Kasmi"/>
    <s v="Abdesamad"/>
    <s v="41821 Kasmi Abdesamad"/>
    <s v="Gent stad"/>
    <s v="Christoff Rotty"/>
    <s v="RESF"/>
    <s v="spontane coaching"/>
    <s v="bus"/>
    <s v="20608 Joeri Mestdag"/>
    <d v="2025-12-22T00:00:00"/>
    <x v="0"/>
    <x v="0"/>
    <x v="1"/>
    <m/>
    <m/>
    <m/>
  </r>
  <r>
    <m/>
    <n v="39014"/>
    <s v="Genbrugge"/>
    <s v="Kyllian"/>
    <s v="39014 Genbrugge Kyllian"/>
    <s v="Gent stad"/>
    <s v="Bart Van Der Beken"/>
    <s v="BR15"/>
    <s v="spontane coaching"/>
    <s v="bus"/>
    <s v="20608 Joeri Mestdag"/>
    <d v="2025-12-23T00:00:00"/>
    <x v="0"/>
    <x v="0"/>
    <x v="1"/>
    <m/>
    <m/>
    <m/>
  </r>
  <r>
    <m/>
    <n v="45736"/>
    <e v="#N/A"/>
    <e v="#N/A"/>
    <e v="#N/A"/>
    <s v="Gent stad"/>
    <e v="#N/A"/>
    <e v="#N/A"/>
    <s v="M15"/>
    <s v="slechte eco score optrekken/afremmen"/>
    <s v="Bus"/>
    <s v="20608 Joeri Mestdag"/>
    <x v="18"/>
    <x v="0"/>
    <x v="1"/>
    <m/>
    <m/>
    <m/>
  </r>
  <r>
    <m/>
    <n v="39901"/>
    <s v="Basha"/>
    <s v="Izmir"/>
    <s v="39901 Basha Izmir"/>
    <s v="Gent stad"/>
    <s v="Christoff Rotty"/>
    <s v="RESF"/>
    <s v="spontane coaching"/>
    <s v="bus"/>
    <s v="20608 Joeri Mestdag"/>
    <d v="2026-01-07T00:00:00"/>
    <x v="0"/>
    <x v="0"/>
    <x v="1"/>
    <m/>
    <m/>
    <m/>
  </r>
  <r>
    <m/>
    <n v="40444"/>
    <s v="Van Damme"/>
    <s v="Glenn"/>
    <s v="40444 Van Damme Glenn"/>
    <s v="Gent stad"/>
    <s v="Els Dewulf"/>
    <s v="RESF"/>
    <s v="spontane coaching"/>
    <s v="bus"/>
    <s v="16707 Wim Van Hende"/>
    <d v="2026-01-07T00:00:00"/>
    <x v="0"/>
    <x v="0"/>
    <x v="1"/>
    <m/>
    <m/>
    <m/>
  </r>
  <r>
    <m/>
    <n v="39014"/>
    <s v="Genbrugge"/>
    <s v="Kyllian"/>
    <s v="39014 Genbrugge Kyllian"/>
    <s v="Gent stad"/>
    <s v="Bart Van Der Beken"/>
    <s v="BR15"/>
    <s v="spontane coaching"/>
    <s v="bus"/>
    <s v="20608 Joeri Mestdag"/>
    <d v="2026-01-07T00:00:00"/>
    <x v="0"/>
    <x v="0"/>
    <x v="1"/>
    <m/>
    <m/>
    <m/>
  </r>
  <r>
    <m/>
    <n v="40058"/>
    <s v="Sögüt"/>
    <s v="Can"/>
    <s v="40058 Sögüt Can"/>
    <s v="Gent stad"/>
    <s v="Christoff Rotty"/>
    <s v="RESF"/>
    <s v="schade"/>
    <s v="bus"/>
    <s v="16707 Wim Van Hende"/>
    <d v="2026-01-07T00:00:00"/>
    <x v="0"/>
    <x v="0"/>
    <x v="1"/>
    <m/>
    <m/>
    <m/>
  </r>
  <r>
    <m/>
    <n v="15218"/>
    <s v="Ackermans"/>
    <s v="Christian"/>
    <s v="15218 Ackermans Christian"/>
    <e v="#N/A"/>
    <s v="Els Vanhoe"/>
    <s v="BD12"/>
    <s v="spontane coaching"/>
    <s v="bus"/>
    <s v="20608 Joeri Mestdag"/>
    <d v="2026-01-08T00:00:00"/>
    <x v="0"/>
    <x v="0"/>
    <x v="1"/>
    <m/>
    <m/>
    <m/>
  </r>
  <r>
    <m/>
    <n v="15282"/>
    <s v="Marinx"/>
    <s v="Kristoff"/>
    <s v="15282 Marinx Kristoff"/>
    <e v="#N/A"/>
    <s v="Kenneth De Rick"/>
    <s v="M15"/>
    <m/>
    <m/>
    <s v="26202 Ward Desmet"/>
    <d v="2026-01-08T00:00:00"/>
    <x v="0"/>
    <x v="0"/>
    <x v="1"/>
    <m/>
    <m/>
    <m/>
  </r>
  <r>
    <m/>
    <n v="40443"/>
    <s v="Fakash"/>
    <s v="Mahmoud"/>
    <s v="40443 Fakash Mahmoud"/>
    <s v="Gent stad"/>
    <s v="Bart Van Der Beken"/>
    <s v="RESF"/>
    <m/>
    <m/>
    <s v="26202 Ward Desmet"/>
    <d v="2026-01-08T00:00:00"/>
    <x v="0"/>
    <x v="0"/>
    <x v="1"/>
    <m/>
    <m/>
    <m/>
  </r>
  <r>
    <m/>
    <n v="33986"/>
    <s v="Göktas"/>
    <s v="Muharrem"/>
    <s v="33986 Göktas Muharrem"/>
    <s v="Gent stad"/>
    <s v="Kenneth De Rick"/>
    <s v="GW10"/>
    <s v="hercoaching"/>
    <s v="bus"/>
    <s v="20608 Joeri Mestdag"/>
    <d v="2026-01-08T00:00:00"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  <r>
    <m/>
    <m/>
    <e v="#N/A"/>
    <e v="#N/A"/>
    <e v="#N/A"/>
    <e v="#N/A"/>
    <e v="#N/A"/>
    <e v="#N/A"/>
    <m/>
    <m/>
    <m/>
    <m/>
    <x v="0"/>
    <x v="0"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F67A0-69F1-4970-92EB-A026760E10D3}" name="Draaitabel1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A2:J83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24">
        <item sd="0" x="2"/>
        <item sd="0" m="1" x="22"/>
        <item sd="0" x="7"/>
        <item sd="0" x="11"/>
        <item sd="0" x="4"/>
        <item sd="0" x="13"/>
        <item sd="0" x="14"/>
        <item sd="0" x="3"/>
        <item sd="0" x="9"/>
        <item sd="0" x="15"/>
        <item sd="0" x="10"/>
        <item sd="0" x="8"/>
        <item sd="0" m="1" x="19"/>
        <item sd="0" m="1" x="20"/>
        <item sd="0" m="1" x="21"/>
        <item sd="0" x="5"/>
        <item sd="0" x="12"/>
        <item sd="0" x="6"/>
        <item sd="0" x="1"/>
        <item sd="0" x="0"/>
        <item sd="0" x="16"/>
        <item x="17"/>
        <item x="18"/>
        <item t="default"/>
      </items>
    </pivotField>
    <pivotField axis="axisRow" showAll="0">
      <items count="31">
        <item x="15"/>
        <item x="17"/>
        <item x="4"/>
        <item x="18"/>
        <item x="29"/>
        <item x="22"/>
        <item x="14"/>
        <item x="10"/>
        <item x="27"/>
        <item x="2"/>
        <item x="8"/>
        <item x="3"/>
        <item x="12"/>
        <item x="20"/>
        <item x="1"/>
        <item x="19"/>
        <item x="26"/>
        <item x="7"/>
        <item x="11"/>
        <item x="5"/>
        <item x="6"/>
        <item x="13"/>
        <item x="21"/>
        <item x="23"/>
        <item x="9"/>
        <item x="25"/>
        <item x="28"/>
        <item x="24"/>
        <item x="16"/>
        <item x="0"/>
        <item t="default"/>
      </items>
    </pivotField>
    <pivotField axis="axisCol" showAll="0">
      <items count="9">
        <item x="2"/>
        <item f="1" x="6"/>
        <item f="1" x="7"/>
        <item x="3"/>
        <item x="4"/>
        <item x="1"/>
        <item x="0"/>
        <item x="5"/>
        <item t="default"/>
      </items>
    </pivotField>
    <pivotField showAll="0"/>
    <pivotField showAll="0"/>
    <pivotField showAll="0"/>
  </pivotFields>
  <rowFields count="2">
    <field x="12"/>
    <field x="13"/>
  </rowFields>
  <rowItems count="8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5"/>
    </i>
    <i>
      <x v="16"/>
    </i>
    <i>
      <x v="17"/>
    </i>
    <i>
      <x v="18"/>
    </i>
    <i>
      <x v="19"/>
    </i>
    <i>
      <x v="20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1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antal van Datum coaching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435D86-3872-4CC1-9A54-581B1CD3E3B5}" name="Tabel2" displayName="Tabel2" ref="A1:T65" totalsRowShown="0">
  <autoFilter ref="A1:T65" xr:uid="{9C435D86-3872-4CC1-9A54-581B1CD3E3B5}">
    <filterColumn colId="11">
      <filters blank="1">
        <filter val="Bus"/>
        <filter val="Bus/Tram"/>
      </filters>
    </filterColumn>
  </autoFilter>
  <sortState xmlns:xlrd2="http://schemas.microsoft.com/office/spreadsheetml/2017/richdata2" ref="A2:T57">
    <sortCondition ref="N1:N57"/>
  </sortState>
  <tableColumns count="20">
    <tableColumn id="1" xr3:uid="{AAE08F40-B1C2-4CAC-AD82-9FA686EE2A0D}" name="Prioriteit" dataDxfId="108"/>
    <tableColumn id="2" xr3:uid="{B49F914A-1FEE-4A75-9CD6-E94916B19C46}" name="Coaching rijschool" dataDxfId="107"/>
    <tableColumn id="3" xr3:uid="{7B74AF4D-F69C-4007-A6A0-421FFFF384B0}" name="aanvraagsdatum" dataDxfId="106"/>
    <tableColumn id="4" xr3:uid="{8AC34D33-B5AC-45FC-9CA7-A867F963543A}" name="P-nr" dataDxfId="105"/>
    <tableColumn id="5" xr3:uid="{F4EF036B-C2F8-4026-A2A9-AD2B883FBCA0}" name="Naam" dataDxfId="104"/>
    <tableColumn id="6" xr3:uid="{35DA4508-064A-468B-B6AB-413C038B8A1C}" name="Voornaam" dataDxfId="103"/>
    <tableColumn id="7" xr3:uid="{1DF84F60-8CE2-4D75-A697-8993441A24AE}" name="Volledige naam" dataDxfId="102">
      <calculatedColumnFormula>VLOOKUP(Tabel3[[#This Row],[P-nr]],'data Chauffeur'!A:F,6)</calculatedColumnFormula>
    </tableColumn>
    <tableColumn id="8" xr3:uid="{84889464-9677-4AF3-89A4-4C592AF79A14}" name="OT" dataDxfId="101"/>
    <tableColumn id="9" xr3:uid="{55439308-91C5-4F17-A0C7-B1F6312B9742}" name="Teamcoach" dataDxfId="100"/>
    <tableColumn id="10" xr3:uid="{2D4A733F-4F63-4CA5-BD3C-7B49FC1F3FFF}" name="Rooster" dataDxfId="99"/>
    <tableColumn id="11" xr3:uid="{61C0CBEA-E79D-414F-8B84-D7AED8AC3B32}" name="Opmerkingen" dataDxfId="98"/>
    <tableColumn id="12" xr3:uid="{456ABA1C-1C62-4168-AD5C-BFD9C05C8542}" name="Bus/Tram" dataDxfId="97"/>
    <tableColumn id="13" xr3:uid="{6F54767A-79F5-432B-A3F3-4BFBC3DB3D31}" name="Instructeur"/>
    <tableColumn id="14" xr3:uid="{E418C660-209B-45A5-9DC9-85F38A1B65D0}" name="Datum Coaching"/>
    <tableColumn id="15" xr3:uid="{E183C6F1-ED5C-4A44-8DB2-4EA331222C82}" name="Werkpunten 1"/>
    <tableColumn id="16" xr3:uid="{861C14DB-8F2A-4BEE-B591-25738AFC640A}" name="Werkpunten 2"/>
    <tableColumn id="17" xr3:uid="{7D1554FC-16A3-4380-9FF3-CE6147ACBA5D}" name="Beoordeling rijschool"/>
    <tableColumn id="18" xr3:uid="{0AD58332-2418-48E8-8897-114DD330EF9B}" name="hercoaching noodzakelijk"/>
    <tableColumn id="19" xr3:uid="{172DE129-361E-465A-A13E-7B65E741875A}" name="ingevoerd in SS"/>
    <tableColumn id="20" xr3:uid="{16A035EA-9129-4717-BB7F-A48AFDF8ECFB}" name="Kolom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5C665E-1BC9-45FA-904E-AC7D2815CE69}" name="Tabel3" displayName="Tabel3" ref="A1:R288" totalsRowShown="0" headerRowDxfId="96" tableBorderDxfId="95">
  <autoFilter ref="A1:R288" xr:uid="{E35C665E-1BC9-45FA-904E-AC7D2815CE69}"/>
  <tableColumns count="18">
    <tableColumn id="1" xr3:uid="{61A5FFFD-3AE6-4582-95C3-5FDD7CB637B3}" name="Prioriteit" dataDxfId="94"/>
    <tableColumn id="3" xr3:uid="{52A951B9-B59E-44E6-8A45-E1DDDAE59F2B}" name="P-nr" dataDxfId="93"/>
    <tableColumn id="4" xr3:uid="{BD9BF6D0-9641-488E-9B97-616DB79C04E7}" name="Naam" dataDxfId="92">
      <calculatedColumnFormula>VLOOKUP(Tabel3[[#This Row],[P-nr]],'data Chauffeur'!A:F,2,FALSE)</calculatedColumnFormula>
    </tableColumn>
    <tableColumn id="5" xr3:uid="{73FB442E-689C-47F2-A972-8C747CA4D1FE}" name="Voornaam" dataDxfId="91">
      <calculatedColumnFormula>VLOOKUP(Tabel3[[#This Row],[P-nr]],'data Chauffeur'!A:F,3,FALSE)</calculatedColumnFormula>
    </tableColumn>
    <tableColumn id="19" xr3:uid="{0E7C4C2C-8FAF-4AF8-B74A-A795E82D70BF}" name="volledige naam" dataDxfId="90">
      <calculatedColumnFormula>CONCATENATE(Tabel3[[#This Row],[P-nr]]," ",Tabel3[[#This Row],[Naam]]," ",Tabel3[[#This Row],[Voornaam]])</calculatedColumnFormula>
    </tableColumn>
    <tableColumn id="18" xr3:uid="{11EA08A7-69C6-4C54-9239-387A307422A8}" name="OT" dataDxfId="89">
      <calculatedColumnFormula>VLOOKUP(Tabel3[[#This Row],[P-nr]],'data Chauffeur'!A:F,6)</calculatedColumnFormula>
    </tableColumn>
    <tableColumn id="7" xr3:uid="{2B5863C0-7E79-493F-9444-D5813C7509BD}" name="Teamcoach" dataDxfId="88">
      <calculatedColumnFormula>VLOOKUP(Tabel3[[#This Row],[P-nr]],'data Chauffeur'!A:F,4,FALSE)</calculatedColumnFormula>
    </tableColumn>
    <tableColumn id="8" xr3:uid="{54A3DD34-1D32-4D88-8A7C-2272BE2B49C5}" name="Dienstrol">
      <calculatedColumnFormula>VLOOKUP(Tabel3[[#This Row],[P-nr]],'data Chauffeur'!A:F,5,FALSE)</calculatedColumnFormula>
    </tableColumn>
    <tableColumn id="9" xr3:uid="{C09042EA-126B-4C0E-907A-1DC1A69C1272}" name="Opmerking" dataDxfId="87"/>
    <tableColumn id="10" xr3:uid="{FD8BD468-4F49-4A26-BDC9-C5D447E8B706}" name="Bus/Tram" dataDxfId="86"/>
    <tableColumn id="11" xr3:uid="{765E0419-27CF-4DAE-B015-F02637B854A5}" name="Instructeur" dataDxfId="85"/>
    <tableColumn id="12" xr3:uid="{7EA98E72-E042-4EC4-B413-6AE982845CBC}" name="Datum coaching" dataDxfId="84"/>
    <tableColumn id="13" xr3:uid="{E8F2DBEE-8058-4D04-9096-2337D0AACDE1}" name="Werkpunten 1" dataDxfId="83"/>
    <tableColumn id="14" xr3:uid="{D4063312-511B-466B-B738-9BEE59525B2A}" name="Werkpunten 2"/>
    <tableColumn id="15" xr3:uid="{FB7A4B3C-9C87-4500-9A39-001165554363}" name="Beoordeling coaching"/>
    <tableColumn id="16" xr3:uid="{B9AC4CBB-716B-4078-9D3F-21EB8D1CAB23}" name="Hercoaching noodzakelijk"/>
    <tableColumn id="2" xr3:uid="{42F0A8F8-E08D-48A8-9704-D19836710342}" name="Gesprek"/>
    <tableColumn id="17" xr3:uid="{716B721B-3C8E-430D-9B6A-32CAF8E02DED}" name="Ingevoerd in SS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9B2ED-DA4E-49BE-95FC-145C55EFE18A}" name="Tabel1" displayName="Tabel1" ref="A1:B9" totalsRowShown="0" dataDxfId="82" tableBorderDxfId="81">
  <autoFilter ref="A1:B9" xr:uid="{5069B2ED-DA4E-49BE-95FC-145C55EFE18A}"/>
  <tableColumns count="2">
    <tableColumn id="1" xr3:uid="{E1CCD3C9-4705-4AD5-BC57-858AF9DED01A}" name="Ingepland" dataDxfId="80">
      <calculatedColumnFormula>COUNTIF(Coaching!#REF!,B2)</calculatedColumnFormula>
    </tableColumn>
    <tableColumn id="2" xr3:uid="{7123B93F-DC90-4741-9407-C3AA2A7BE734}" name="Teamcoach" dataDxfId="7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80BB5F-19D9-4692-9B27-717F79CD4474}" name="Tabel4" displayName="Tabel4" ref="D1:E9" totalsRowShown="0">
  <autoFilter ref="D1:E9" xr:uid="{A080BB5F-19D9-4692-9B27-717F79CD4474}"/>
  <tableColumns count="2">
    <tableColumn id="1" xr3:uid="{0BC97E6F-126F-4578-B363-D19236BE88AA}" name="voltooid" dataDxfId="78">
      <calculatedColumnFormula>COUNTIF('Voltooide coachings'!G:G,Tabel1[[#This Row],[Teamcoach]])</calculatedColumnFormula>
    </tableColumn>
    <tableColumn id="2" xr3:uid="{E5C53CA5-6DE4-400B-937E-6E61F5467E68}" name="teamcoach" dataDxfId="77">
      <calculatedColumnFormula>Tabel1[[#This Row],[Teamcoach]]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B95E-2952-4B45-98D4-2E7AF749FAF9}">
  <sheetPr>
    <pageSetUpPr fitToPage="1"/>
  </sheetPr>
  <dimension ref="A1:T65"/>
  <sheetViews>
    <sheetView topLeftCell="A42" zoomScale="90" zoomScaleNormal="90" workbookViewId="0">
      <selection activeCell="A67" sqref="A67:XFD75"/>
    </sheetView>
  </sheetViews>
  <sheetFormatPr defaultRowHeight="14.4" x14ac:dyDescent="0.3"/>
  <cols>
    <col min="1" max="1" width="17.5546875" style="2" customWidth="1"/>
    <col min="2" max="2" width="20.44140625" style="2" bestFit="1" customWidth="1"/>
    <col min="3" max="3" width="18.44140625" style="11" customWidth="1"/>
    <col min="4" max="4" width="8.109375" bestFit="1" customWidth="1"/>
    <col min="5" max="5" width="18.5546875" bestFit="1" customWidth="1"/>
    <col min="6" max="6" width="19.109375" bestFit="1" customWidth="1"/>
    <col min="7" max="7" width="36.44140625" customWidth="1"/>
    <col min="8" max="8" width="8.88671875" customWidth="1"/>
    <col min="9" max="9" width="19.5546875" customWidth="1"/>
    <col min="10" max="10" width="10.44140625" customWidth="1"/>
    <col min="11" max="11" width="32" style="8" customWidth="1"/>
    <col min="12" max="12" width="11.5546875" style="2" bestFit="1" customWidth="1"/>
    <col min="13" max="13" width="18.88671875" bestFit="1" customWidth="1"/>
    <col min="14" max="14" width="18" customWidth="1"/>
    <col min="15" max="15" width="18" bestFit="1" customWidth="1"/>
    <col min="16" max="16" width="15.5546875" customWidth="1"/>
    <col min="17" max="17" width="22.44140625" customWidth="1"/>
    <col min="18" max="18" width="25.88671875" customWidth="1"/>
    <col min="19" max="19" width="17" customWidth="1"/>
  </cols>
  <sheetData>
    <row r="1" spans="1:20" x14ac:dyDescent="0.3">
      <c r="A1" s="15" t="s">
        <v>0</v>
      </c>
      <c r="B1" s="15" t="s">
        <v>1</v>
      </c>
      <c r="C1" s="14" t="s">
        <v>2</v>
      </c>
      <c r="D1" t="s">
        <v>3</v>
      </c>
      <c r="E1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7" t="s">
        <v>10</v>
      </c>
      <c r="L1" s="15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t="s">
        <v>19</v>
      </c>
    </row>
    <row r="2" spans="1:20" ht="28.8" x14ac:dyDescent="0.3">
      <c r="C2" s="11">
        <v>45334</v>
      </c>
      <c r="D2">
        <v>37936</v>
      </c>
      <c r="E2" t="str">
        <f>VLOOKUP(Tabel2[[#This Row],[P-nr]],'data Chauffeur'!A:F,2,FALSE)</f>
        <v>Detaeye</v>
      </c>
      <c r="F2" t="str">
        <f>VLOOKUP(Tabel2[[#This Row],[P-nr]],'data Chauffeur'!A:F,3,FALSE)</f>
        <v>Alexander</v>
      </c>
      <c r="G2" t="e">
        <f>VLOOKUP(Tabel3[[#This Row],[P-nr]],'data Chauffeur'!A:F,6)</f>
        <v>#N/A</v>
      </c>
      <c r="H2" t="str">
        <f>VLOOKUP(Tabel2[[#This Row],[P-nr]],'data Chauffeur'!A:F,6,FALSE)</f>
        <v>Gent stad</v>
      </c>
      <c r="I2" t="str">
        <f>VLOOKUP(Tabel2[[#This Row],[P-nr]],'data Chauffeur'!A:F,4,FALSE)</f>
        <v>Steven Storm</v>
      </c>
      <c r="J2" t="str">
        <f>VLOOKUP(Tabel2[[#This Row],[P-nr]],'data Chauffeur'!A:F,5,FALSE)</f>
        <v>BN24</v>
      </c>
      <c r="K2" s="8" t="s">
        <v>20</v>
      </c>
    </row>
    <row r="3" spans="1:20" x14ac:dyDescent="0.3">
      <c r="C3" s="11">
        <v>45434</v>
      </c>
      <c r="D3">
        <v>36625</v>
      </c>
      <c r="E3" t="str">
        <f>VLOOKUP(Tabel2[[#This Row],[P-nr]],'data Chauffeur'!A:F,2,FALSE)</f>
        <v>Carion</v>
      </c>
      <c r="F3" t="str">
        <f>VLOOKUP(Tabel2[[#This Row],[P-nr]],'data Chauffeur'!A:F,3,FALSE)</f>
        <v>Rojet</v>
      </c>
      <c r="G3" t="str">
        <f>VLOOKUP(Tabel3[[#This Row],[P-nr]],'data Chauffeur'!A:F,6)</f>
        <v>Gent stad</v>
      </c>
      <c r="H3" t="str">
        <f>VLOOKUP(Tabel2[[#This Row],[P-nr]],'data Chauffeur'!A:F,6,FALSE)</f>
        <v>Gent stad</v>
      </c>
      <c r="I3" t="str">
        <f>VLOOKUP(Tabel2[[#This Row],[P-nr]],'data Chauffeur'!A:F,4,FALSE)</f>
        <v>Kenneth De Rick</v>
      </c>
      <c r="J3" t="str">
        <f>VLOOKUP(Tabel2[[#This Row],[P-nr]],'data Chauffeur'!A:F,5,FALSE)</f>
        <v>BR15</v>
      </c>
      <c r="K3" s="8" t="s">
        <v>21</v>
      </c>
    </row>
    <row r="4" spans="1:20" x14ac:dyDescent="0.3">
      <c r="C4" s="11">
        <v>45506</v>
      </c>
      <c r="D4">
        <v>33757</v>
      </c>
      <c r="E4" t="str">
        <f>VLOOKUP(Tabel2[[#This Row],[P-nr]],'data Chauffeur'!A:F,2,FALSE)</f>
        <v>Vergucht</v>
      </c>
      <c r="F4" t="str">
        <f>VLOOKUP(Tabel2[[#This Row],[P-nr]],'data Chauffeur'!A:F,3,FALSE)</f>
        <v>Hugo</v>
      </c>
      <c r="G4" t="str">
        <f>VLOOKUP(Tabel3[[#This Row],[P-nr]],'data Chauffeur'!A:F,6)</f>
        <v>Gent stad</v>
      </c>
      <c r="H4" t="str">
        <f>VLOOKUP(Tabel2[[#This Row],[P-nr]],'data Chauffeur'!A:F,6,FALSE)</f>
        <v>Gent stad</v>
      </c>
      <c r="I4" t="str">
        <f>VLOOKUP(Tabel2[[#This Row],[P-nr]],'data Chauffeur'!A:F,4,FALSE)</f>
        <v>Steven Storm</v>
      </c>
      <c r="J4" t="str">
        <f>VLOOKUP(Tabel2[[#This Row],[P-nr]],'data Chauffeur'!A:F,5,FALSE)</f>
        <v>BN24</v>
      </c>
      <c r="K4" s="8" t="s">
        <v>22</v>
      </c>
    </row>
    <row r="5" spans="1:20" x14ac:dyDescent="0.3">
      <c r="A5" s="2" t="s">
        <v>23</v>
      </c>
      <c r="B5" s="2" t="s">
        <v>23</v>
      </c>
      <c r="C5" s="11">
        <v>45524</v>
      </c>
      <c r="D5">
        <v>36228</v>
      </c>
      <c r="E5" t="str">
        <f>VLOOKUP(Tabel2[[#This Row],[P-nr]],'data Chauffeur'!A:F,2,FALSE)</f>
        <v>Kilinc</v>
      </c>
      <c r="F5" t="str">
        <f>VLOOKUP(Tabel2[[#This Row],[P-nr]],'data Chauffeur'!A:F,3,FALSE)</f>
        <v>Atilay</v>
      </c>
      <c r="G5" t="str">
        <f>VLOOKUP(Tabel3[[#This Row],[P-nr]],'data Chauffeur'!A:F,6)</f>
        <v>Gent stad</v>
      </c>
      <c r="H5" t="str">
        <f>VLOOKUP(Tabel2[[#This Row],[P-nr]],'data Chauffeur'!A:F,6,FALSE)</f>
        <v>Gent stad</v>
      </c>
      <c r="I5" t="str">
        <f>VLOOKUP(Tabel2[[#This Row],[P-nr]],'data Chauffeur'!A:F,4,FALSE)</f>
        <v>Els Vanhoe</v>
      </c>
      <c r="J5" t="str">
        <f>VLOOKUP(Tabel2[[#This Row],[P-nr]],'data Chauffeur'!A:F,5,FALSE)</f>
        <v>RESF</v>
      </c>
      <c r="K5" s="8" t="s">
        <v>24</v>
      </c>
      <c r="L5" s="2" t="s">
        <v>25</v>
      </c>
    </row>
    <row r="6" spans="1:20" x14ac:dyDescent="0.3">
      <c r="C6" s="11">
        <v>45569</v>
      </c>
      <c r="D6">
        <v>27607</v>
      </c>
      <c r="E6" t="str">
        <f>VLOOKUP(Tabel2[[#This Row],[P-nr]],'data Chauffeur'!A:F,2,FALSE)</f>
        <v>Frans</v>
      </c>
      <c r="F6" t="str">
        <f>VLOOKUP(Tabel2[[#This Row],[P-nr]],'data Chauffeur'!A:F,3,FALSE)</f>
        <v>Gabriella</v>
      </c>
      <c r="G6" t="str">
        <f>VLOOKUP(Tabel3[[#This Row],[P-nr]],'data Chauffeur'!A:F,6)</f>
        <v>Gent stad</v>
      </c>
      <c r="H6" t="str">
        <f>VLOOKUP(Tabel2[[#This Row],[P-nr]],'data Chauffeur'!A:F,6,FALSE)</f>
        <v>Gent stad</v>
      </c>
      <c r="I6" t="str">
        <f>VLOOKUP(Tabel2[[#This Row],[P-nr]],'data Chauffeur'!A:F,4,FALSE)</f>
        <v>Kenneth De Rick</v>
      </c>
      <c r="J6" t="str">
        <f>VLOOKUP(Tabel2[[#This Row],[P-nr]],'data Chauffeur'!A:F,5,FALSE)</f>
        <v>TN24</v>
      </c>
    </row>
    <row r="7" spans="1:20" x14ac:dyDescent="0.3">
      <c r="C7" s="11">
        <v>45593</v>
      </c>
      <c r="D7">
        <v>36428</v>
      </c>
      <c r="E7" t="str">
        <f>VLOOKUP(Tabel2[[#This Row],[P-nr]],'data Chauffeur'!A:F,2,FALSE)</f>
        <v>Abdi Shaiye</v>
      </c>
      <c r="F7" t="str">
        <f>VLOOKUP(Tabel2[[#This Row],[P-nr]],'data Chauffeur'!A:F,3,FALSE)</f>
        <v>Rashid</v>
      </c>
      <c r="G7" t="str">
        <f>VLOOKUP(Tabel3[[#This Row],[P-nr]],'data Chauffeur'!A:F,6)</f>
        <v>Gent stad</v>
      </c>
      <c r="H7" t="str">
        <f>VLOOKUP(Tabel2[[#This Row],[P-nr]],'data Chauffeur'!A:F,6,FALSE)</f>
        <v>Gent stad</v>
      </c>
      <c r="I7" t="str">
        <f>VLOOKUP(Tabel2[[#This Row],[P-nr]],'data Chauffeur'!A:F,4,FALSE)</f>
        <v>Lucie Vande Velde</v>
      </c>
      <c r="J7" t="str">
        <f>VLOOKUP(Tabel2[[#This Row],[P-nr]],'data Chauffeur'!A:F,5,FALSE)</f>
        <v>MN24</v>
      </c>
    </row>
    <row r="8" spans="1:20" x14ac:dyDescent="0.3">
      <c r="C8" s="11">
        <v>45700</v>
      </c>
      <c r="D8">
        <v>10324</v>
      </c>
      <c r="E8" t="str">
        <f>VLOOKUP(Tabel2[[#This Row],[P-nr]],'data Chauffeur'!A:F,2,FALSE)</f>
        <v>Eggermont</v>
      </c>
      <c r="F8" t="str">
        <f>VLOOKUP(Tabel2[[#This Row],[P-nr]],'data Chauffeur'!A:F,3,FALSE)</f>
        <v>Wim</v>
      </c>
      <c r="G8" t="str">
        <f>VLOOKUP(Tabel3[[#This Row],[P-nr]],'data Chauffeur'!A:F,6)</f>
        <v>Gent stad</v>
      </c>
      <c r="H8" t="str">
        <f>VLOOKUP(Tabel2[[#This Row],[P-nr]],'data Chauffeur'!A:F,6,FALSE)</f>
        <v>Gent stad</v>
      </c>
      <c r="I8" t="str">
        <f>VLOOKUP(Tabel2[[#This Row],[P-nr]],'data Chauffeur'!A:F,4,FALSE)</f>
        <v>Bart Van Der Beken</v>
      </c>
      <c r="J8" t="str">
        <f>VLOOKUP(Tabel2[[#This Row],[P-nr]],'data Chauffeur'!A:F,5,FALSE)</f>
        <v>TL12</v>
      </c>
      <c r="K8" s="8" t="s">
        <v>22</v>
      </c>
    </row>
    <row r="9" spans="1:20" x14ac:dyDescent="0.3">
      <c r="C9" s="11">
        <v>45714</v>
      </c>
      <c r="D9">
        <v>37794</v>
      </c>
      <c r="E9" t="str">
        <f>VLOOKUP(Tabel2[[#This Row],[P-nr]],'data Chauffeur'!A:F,2,FALSE)</f>
        <v>Demirkaya</v>
      </c>
      <c r="F9" t="str">
        <f>VLOOKUP(Tabel2[[#This Row],[P-nr]],'data Chauffeur'!A:F,3,FALSE)</f>
        <v>Kâzim</v>
      </c>
      <c r="G9" t="e">
        <f>VLOOKUP(Tabel3[[#This Row],[P-nr]],'data Chauffeur'!A:F,6)</f>
        <v>#N/A</v>
      </c>
      <c r="H9" t="str">
        <f>VLOOKUP(Tabel2[[#This Row],[P-nr]],'data Chauffeur'!A:F,6,FALSE)</f>
        <v>Gent stad</v>
      </c>
      <c r="I9" t="str">
        <f>VLOOKUP(Tabel2[[#This Row],[P-nr]],'data Chauffeur'!A:F,4,FALSE)</f>
        <v>Steven Storm</v>
      </c>
      <c r="J9" t="str">
        <f>VLOOKUP(Tabel2[[#This Row],[P-nr]],'data Chauffeur'!A:F,5,FALSE)</f>
        <v>RESF</v>
      </c>
      <c r="K9" s="16" t="s">
        <v>26</v>
      </c>
    </row>
    <row r="10" spans="1:20" x14ac:dyDescent="0.3">
      <c r="C10" s="11">
        <v>45714</v>
      </c>
      <c r="D10">
        <v>37662</v>
      </c>
      <c r="E10" t="str">
        <f>VLOOKUP(Tabel2[[#This Row],[P-nr]],'data Chauffeur'!A:F,2,FALSE)</f>
        <v>Van den Meerssche</v>
      </c>
      <c r="F10" t="str">
        <f>VLOOKUP(Tabel2[[#This Row],[P-nr]],'data Chauffeur'!A:F,3,FALSE)</f>
        <v>Steven</v>
      </c>
      <c r="G10" t="str">
        <f>VLOOKUP(Tabel3[[#This Row],[P-nr]],'data Chauffeur'!A:F,6)</f>
        <v>Gent stad</v>
      </c>
      <c r="H10" t="str">
        <f>VLOOKUP(Tabel2[[#This Row],[P-nr]],'data Chauffeur'!A:F,6,FALSE)</f>
        <v>Gent stad</v>
      </c>
      <c r="I10" t="str">
        <f>VLOOKUP(Tabel2[[#This Row],[P-nr]],'data Chauffeur'!A:F,4,FALSE)</f>
        <v>Bart Van Der Beken</v>
      </c>
      <c r="J10" t="str">
        <f>VLOOKUP(Tabel2[[#This Row],[P-nr]],'data Chauffeur'!A:F,5,FALSE)</f>
        <v>BN24</v>
      </c>
      <c r="K10" s="8" t="s">
        <v>27</v>
      </c>
    </row>
    <row r="11" spans="1:20" x14ac:dyDescent="0.3">
      <c r="C11" s="11">
        <v>45714</v>
      </c>
      <c r="D11">
        <v>37313</v>
      </c>
      <c r="E11" t="str">
        <f>VLOOKUP(Tabel2[[#This Row],[P-nr]],'data Chauffeur'!A:F,2,FALSE)</f>
        <v>Dedeci</v>
      </c>
      <c r="F11" t="str">
        <f>VLOOKUP(Tabel2[[#This Row],[P-nr]],'data Chauffeur'!A:F,3,FALSE)</f>
        <v>Mecit</v>
      </c>
      <c r="G11" t="str">
        <f>VLOOKUP(Tabel3[[#This Row],[P-nr]],'data Chauffeur'!A:F,6)</f>
        <v>Gent stad</v>
      </c>
      <c r="H11" t="str">
        <f>VLOOKUP(Tabel2[[#This Row],[P-nr]],'data Chauffeur'!A:F,6,FALSE)</f>
        <v>Gent stad</v>
      </c>
      <c r="I11" t="str">
        <f>VLOOKUP(Tabel2[[#This Row],[P-nr]],'data Chauffeur'!A:F,4,FALSE)</f>
        <v>Bart Van Der Beken</v>
      </c>
      <c r="J11" t="str">
        <f>VLOOKUP(Tabel2[[#This Row],[P-nr]],'data Chauffeur'!A:F,5,FALSE)</f>
        <v>B09</v>
      </c>
      <c r="K11" s="8" t="s">
        <v>28</v>
      </c>
    </row>
    <row r="12" spans="1:20" x14ac:dyDescent="0.3">
      <c r="C12" s="11">
        <v>45714</v>
      </c>
      <c r="D12">
        <v>34328</v>
      </c>
      <c r="E12" t="str">
        <f>VLOOKUP(Tabel2[[#This Row],[P-nr]],'data Chauffeur'!A:F,2,FALSE)</f>
        <v>Kerremans</v>
      </c>
      <c r="F12" t="str">
        <f>VLOOKUP(Tabel2[[#This Row],[P-nr]],'data Chauffeur'!A:F,3,FALSE)</f>
        <v>Jürgen</v>
      </c>
      <c r="G12" t="str">
        <f>VLOOKUP(Tabel3[[#This Row],[P-nr]],'data Chauffeur'!A:F,6)</f>
        <v>Gent stad</v>
      </c>
      <c r="H12" t="str">
        <f>VLOOKUP(Tabel2[[#This Row],[P-nr]],'data Chauffeur'!A:F,6,FALSE)</f>
        <v>Gent stad</v>
      </c>
      <c r="I12" t="str">
        <f>VLOOKUP(Tabel2[[#This Row],[P-nr]],'data Chauffeur'!A:F,4,FALSE)</f>
        <v>Kenneth De Rick</v>
      </c>
      <c r="J12" t="str">
        <f>VLOOKUP(Tabel2[[#This Row],[P-nr]],'data Chauffeur'!A:F,5,FALSE)</f>
        <v>TN24</v>
      </c>
      <c r="K12" s="8" t="s">
        <v>22</v>
      </c>
    </row>
    <row r="13" spans="1:20" ht="43.2" x14ac:dyDescent="0.3">
      <c r="C13" s="11">
        <v>45715</v>
      </c>
      <c r="D13">
        <v>5718</v>
      </c>
      <c r="E13" t="str">
        <f>VLOOKUP(Tabel2[[#This Row],[P-nr]],'data Chauffeur'!A:F,2,FALSE)</f>
        <v>Dejonckheere</v>
      </c>
      <c r="F13" t="str">
        <f>VLOOKUP(Tabel2[[#This Row],[P-nr]],'data Chauffeur'!A:F,3,FALSE)</f>
        <v>Inge</v>
      </c>
      <c r="G13" t="str">
        <f>VLOOKUP(Tabel3[[#This Row],[P-nr]],'data Chauffeur'!A:F,6)</f>
        <v>Gent stad</v>
      </c>
      <c r="H13" t="str">
        <f>VLOOKUP(Tabel2[[#This Row],[P-nr]],'data Chauffeur'!A:F,6,FALSE)</f>
        <v>Gent stad</v>
      </c>
      <c r="I13" t="str">
        <f>VLOOKUP(Tabel2[[#This Row],[P-nr]],'data Chauffeur'!A:F,4,FALSE)</f>
        <v>Kenneth De Rick</v>
      </c>
      <c r="J13" t="str">
        <f>VLOOKUP(Tabel2[[#This Row],[P-nr]],'data Chauffeur'!A:F,5,FALSE)</f>
        <v>M15</v>
      </c>
      <c r="K13" s="8" t="s">
        <v>29</v>
      </c>
      <c r="L13" s="2" t="s">
        <v>25</v>
      </c>
    </row>
    <row r="14" spans="1:20" x14ac:dyDescent="0.3">
      <c r="A14" s="2" t="s">
        <v>23</v>
      </c>
      <c r="B14" s="2" t="s">
        <v>23</v>
      </c>
      <c r="C14" s="11">
        <v>45959</v>
      </c>
      <c r="D14">
        <v>36543</v>
      </c>
      <c r="E14" t="str">
        <f>VLOOKUP(Tabel2[[#This Row],[P-nr]],'data Chauffeur'!A:F,2,FALSE)</f>
        <v>Babaian</v>
      </c>
      <c r="F14" t="str">
        <f>VLOOKUP(Tabel2[[#This Row],[P-nr]],'data Chauffeur'!A:F,3,FALSE)</f>
        <v>Sammy</v>
      </c>
      <c r="G14" t="str">
        <f>VLOOKUP(Tabel3[[#This Row],[P-nr]],'data Chauffeur'!A:F,6)</f>
        <v>Gent stad</v>
      </c>
      <c r="H14" t="str">
        <f>VLOOKUP(Tabel2[[#This Row],[P-nr]],'data Chauffeur'!A:F,6,FALSE)</f>
        <v>Gent stad</v>
      </c>
      <c r="I14" t="str">
        <f>VLOOKUP(Tabel2[[#This Row],[P-nr]],'data Chauffeur'!A:F,4,FALSE)</f>
        <v>Lucie Vande Velde</v>
      </c>
      <c r="J14" t="str">
        <f>VLOOKUP(Tabel2[[#This Row],[P-nr]],'data Chauffeur'!A:F,5,FALSE)</f>
        <v>RESF</v>
      </c>
      <c r="K14" s="8" t="s">
        <v>30</v>
      </c>
      <c r="N14" s="11"/>
    </row>
    <row r="15" spans="1:20" x14ac:dyDescent="0.3">
      <c r="C15" s="11">
        <v>45721</v>
      </c>
      <c r="D15" s="2">
        <v>38931</v>
      </c>
      <c r="E15" t="str">
        <f>VLOOKUP(Tabel2[[#This Row],[P-nr]],'data Chauffeur'!A:F,2,FALSE)</f>
        <v>Sancak</v>
      </c>
      <c r="F15" t="str">
        <f>VLOOKUP(Tabel2[[#This Row],[P-nr]],'data Chauffeur'!A:F,3,FALSE)</f>
        <v>Eyuphan</v>
      </c>
      <c r="G15" t="str">
        <f>VLOOKUP(Tabel3[[#This Row],[P-nr]],'data Chauffeur'!A:F,6)</f>
        <v>Gent stad</v>
      </c>
      <c r="H15" t="str">
        <f>VLOOKUP(Tabel2[[#This Row],[P-nr]],'data Chauffeur'!A:F,6,FALSE)</f>
        <v>Gent stad</v>
      </c>
      <c r="I15" t="str">
        <f>VLOOKUP(Tabel2[[#This Row],[P-nr]],'data Chauffeur'!A:F,4,FALSE)</f>
        <v>Bart Van Der Beken</v>
      </c>
      <c r="J15" t="str">
        <f>VLOOKUP(Tabel2[[#This Row],[P-nr]],'data Chauffeur'!A:F,5,FALSE)</f>
        <v>RESF</v>
      </c>
      <c r="K15" s="8" t="s">
        <v>27</v>
      </c>
      <c r="N15" s="11"/>
    </row>
    <row r="16" spans="1:20" x14ac:dyDescent="0.3">
      <c r="C16" s="11">
        <v>45721</v>
      </c>
      <c r="D16">
        <v>37600</v>
      </c>
      <c r="E16" t="str">
        <f>VLOOKUP(Tabel2[[#This Row],[P-nr]],'data Chauffeur'!A:F,2,FALSE)</f>
        <v>Smesman</v>
      </c>
      <c r="F16" t="str">
        <f>VLOOKUP(Tabel2[[#This Row],[P-nr]],'data Chauffeur'!A:F,3,FALSE)</f>
        <v>Nico</v>
      </c>
      <c r="G16" t="str">
        <f>VLOOKUP(Tabel3[[#This Row],[P-nr]],'data Chauffeur'!A:F,6)</f>
        <v>Gent stad</v>
      </c>
      <c r="H16" t="str">
        <f>VLOOKUP(Tabel2[[#This Row],[P-nr]],'data Chauffeur'!A:F,6,FALSE)</f>
        <v>Gent stad</v>
      </c>
      <c r="I16" t="str">
        <f>VLOOKUP(Tabel2[[#This Row],[P-nr]],'data Chauffeur'!A:F,4,FALSE)</f>
        <v>Lucie Vande Velde</v>
      </c>
      <c r="J16" t="str">
        <f>VLOOKUP(Tabel2[[#This Row],[P-nr]],'data Chauffeur'!A:F,5,FALSE)</f>
        <v>BN24</v>
      </c>
      <c r="K16" s="8" t="s">
        <v>27</v>
      </c>
    </row>
    <row r="17" spans="1:14" x14ac:dyDescent="0.3">
      <c r="C17" s="11">
        <v>45721</v>
      </c>
      <c r="D17">
        <v>39859</v>
      </c>
      <c r="E17" t="str">
        <f>VLOOKUP(Tabel2[[#This Row],[P-nr]],'data Chauffeur'!A:F,2,FALSE)</f>
        <v>Costers</v>
      </c>
      <c r="F17" t="str">
        <f>VLOOKUP(Tabel2[[#This Row],[P-nr]],'data Chauffeur'!A:F,3,FALSE)</f>
        <v>Kelly</v>
      </c>
      <c r="G17" t="e">
        <f>VLOOKUP(Tabel3[[#This Row],[P-nr]],'data Chauffeur'!A:F,6)</f>
        <v>#N/A</v>
      </c>
      <c r="H17" t="str">
        <f>VLOOKUP(Tabel2[[#This Row],[P-nr]],'data Chauffeur'!A:F,6,FALSE)</f>
        <v>Gent stad</v>
      </c>
      <c r="I17" t="str">
        <f>VLOOKUP(Tabel2[[#This Row],[P-nr]],'data Chauffeur'!A:F,4,FALSE)</f>
        <v>Bart Van Der Beken</v>
      </c>
      <c r="J17" t="str">
        <f>VLOOKUP(Tabel2[[#This Row],[P-nr]],'data Chauffeur'!A:F,5,FALSE)</f>
        <v>RESF</v>
      </c>
      <c r="K17" s="8" t="s">
        <v>31</v>
      </c>
      <c r="L17" s="2" t="s">
        <v>32</v>
      </c>
    </row>
    <row r="18" spans="1:14" x14ac:dyDescent="0.3">
      <c r="C18" s="11">
        <v>45721</v>
      </c>
      <c r="D18">
        <v>35588</v>
      </c>
      <c r="E18" t="str">
        <f>VLOOKUP(Tabel2[[#This Row],[P-nr]],'data Chauffeur'!A:F,2,FALSE)</f>
        <v>Smesman</v>
      </c>
      <c r="F18" t="str">
        <f>VLOOKUP(Tabel2[[#This Row],[P-nr]],'data Chauffeur'!A:F,3,FALSE)</f>
        <v>Glenn</v>
      </c>
      <c r="G18" t="str">
        <f>VLOOKUP(Tabel3[[#This Row],[P-nr]],'data Chauffeur'!A:F,6)</f>
        <v>Gent stad</v>
      </c>
      <c r="H18" t="str">
        <f>VLOOKUP(Tabel2[[#This Row],[P-nr]],'data Chauffeur'!A:F,6,FALSE)</f>
        <v>Gent stad</v>
      </c>
      <c r="I18" t="str">
        <f>VLOOKUP(Tabel2[[#This Row],[P-nr]],'data Chauffeur'!A:F,4,FALSE)</f>
        <v>Lucie Vande Velde</v>
      </c>
      <c r="J18" t="str">
        <f>VLOOKUP(Tabel2[[#This Row],[P-nr]],'data Chauffeur'!A:F,5,FALSE)</f>
        <v>B09</v>
      </c>
      <c r="L18" s="2" t="s">
        <v>11</v>
      </c>
    </row>
    <row r="19" spans="1:14" x14ac:dyDescent="0.3">
      <c r="C19" s="11">
        <v>45721</v>
      </c>
      <c r="D19">
        <v>28737</v>
      </c>
      <c r="E19" t="str">
        <f>VLOOKUP(Tabel2[[#This Row],[P-nr]],'data Chauffeur'!A:F,2,FALSE)</f>
        <v>El-Mohamed</v>
      </c>
      <c r="F19" t="str">
        <f>VLOOKUP(Tabel2[[#This Row],[P-nr]],'data Chauffeur'!A:F,3,FALSE)</f>
        <v>Mohamed</v>
      </c>
      <c r="G19" t="str">
        <f>VLOOKUP(Tabel3[[#This Row],[P-nr]],'data Chauffeur'!A:F,6)</f>
        <v>Gent stad</v>
      </c>
      <c r="H19" t="str">
        <f>VLOOKUP(Tabel2[[#This Row],[P-nr]],'data Chauffeur'!A:F,6,FALSE)</f>
        <v>Gent stad</v>
      </c>
      <c r="I19" t="str">
        <f>VLOOKUP(Tabel2[[#This Row],[P-nr]],'data Chauffeur'!A:F,4,FALSE)</f>
        <v>Lucie Vande Velde</v>
      </c>
      <c r="J19" t="str">
        <f>VLOOKUP(Tabel2[[#This Row],[P-nr]],'data Chauffeur'!A:F,5,FALSE)</f>
        <v>ML12</v>
      </c>
      <c r="K19" s="8" t="s">
        <v>33</v>
      </c>
      <c r="L19" s="2" t="s">
        <v>11</v>
      </c>
    </row>
    <row r="20" spans="1:14" x14ac:dyDescent="0.3">
      <c r="C20" s="11">
        <v>45721</v>
      </c>
      <c r="D20">
        <v>11866</v>
      </c>
      <c r="E20" t="str">
        <f>VLOOKUP(Tabel2[[#This Row],[P-nr]],'data Chauffeur'!A:F,2,FALSE)</f>
        <v>Bolle</v>
      </c>
      <c r="F20" t="str">
        <f>VLOOKUP(Tabel2[[#This Row],[P-nr]],'data Chauffeur'!A:F,3,FALSE)</f>
        <v>Pascal</v>
      </c>
      <c r="G20" t="str">
        <f>VLOOKUP(Tabel3[[#This Row],[P-nr]],'data Chauffeur'!A:F,6)</f>
        <v>Gent stad</v>
      </c>
      <c r="H20" t="str">
        <f>VLOOKUP(Tabel2[[#This Row],[P-nr]],'data Chauffeur'!A:F,6,FALSE)</f>
        <v>Gent stad</v>
      </c>
      <c r="I20" t="str">
        <f>VLOOKUP(Tabel2[[#This Row],[P-nr]],'data Chauffeur'!A:F,4,FALSE)</f>
        <v>Lucie Vande Velde</v>
      </c>
      <c r="J20" t="str">
        <f>VLOOKUP(Tabel2[[#This Row],[P-nr]],'data Chauffeur'!A:F,5,FALSE)</f>
        <v>TD12</v>
      </c>
      <c r="L20" s="2" t="s">
        <v>25</v>
      </c>
    </row>
    <row r="21" spans="1:14" x14ac:dyDescent="0.3">
      <c r="C21" s="11">
        <v>45729</v>
      </c>
      <c r="D21">
        <v>9065</v>
      </c>
      <c r="E21" t="str">
        <f>VLOOKUP(Tabel2[[#This Row],[P-nr]],'data Chauffeur'!A:F,2,FALSE)</f>
        <v>Dewispelaere</v>
      </c>
      <c r="F21" t="str">
        <f>VLOOKUP(Tabel2[[#This Row],[P-nr]],'data Chauffeur'!A:F,3,FALSE)</f>
        <v>Danny</v>
      </c>
      <c r="G21" t="str">
        <f>VLOOKUP(Tabel3[[#This Row],[P-nr]],'data Chauffeur'!A:F,6)</f>
        <v>Gent stad</v>
      </c>
      <c r="H21" t="str">
        <f>VLOOKUP(Tabel2[[#This Row],[P-nr]],'data Chauffeur'!A:F,6,FALSE)</f>
        <v>Gent stad</v>
      </c>
      <c r="I21" t="str">
        <f>VLOOKUP(Tabel2[[#This Row],[P-nr]],'data Chauffeur'!A:F,4,FALSE)</f>
        <v>Els Vanhoe</v>
      </c>
      <c r="J21" t="str">
        <f>VLOOKUP(Tabel2[[#This Row],[P-nr]],'data Chauffeur'!A:F,5,FALSE)</f>
        <v>TV12</v>
      </c>
      <c r="K21" s="8" t="s">
        <v>35</v>
      </c>
      <c r="L21" s="2" t="s">
        <v>25</v>
      </c>
    </row>
    <row r="22" spans="1:14" x14ac:dyDescent="0.3">
      <c r="C22" s="11">
        <v>45736</v>
      </c>
      <c r="D22">
        <v>39532</v>
      </c>
      <c r="E22" t="str">
        <f>VLOOKUP(Tabel2[[#This Row],[P-nr]],'data Chauffeur'!A:F,2,FALSE)</f>
        <v>Sahin</v>
      </c>
      <c r="F22" t="str">
        <f>VLOOKUP(Tabel2[[#This Row],[P-nr]],'data Chauffeur'!A:F,3,FALSE)</f>
        <v>Orhan</v>
      </c>
      <c r="G22" t="str">
        <f>VLOOKUP(Tabel3[[#This Row],[P-nr]],'data Chauffeur'!A:F,6)</f>
        <v>Gent stad</v>
      </c>
      <c r="H22" t="str">
        <f>VLOOKUP(Tabel2[[#This Row],[P-nr]],'data Chauffeur'!A:F,6,FALSE)</f>
        <v>Gent stad</v>
      </c>
      <c r="I22" t="str">
        <f>VLOOKUP(Tabel2[[#This Row],[P-nr]],'data Chauffeur'!A:F,4,FALSE)</f>
        <v>Christoff Rotty</v>
      </c>
      <c r="J22" t="str">
        <f>VLOOKUP(Tabel2[[#This Row],[P-nr]],'data Chauffeur'!A:F,5,FALSE)</f>
        <v>RESF</v>
      </c>
      <c r="K22" s="8" t="s">
        <v>27</v>
      </c>
    </row>
    <row r="23" spans="1:14" x14ac:dyDescent="0.3">
      <c r="C23" s="11">
        <v>45736</v>
      </c>
      <c r="D23">
        <v>37509</v>
      </c>
      <c r="E23" t="str">
        <f>VLOOKUP(Tabel2[[#This Row],[P-nr]],'data Chauffeur'!A:F,2,FALSE)</f>
        <v>Abdulkader</v>
      </c>
      <c r="F23" t="str">
        <f>VLOOKUP(Tabel2[[#This Row],[P-nr]],'data Chauffeur'!A:F,3,FALSE)</f>
        <v>Sabah</v>
      </c>
      <c r="G23" t="str">
        <f>VLOOKUP(Tabel3[[#This Row],[P-nr]],'data Chauffeur'!A:F,6)</f>
        <v>Gent stad</v>
      </c>
      <c r="H23" t="str">
        <f>VLOOKUP(Tabel2[[#This Row],[P-nr]],'data Chauffeur'!A:F,6,FALSE)</f>
        <v>Gent stad</v>
      </c>
      <c r="I23" t="str">
        <f>VLOOKUP(Tabel2[[#This Row],[P-nr]],'data Chauffeur'!A:F,4,FALSE)</f>
        <v>Bart Van Der Beken</v>
      </c>
      <c r="J23" t="str">
        <f>VLOOKUP(Tabel2[[#This Row],[P-nr]],'data Chauffeur'!A:F,5,FALSE)</f>
        <v>MN24</v>
      </c>
      <c r="K23" s="8" t="s">
        <v>27</v>
      </c>
    </row>
    <row r="24" spans="1:14" ht="28.8" x14ac:dyDescent="0.3">
      <c r="C24" s="11">
        <v>45994</v>
      </c>
      <c r="D24">
        <v>27711</v>
      </c>
      <c r="E24" t="str">
        <f>VLOOKUP(Tabel2[[#This Row],[P-nr]],'data Chauffeur'!A:F,2,FALSE)</f>
        <v>De Schenkel</v>
      </c>
      <c r="F24" t="str">
        <f>VLOOKUP(Tabel2[[#This Row],[P-nr]],'data Chauffeur'!A:F,3,FALSE)</f>
        <v>David</v>
      </c>
      <c r="G24" t="str">
        <f>VLOOKUP(Tabel3[[#This Row],[P-nr]],'data Chauffeur'!A:F,6)</f>
        <v>Gent stad</v>
      </c>
      <c r="H24" t="str">
        <f>VLOOKUP(Tabel2[[#This Row],[P-nr]],'data Chauffeur'!A:F,6,FALSE)</f>
        <v>Gent stad</v>
      </c>
      <c r="I24" t="str">
        <f>VLOOKUP(Tabel2[[#This Row],[P-nr]],'data Chauffeur'!A:F,4,FALSE)</f>
        <v>Christoff Rotty</v>
      </c>
      <c r="J24" t="str">
        <f>VLOOKUP(Tabel2[[#This Row],[P-nr]],'data Chauffeur'!A:F,5,FALSE)</f>
        <v>TR15</v>
      </c>
      <c r="K24" s="8" t="s">
        <v>36</v>
      </c>
      <c r="L24" s="2" t="s">
        <v>11</v>
      </c>
      <c r="N24" s="11"/>
    </row>
    <row r="25" spans="1:14" ht="28.8" x14ac:dyDescent="0.3">
      <c r="C25" s="11">
        <v>45736</v>
      </c>
      <c r="D25">
        <v>25487</v>
      </c>
      <c r="E25" t="str">
        <f>VLOOKUP(Tabel2[[#This Row],[P-nr]],'data Chauffeur'!A:F,2,FALSE)</f>
        <v>Devos</v>
      </c>
      <c r="F25" t="str">
        <f>VLOOKUP(Tabel2[[#This Row],[P-nr]],'data Chauffeur'!A:F,3,FALSE)</f>
        <v>Stefaan</v>
      </c>
      <c r="G25" t="str">
        <f>VLOOKUP(Tabel3[[#This Row],[P-nr]],'data Chauffeur'!A:F,6)</f>
        <v>Gent stad</v>
      </c>
      <c r="H25" t="str">
        <f>VLOOKUP(Tabel2[[#This Row],[P-nr]],'data Chauffeur'!A:F,6,FALSE)</f>
        <v>Gent stad</v>
      </c>
      <c r="I25" t="str">
        <f>VLOOKUP(Tabel2[[#This Row],[P-nr]],'data Chauffeur'!A:F,4,FALSE)</f>
        <v>Steven Storm</v>
      </c>
      <c r="J25" t="str">
        <f>VLOOKUP(Tabel2[[#This Row],[P-nr]],'data Chauffeur'!A:F,5,FALSE)</f>
        <v>TL12</v>
      </c>
      <c r="K25" s="8" t="s">
        <v>37</v>
      </c>
      <c r="L25" s="2" t="s">
        <v>11</v>
      </c>
    </row>
    <row r="26" spans="1:14" x14ac:dyDescent="0.3">
      <c r="C26" s="11">
        <v>45743</v>
      </c>
      <c r="D26">
        <v>32951</v>
      </c>
      <c r="E26" t="str">
        <f>VLOOKUP(Tabel2[[#This Row],[P-nr]],'data Chauffeur'!A:F,2,FALSE)</f>
        <v>De Bruyne</v>
      </c>
      <c r="F26" t="str">
        <f>VLOOKUP(Tabel2[[#This Row],[P-nr]],'data Chauffeur'!A:F,3,FALSE)</f>
        <v>Sonia</v>
      </c>
      <c r="G26" t="str">
        <f>VLOOKUP(Tabel3[[#This Row],[P-nr]],'data Chauffeur'!A:F,6)</f>
        <v>Gent stad</v>
      </c>
      <c r="H26" t="str">
        <f>VLOOKUP(Tabel2[[#This Row],[P-nr]],'data Chauffeur'!A:F,6,FALSE)</f>
        <v>Gent stad</v>
      </c>
      <c r="I26" t="str">
        <f>VLOOKUP(Tabel2[[#This Row],[P-nr]],'data Chauffeur'!A:F,4,FALSE)</f>
        <v>Lucie Vande Velde</v>
      </c>
      <c r="J26" t="str">
        <f>VLOOKUP(Tabel2[[#This Row],[P-nr]],'data Chauffeur'!A:F,5,FALSE)</f>
        <v>B24</v>
      </c>
      <c r="K26" s="8" t="s">
        <v>38</v>
      </c>
    </row>
    <row r="27" spans="1:14" x14ac:dyDescent="0.3">
      <c r="B27" s="2" t="s">
        <v>23</v>
      </c>
      <c r="C27" s="11">
        <v>45744</v>
      </c>
      <c r="D27">
        <v>36289</v>
      </c>
      <c r="E27" t="str">
        <f>VLOOKUP(Tabel2[[#This Row],[P-nr]],'data Chauffeur'!A:F,2,FALSE)</f>
        <v>Van Rentergem</v>
      </c>
      <c r="F27" t="str">
        <f>VLOOKUP(Tabel2[[#This Row],[P-nr]],'data Chauffeur'!A:F,3,FALSE)</f>
        <v>Steve</v>
      </c>
      <c r="G27" t="str">
        <f>VLOOKUP(Tabel3[[#This Row],[P-nr]],'data Chauffeur'!A:F,6)</f>
        <v>Gent stad</v>
      </c>
      <c r="H27" t="str">
        <f>VLOOKUP(Tabel2[[#This Row],[P-nr]],'data Chauffeur'!A:F,6,FALSE)</f>
        <v>Gent stad</v>
      </c>
      <c r="I27" t="str">
        <f>VLOOKUP(Tabel2[[#This Row],[P-nr]],'data Chauffeur'!A:F,4,FALSE)</f>
        <v>Els Vanhoe</v>
      </c>
      <c r="J27" t="str">
        <f>VLOOKUP(Tabel2[[#This Row],[P-nr]],'data Chauffeur'!A:F,5,FALSE)</f>
        <v>MN24</v>
      </c>
      <c r="K27" s="8" t="s">
        <v>39</v>
      </c>
    </row>
    <row r="28" spans="1:14" x14ac:dyDescent="0.3">
      <c r="C28" s="11">
        <v>45772</v>
      </c>
      <c r="D28">
        <v>35645</v>
      </c>
      <c r="E28" t="str">
        <f>VLOOKUP(Tabel2[[#This Row],[P-nr]],'data Chauffeur'!A:F,2,FALSE)</f>
        <v>Jalili</v>
      </c>
      <c r="F28" t="str">
        <f>VLOOKUP(Tabel2[[#This Row],[P-nr]],'data Chauffeur'!A:F,3,FALSE)</f>
        <v>Yaseeb</v>
      </c>
      <c r="G28" t="str">
        <f>VLOOKUP(Tabel3[[#This Row],[P-nr]],'data Chauffeur'!A:F,6)</f>
        <v>Gent stad</v>
      </c>
      <c r="H28" t="str">
        <f>VLOOKUP(Tabel2[[#This Row],[P-nr]],'data Chauffeur'!A:F,6,FALSE)</f>
        <v>Gent stad</v>
      </c>
      <c r="I28" t="str">
        <f>VLOOKUP(Tabel2[[#This Row],[P-nr]],'data Chauffeur'!A:F,4,FALSE)</f>
        <v>Steven Storm</v>
      </c>
      <c r="J28" t="str">
        <f>VLOOKUP(Tabel2[[#This Row],[P-nr]],'data Chauffeur'!A:F,5,FALSE)</f>
        <v>BN24</v>
      </c>
      <c r="K28" s="8" t="s">
        <v>27</v>
      </c>
    </row>
    <row r="29" spans="1:14" x14ac:dyDescent="0.3">
      <c r="A29" s="2" t="s">
        <v>23</v>
      </c>
      <c r="B29" s="2" t="s">
        <v>23</v>
      </c>
      <c r="C29" s="11">
        <v>45792</v>
      </c>
      <c r="D29">
        <v>30967</v>
      </c>
      <c r="E29" t="str">
        <f>VLOOKUP(Tabel2[[#This Row],[P-nr]],'data Chauffeur'!A:F,2,FALSE)</f>
        <v>Taser</v>
      </c>
      <c r="F29" t="str">
        <f>VLOOKUP(Tabel2[[#This Row],[P-nr]],'data Chauffeur'!A:F,3,FALSE)</f>
        <v>Fatih</v>
      </c>
      <c r="G29" t="str">
        <f>VLOOKUP(Tabel3[[#This Row],[P-nr]],'data Chauffeur'!A:F,6)</f>
        <v>Gent stad</v>
      </c>
      <c r="H29" t="str">
        <f>VLOOKUP(Tabel2[[#This Row],[P-nr]],'data Chauffeur'!A:F,6,FALSE)</f>
        <v>Gent stad</v>
      </c>
      <c r="I29" t="str">
        <f>VLOOKUP(Tabel2[[#This Row],[P-nr]],'data Chauffeur'!A:F,4,FALSE)</f>
        <v>Dominique De Clercq</v>
      </c>
      <c r="J29" t="str">
        <f>VLOOKUP(Tabel2[[#This Row],[P-nr]],'data Chauffeur'!A:F,5,FALSE)</f>
        <v>BD12</v>
      </c>
      <c r="K29" s="8" t="s">
        <v>41</v>
      </c>
      <c r="L29" s="2" t="s">
        <v>11</v>
      </c>
    </row>
    <row r="30" spans="1:14" x14ac:dyDescent="0.3">
      <c r="A30" s="2" t="s">
        <v>23</v>
      </c>
      <c r="C30" s="11">
        <v>45796</v>
      </c>
      <c r="D30">
        <v>19917</v>
      </c>
      <c r="E30" t="str">
        <f>VLOOKUP(Tabel2[[#This Row],[P-nr]],'data Chauffeur'!A:F,2,FALSE)</f>
        <v>Vandevyvere</v>
      </c>
      <c r="F30" t="str">
        <f>VLOOKUP(Tabel2[[#This Row],[P-nr]],'data Chauffeur'!A:F,3,FALSE)</f>
        <v>Frank</v>
      </c>
      <c r="G30" t="str">
        <f>VLOOKUP(Tabel3[[#This Row],[P-nr]],'data Chauffeur'!A:F,6)</f>
        <v>Gent stad</v>
      </c>
      <c r="H30" t="str">
        <f>VLOOKUP(Tabel2[[#This Row],[P-nr]],'data Chauffeur'!A:F,6,FALSE)</f>
        <v>Gent stad</v>
      </c>
      <c r="I30" t="str">
        <f>VLOOKUP(Tabel2[[#This Row],[P-nr]],'data Chauffeur'!A:F,4,FALSE)</f>
        <v>Bart Van Der Beken</v>
      </c>
      <c r="J30" t="str">
        <f>VLOOKUP(Tabel2[[#This Row],[P-nr]],'data Chauffeur'!A:F,5,FALSE)</f>
        <v>GW09</v>
      </c>
      <c r="K30" s="8" t="s">
        <v>40</v>
      </c>
      <c r="L30" s="2" t="s">
        <v>32</v>
      </c>
    </row>
    <row r="31" spans="1:14" x14ac:dyDescent="0.3">
      <c r="C31" s="11">
        <v>45813</v>
      </c>
      <c r="D31">
        <v>41032</v>
      </c>
      <c r="E31" t="str">
        <f>VLOOKUP(Tabel2[[#This Row],[P-nr]],'data Chauffeur'!A:F,2,FALSE)</f>
        <v>Rocabado Hinojosa</v>
      </c>
      <c r="F31" t="str">
        <f>VLOOKUP(Tabel2[[#This Row],[P-nr]],'data Chauffeur'!A:F,3,FALSE)</f>
        <v>Lukas</v>
      </c>
      <c r="G31" t="str">
        <f>VLOOKUP(Tabel3[[#This Row],[P-nr]],'data Chauffeur'!A:F,6)</f>
        <v>Gent stad</v>
      </c>
      <c r="H31" t="str">
        <f>VLOOKUP(Tabel2[[#This Row],[P-nr]],'data Chauffeur'!A:F,6,FALSE)</f>
        <v>Gent stad</v>
      </c>
      <c r="I31" t="str">
        <f>VLOOKUP(Tabel2[[#This Row],[P-nr]],'data Chauffeur'!A:F,4,FALSE)</f>
        <v>Els Vanhoe</v>
      </c>
      <c r="J31" t="str">
        <f>VLOOKUP(Tabel2[[#This Row],[P-nr]],'data Chauffeur'!A:F,5,FALSE)</f>
        <v>RESF</v>
      </c>
      <c r="K31" s="8" t="s">
        <v>27</v>
      </c>
    </row>
    <row r="32" spans="1:14" x14ac:dyDescent="0.3">
      <c r="C32" s="11">
        <v>45840</v>
      </c>
      <c r="D32">
        <v>38648</v>
      </c>
      <c r="E32" t="str">
        <f>VLOOKUP(Tabel2[[#This Row],[P-nr]],'data Chauffeur'!A:F,2,FALSE)</f>
        <v>Uckuyulu</v>
      </c>
      <c r="F32" t="str">
        <f>VLOOKUP(Tabel2[[#This Row],[P-nr]],'data Chauffeur'!A:F,3,FALSE)</f>
        <v>Muhammet Emin</v>
      </c>
      <c r="G32" t="str">
        <f>VLOOKUP(Tabel3[[#This Row],[P-nr]],'data Chauffeur'!A:F,6)</f>
        <v>Gent stad</v>
      </c>
      <c r="H32" t="str">
        <f>VLOOKUP(Tabel2[[#This Row],[P-nr]],'data Chauffeur'!A:F,6,FALSE)</f>
        <v>Gent stad</v>
      </c>
      <c r="I32" t="str">
        <f>VLOOKUP(Tabel2[[#This Row],[P-nr]],'data Chauffeur'!A:F,4,FALSE)</f>
        <v>Lucie Vande Velde</v>
      </c>
      <c r="J32" t="str">
        <f>VLOOKUP(Tabel2[[#This Row],[P-nr]],'data Chauffeur'!A:F,5,FALSE)</f>
        <v>RESF</v>
      </c>
      <c r="K32" s="8" t="s">
        <v>33</v>
      </c>
      <c r="N32" s="11"/>
    </row>
    <row r="33" spans="1:14" x14ac:dyDescent="0.3">
      <c r="C33" s="11">
        <v>45849</v>
      </c>
      <c r="D33">
        <v>40362</v>
      </c>
      <c r="E33" t="str">
        <f>VLOOKUP(Tabel2[[#This Row],[P-nr]],'data Chauffeur'!A:F,2,FALSE)</f>
        <v>Kuru</v>
      </c>
      <c r="F33" t="str">
        <f>VLOOKUP(Tabel2[[#This Row],[P-nr]],'data Chauffeur'!A:F,3,FALSE)</f>
        <v>Cetin</v>
      </c>
      <c r="G33" t="str">
        <f>VLOOKUP(Tabel3[[#This Row],[P-nr]],'data Chauffeur'!A:F,6)</f>
        <v>Gent stad</v>
      </c>
      <c r="H33" t="str">
        <f>VLOOKUP(Tabel2[[#This Row],[P-nr]],'data Chauffeur'!A:F,6,FALSE)</f>
        <v>Gent stad</v>
      </c>
      <c r="I33" t="str">
        <f>VLOOKUP(Tabel2[[#This Row],[P-nr]],'data Chauffeur'!A:F,4,FALSE)</f>
        <v>Kenneth De Rick</v>
      </c>
      <c r="J33" t="str">
        <f>VLOOKUP(Tabel2[[#This Row],[P-nr]],'data Chauffeur'!A:F,5,FALSE)</f>
        <v>BO15</v>
      </c>
      <c r="K33" s="8" t="s">
        <v>33</v>
      </c>
      <c r="N33" s="11"/>
    </row>
    <row r="34" spans="1:14" x14ac:dyDescent="0.3">
      <c r="C34" s="11">
        <v>45853</v>
      </c>
      <c r="D34">
        <v>35246</v>
      </c>
      <c r="E34" t="str">
        <f>VLOOKUP(Tabel2[[#This Row],[P-nr]],'data Chauffeur'!A:F,2,FALSE)</f>
        <v>De Meyer</v>
      </c>
      <c r="F34" t="str">
        <f>VLOOKUP(Tabel2[[#This Row],[P-nr]],'data Chauffeur'!A:F,3,FALSE)</f>
        <v>Karel</v>
      </c>
      <c r="G34" t="str">
        <f>VLOOKUP(Tabel3[[#This Row],[P-nr]],'data Chauffeur'!A:F,6)</f>
        <v>Gent stad</v>
      </c>
      <c r="H34" t="str">
        <f>VLOOKUP(Tabel2[[#This Row],[P-nr]],'data Chauffeur'!A:F,6,FALSE)</f>
        <v>Gent stad</v>
      </c>
      <c r="I34" t="str">
        <f>VLOOKUP(Tabel2[[#This Row],[P-nr]],'data Chauffeur'!A:F,4,FALSE)</f>
        <v>Els Vanhoe</v>
      </c>
      <c r="J34" t="str">
        <f>VLOOKUP(Tabel2[[#This Row],[P-nr]],'data Chauffeur'!A:F,5,FALSE)</f>
        <v>BN24</v>
      </c>
      <c r="K34" s="8" t="s">
        <v>39</v>
      </c>
      <c r="L34" s="2" t="s">
        <v>32</v>
      </c>
    </row>
    <row r="35" spans="1:14" x14ac:dyDescent="0.3">
      <c r="C35" s="11">
        <v>45868</v>
      </c>
      <c r="D35">
        <v>12684</v>
      </c>
      <c r="E35" t="str">
        <f>VLOOKUP(Tabel2[[#This Row],[P-nr]],'data Chauffeur'!A:F,2,FALSE)</f>
        <v>Van Den Bossche</v>
      </c>
      <c r="F35" t="str">
        <f>VLOOKUP(Tabel2[[#This Row],[P-nr]],'data Chauffeur'!A:F,3,FALSE)</f>
        <v>Martine</v>
      </c>
      <c r="G35" t="str">
        <f>VLOOKUP(Tabel3[[#This Row],[P-nr]],'data Chauffeur'!A:F,6)</f>
        <v>Gent stad</v>
      </c>
      <c r="H35" t="s">
        <v>42</v>
      </c>
      <c r="I35" t="str">
        <f>VLOOKUP(Tabel2[[#This Row],[P-nr]],'data Chauffeur'!A:F,4,FALSE)</f>
        <v>Els Vanhoe</v>
      </c>
      <c r="J35" t="str">
        <f>VLOOKUP(Tabel2[[#This Row],[P-nr]],'data Chauffeur'!A:F,5,FALSE)</f>
        <v>G09</v>
      </c>
      <c r="K35" s="8" t="s">
        <v>33</v>
      </c>
    </row>
    <row r="36" spans="1:14" x14ac:dyDescent="0.3">
      <c r="C36" s="11">
        <v>45883</v>
      </c>
      <c r="D36">
        <v>39929</v>
      </c>
      <c r="E36" t="str">
        <f>VLOOKUP(Tabel2[[#This Row],[P-nr]],'data Chauffeur'!A:F,2,FALSE)</f>
        <v>Staneva</v>
      </c>
      <c r="F36" t="str">
        <f>VLOOKUP(Tabel2[[#This Row],[P-nr]],'data Chauffeur'!A:F,3,FALSE)</f>
        <v>Mariyana</v>
      </c>
      <c r="G36" t="str">
        <f>VLOOKUP(Tabel3[[#This Row],[P-nr]],'data Chauffeur'!A:F,6)</f>
        <v>Gent stad</v>
      </c>
      <c r="H36" t="s">
        <v>42</v>
      </c>
      <c r="I36" t="str">
        <f>VLOOKUP(Tabel2[[#This Row],[P-nr]],'data Chauffeur'!A:F,4,FALSE)</f>
        <v>Christoff Rotty</v>
      </c>
      <c r="J36" t="str">
        <f>VLOOKUP(Tabel2[[#This Row],[P-nr]],'data Chauffeur'!A:F,5,FALSE)</f>
        <v>RESF</v>
      </c>
      <c r="K36" s="8" t="s">
        <v>33</v>
      </c>
      <c r="N36" s="11"/>
    </row>
    <row r="37" spans="1:14" x14ac:dyDescent="0.3">
      <c r="C37" s="11">
        <v>45898</v>
      </c>
      <c r="D37">
        <v>21424</v>
      </c>
      <c r="E37" t="str">
        <f>VLOOKUP(Tabel2[[#This Row],[P-nr]],'data Chauffeur'!A:F,2,FALSE)</f>
        <v>Verstichel</v>
      </c>
      <c r="F37" t="str">
        <f>VLOOKUP(Tabel2[[#This Row],[P-nr]],'data Chauffeur'!A:F,3,FALSE)</f>
        <v>Jethro</v>
      </c>
      <c r="G37" t="str">
        <f>VLOOKUP(Tabel3[[#This Row],[P-nr]],'data Chauffeur'!A:F,6)</f>
        <v>Gent stad</v>
      </c>
      <c r="H37" t="s">
        <v>42</v>
      </c>
      <c r="I37" t="str">
        <f>VLOOKUP(Tabel2[[#This Row],[P-nr]],'data Chauffeur'!A:F,4,FALSE)</f>
        <v>Els Dewulf</v>
      </c>
      <c r="J37" t="str">
        <f>VLOOKUP(Tabel2[[#This Row],[P-nr]],'data Chauffeur'!A:F,5,FALSE)</f>
        <v>MV12</v>
      </c>
      <c r="K37" s="8" t="s">
        <v>33</v>
      </c>
    </row>
    <row r="38" spans="1:14" x14ac:dyDescent="0.3">
      <c r="C38" s="11">
        <v>45898</v>
      </c>
      <c r="D38">
        <v>36627</v>
      </c>
      <c r="E38" t="str">
        <f>VLOOKUP(Tabel2[[#This Row],[P-nr]],'data Chauffeur'!A:F,2,FALSE)</f>
        <v>Dobbelaere</v>
      </c>
      <c r="F38" t="str">
        <f>VLOOKUP(Tabel2[[#This Row],[P-nr]],'data Chauffeur'!A:F,3,FALSE)</f>
        <v>David</v>
      </c>
      <c r="G38" t="e">
        <f>VLOOKUP(Tabel3[[#This Row],[P-nr]],'data Chauffeur'!A:F,6)</f>
        <v>#N/A</v>
      </c>
      <c r="H38" t="s">
        <v>42</v>
      </c>
      <c r="I38" t="str">
        <f>VLOOKUP(Tabel2[[#This Row],[P-nr]],'data Chauffeur'!A:F,4,FALSE)</f>
        <v>Els Dewulf</v>
      </c>
      <c r="J38" t="str">
        <f>VLOOKUP(Tabel2[[#This Row],[P-nr]],'data Chauffeur'!A:F,5,FALSE)</f>
        <v>B24</v>
      </c>
      <c r="K38" s="8" t="s">
        <v>33</v>
      </c>
    </row>
    <row r="39" spans="1:14" x14ac:dyDescent="0.3">
      <c r="C39" s="11">
        <v>45898</v>
      </c>
      <c r="D39">
        <v>38475</v>
      </c>
      <c r="E39" t="str">
        <f>VLOOKUP(Tabel2[[#This Row],[P-nr]],'data Chauffeur'!A:F,2,FALSE)</f>
        <v>Verschraegen</v>
      </c>
      <c r="F39" t="str">
        <f>VLOOKUP(Tabel2[[#This Row],[P-nr]],'data Chauffeur'!A:F,3,FALSE)</f>
        <v>Katleen</v>
      </c>
      <c r="G39" t="str">
        <f>VLOOKUP(Tabel3[[#This Row],[P-nr]],'data Chauffeur'!A:F,6)</f>
        <v>Gent stad</v>
      </c>
      <c r="H39" t="s">
        <v>42</v>
      </c>
      <c r="I39" t="str">
        <f>VLOOKUP(Tabel2[[#This Row],[P-nr]],'data Chauffeur'!A:F,4,FALSE)</f>
        <v>Els Dewulf</v>
      </c>
      <c r="J39" t="str">
        <f>VLOOKUP(Tabel2[[#This Row],[P-nr]],'data Chauffeur'!A:F,5,FALSE)</f>
        <v>BR15</v>
      </c>
      <c r="K39" s="8" t="s">
        <v>33</v>
      </c>
    </row>
    <row r="40" spans="1:14" x14ac:dyDescent="0.3">
      <c r="C40" s="11">
        <v>45898</v>
      </c>
      <c r="D40">
        <v>40856</v>
      </c>
      <c r="E40" t="str">
        <f>VLOOKUP(Tabel2[[#This Row],[P-nr]],'data Chauffeur'!A:F,2,FALSE)</f>
        <v>Neissi</v>
      </c>
      <c r="F40" t="str">
        <f>VLOOKUP(Tabel2[[#This Row],[P-nr]],'data Chauffeur'!A:F,3,FALSE)</f>
        <v>Sadegh</v>
      </c>
      <c r="G40" t="str">
        <f>VLOOKUP(Tabel3[[#This Row],[P-nr]],'data Chauffeur'!A:F,6)</f>
        <v>Gent stad</v>
      </c>
      <c r="H40" t="s">
        <v>42</v>
      </c>
      <c r="I40" t="str">
        <f>VLOOKUP(Tabel2[[#This Row],[P-nr]],'data Chauffeur'!A:F,4,FALSE)</f>
        <v>Kenneth De Rick</v>
      </c>
      <c r="J40" t="str">
        <f>VLOOKUP(Tabel2[[#This Row],[P-nr]],'data Chauffeur'!A:F,5,FALSE)</f>
        <v>RESF</v>
      </c>
      <c r="K40" s="8" t="s">
        <v>33</v>
      </c>
    </row>
    <row r="41" spans="1:14" x14ac:dyDescent="0.3">
      <c r="C41" s="11">
        <v>45898</v>
      </c>
      <c r="D41">
        <v>39651</v>
      </c>
      <c r="E41" t="str">
        <f>VLOOKUP(Tabel2[[#This Row],[P-nr]],'data Chauffeur'!A:F,2,FALSE)</f>
        <v>Kallenbach</v>
      </c>
      <c r="F41" t="str">
        <f>VLOOKUP(Tabel2[[#This Row],[P-nr]],'data Chauffeur'!A:F,3,FALSE)</f>
        <v>Sunny</v>
      </c>
      <c r="G41" t="str">
        <f>VLOOKUP(Tabel3[[#This Row],[P-nr]],'data Chauffeur'!A:F,6)</f>
        <v>Gent stad</v>
      </c>
      <c r="H41" t="s">
        <v>42</v>
      </c>
      <c r="I41" t="str">
        <f>VLOOKUP(Tabel2[[#This Row],[P-nr]],'data Chauffeur'!A:F,4,FALSE)</f>
        <v>Kenneth De Rick</v>
      </c>
      <c r="J41" t="str">
        <f>VLOOKUP(Tabel2[[#This Row],[P-nr]],'data Chauffeur'!A:F,5,FALSE)</f>
        <v>RESF</v>
      </c>
      <c r="K41" s="8" t="s">
        <v>33</v>
      </c>
    </row>
    <row r="42" spans="1:14" x14ac:dyDescent="0.3">
      <c r="C42" s="11">
        <v>45898</v>
      </c>
      <c r="D42">
        <v>23918</v>
      </c>
      <c r="E42" t="str">
        <f>VLOOKUP(Tabel2[[#This Row],[P-nr]],'data Chauffeur'!A:F,2,FALSE)</f>
        <v>D'Haeyere</v>
      </c>
      <c r="F42" t="str">
        <f>VLOOKUP(Tabel2[[#This Row],[P-nr]],'data Chauffeur'!A:F,3,FALSE)</f>
        <v>Bernard</v>
      </c>
      <c r="G42" t="str">
        <f>VLOOKUP(Tabel3[[#This Row],[P-nr]],'data Chauffeur'!A:F,6)</f>
        <v>Gent stad</v>
      </c>
      <c r="H42" t="s">
        <v>42</v>
      </c>
      <c r="I42" t="str">
        <f>VLOOKUP(Tabel2[[#This Row],[P-nr]],'data Chauffeur'!A:F,4,FALSE)</f>
        <v>Els Vanhoe</v>
      </c>
      <c r="J42" t="str">
        <f>VLOOKUP(Tabel2[[#This Row],[P-nr]],'data Chauffeur'!A:F,5,FALSE)</f>
        <v>SW05</v>
      </c>
      <c r="K42" s="8" t="s">
        <v>33</v>
      </c>
    </row>
    <row r="43" spans="1:14" x14ac:dyDescent="0.3">
      <c r="C43" s="11">
        <v>45898</v>
      </c>
      <c r="D43">
        <v>41619</v>
      </c>
      <c r="E43" t="str">
        <f>VLOOKUP(Tabel2[[#This Row],[P-nr]],'data Chauffeur'!A:F,2,FALSE)</f>
        <v>Bachiri</v>
      </c>
      <c r="F43" t="str">
        <f>VLOOKUP(Tabel2[[#This Row],[P-nr]],'data Chauffeur'!A:F,3,FALSE)</f>
        <v>Ousama</v>
      </c>
      <c r="G43" t="str">
        <f>VLOOKUP(Tabel3[[#This Row],[P-nr]],'data Chauffeur'!A:F,6)</f>
        <v>Gent stad</v>
      </c>
      <c r="H43" t="s">
        <v>42</v>
      </c>
      <c r="I43" t="str">
        <f>VLOOKUP(Tabel2[[#This Row],[P-nr]],'data Chauffeur'!A:F,4,FALSE)</f>
        <v>Bart Van Der Beken</v>
      </c>
      <c r="J43" t="str">
        <f>VLOOKUP(Tabel2[[#This Row],[P-nr]],'data Chauffeur'!A:F,5,FALSE)</f>
        <v>RESF</v>
      </c>
      <c r="K43" s="8" t="s">
        <v>33</v>
      </c>
    </row>
    <row r="44" spans="1:14" x14ac:dyDescent="0.3">
      <c r="C44" s="11">
        <v>45898</v>
      </c>
      <c r="D44">
        <v>35397</v>
      </c>
      <c r="E44" t="str">
        <f>VLOOKUP(Tabel2[[#This Row],[P-nr]],'data Chauffeur'!A:F,2,FALSE)</f>
        <v>Minbari</v>
      </c>
      <c r="F44" t="str">
        <f>VLOOKUP(Tabel2[[#This Row],[P-nr]],'data Chauffeur'!A:F,3,FALSE)</f>
        <v>Ako</v>
      </c>
      <c r="G44" t="str">
        <f>VLOOKUP(Tabel3[[#This Row],[P-nr]],'data Chauffeur'!A:F,6)</f>
        <v>Gent stad</v>
      </c>
      <c r="H44" t="s">
        <v>42</v>
      </c>
      <c r="I44" t="str">
        <f>VLOOKUP(Tabel2[[#This Row],[P-nr]],'data Chauffeur'!A:F,4,FALSE)</f>
        <v>Lucie Vande Velde</v>
      </c>
      <c r="J44" t="str">
        <f>VLOOKUP(Tabel2[[#This Row],[P-nr]],'data Chauffeur'!A:F,5,FALSE)</f>
        <v>MN24</v>
      </c>
      <c r="K44" s="8" t="s">
        <v>33</v>
      </c>
    </row>
    <row r="45" spans="1:14" x14ac:dyDescent="0.3">
      <c r="C45" s="11">
        <v>45898</v>
      </c>
      <c r="D45">
        <v>15412</v>
      </c>
      <c r="E45" t="str">
        <f>VLOOKUP(Tabel2[[#This Row],[P-nr]],'data Chauffeur'!A:F,2,FALSE)</f>
        <v>Dhondt</v>
      </c>
      <c r="F45" t="str">
        <f>VLOOKUP(Tabel2[[#This Row],[P-nr]],'data Chauffeur'!A:F,3,FALSE)</f>
        <v>Frank</v>
      </c>
      <c r="G45" t="str">
        <f>VLOOKUP(Tabel3[[#This Row],[P-nr]],'data Chauffeur'!A:F,6)</f>
        <v>Gent stad</v>
      </c>
      <c r="H45" t="s">
        <v>42</v>
      </c>
      <c r="I45" t="str">
        <f>VLOOKUP(Tabel2[[#This Row],[P-nr]],'data Chauffeur'!A:F,4,FALSE)</f>
        <v>Bart Van Der Beken</v>
      </c>
      <c r="J45" t="str">
        <f>VLOOKUP(Tabel2[[#This Row],[P-nr]],'data Chauffeur'!A:F,5,FALSE)</f>
        <v>G09</v>
      </c>
      <c r="K45" s="8" t="s">
        <v>33</v>
      </c>
    </row>
    <row r="46" spans="1:14" ht="57.6" x14ac:dyDescent="0.3">
      <c r="C46" s="11">
        <v>45903</v>
      </c>
      <c r="D46">
        <v>39831</v>
      </c>
      <c r="E46" t="str">
        <f>VLOOKUP(Tabel2[[#This Row],[P-nr]],'data Chauffeur'!A:F,2,FALSE)</f>
        <v>Dolgiev</v>
      </c>
      <c r="F46" t="str">
        <f>VLOOKUP(Tabel2[[#This Row],[P-nr]],'data Chauffeur'!A:F,3,FALSE)</f>
        <v>Mukhamed</v>
      </c>
      <c r="G46" t="e">
        <f>VLOOKUP(Tabel3[[#This Row],[P-nr]],'data Chauffeur'!A:F,6)</f>
        <v>#N/A</v>
      </c>
      <c r="H46" t="s">
        <v>42</v>
      </c>
      <c r="I46" t="str">
        <f>VLOOKUP(Tabel2[[#This Row],[P-nr]],'data Chauffeur'!A:F,4,FALSE)</f>
        <v>Els Dewulf</v>
      </c>
      <c r="J46" t="str">
        <f>VLOOKUP(Tabel2[[#This Row],[P-nr]],'data Chauffeur'!A:F,5,FALSE)</f>
        <v>RESF</v>
      </c>
      <c r="K46" s="8" t="s">
        <v>43</v>
      </c>
      <c r="L46" s="2" t="s">
        <v>32</v>
      </c>
    </row>
    <row r="47" spans="1:14" ht="28.8" x14ac:dyDescent="0.3">
      <c r="A47" s="2" t="s">
        <v>23</v>
      </c>
      <c r="C47" s="11">
        <v>45910</v>
      </c>
      <c r="D47">
        <v>16895</v>
      </c>
      <c r="E47" t="str">
        <f>VLOOKUP(Tabel2[[#This Row],[P-nr]],'data Chauffeur'!A:F,2,FALSE)</f>
        <v>Van Lauwe</v>
      </c>
      <c r="F47" t="str">
        <f>VLOOKUP(Tabel2[[#This Row],[P-nr]],'data Chauffeur'!A:F,3,FALSE)</f>
        <v>Freddy</v>
      </c>
      <c r="G47" t="str">
        <f>VLOOKUP(Tabel3[[#This Row],[P-nr]],'data Chauffeur'!A:F,6)</f>
        <v>Gent stad</v>
      </c>
      <c r="H47" t="s">
        <v>42</v>
      </c>
      <c r="I47" t="str">
        <f>VLOOKUP(Tabel2[[#This Row],[P-nr]],'data Chauffeur'!A:F,4,FALSE)</f>
        <v>Bart Van Der Beken</v>
      </c>
      <c r="J47" t="str">
        <f>VLOOKUP(Tabel2[[#This Row],[P-nr]],'data Chauffeur'!A:F,5,FALSE)</f>
        <v>TW24</v>
      </c>
      <c r="K47" s="8" t="s">
        <v>44</v>
      </c>
      <c r="L47" s="2" t="s">
        <v>25</v>
      </c>
    </row>
    <row r="48" spans="1:14" x14ac:dyDescent="0.3">
      <c r="C48" s="11">
        <v>45917</v>
      </c>
      <c r="D48">
        <v>21509</v>
      </c>
      <c r="E48" t="str">
        <f>VLOOKUP(Tabel2[[#This Row],[P-nr]],'data Chauffeur'!A:F,2,FALSE)</f>
        <v>De Craemer</v>
      </c>
      <c r="F48" t="str">
        <f>VLOOKUP(Tabel2[[#This Row],[P-nr]],'data Chauffeur'!A:F,3,FALSE)</f>
        <v>Kris</v>
      </c>
      <c r="G48" t="e">
        <f>VLOOKUP(Tabel3[[#This Row],[P-nr]],'data Chauffeur'!A:F,6)</f>
        <v>#N/A</v>
      </c>
      <c r="H48" t="s">
        <v>42</v>
      </c>
      <c r="I48" t="str">
        <f>VLOOKUP(Tabel2[[#This Row],[P-nr]],'data Chauffeur'!A:F,4,FALSE)</f>
        <v>Dominique De Clercq</v>
      </c>
      <c r="J48" t="str">
        <f>VLOOKUP(Tabel2[[#This Row],[P-nr]],'data Chauffeur'!A:F,5,FALSE)</f>
        <v>TL12</v>
      </c>
      <c r="K48" s="8" t="s">
        <v>33</v>
      </c>
    </row>
    <row r="49" spans="3:14" x14ac:dyDescent="0.3">
      <c r="C49" s="11">
        <v>45917</v>
      </c>
      <c r="D49">
        <v>41384</v>
      </c>
      <c r="E49" t="str">
        <f>VLOOKUP(Tabel2[[#This Row],[P-nr]],'data Chauffeur'!A:F,2,FALSE)</f>
        <v>Hillaert</v>
      </c>
      <c r="F49" t="str">
        <f>VLOOKUP(Tabel2[[#This Row],[P-nr]],'data Chauffeur'!A:F,3,FALSE)</f>
        <v>Thimo</v>
      </c>
      <c r="G49" t="e">
        <f>VLOOKUP(Tabel3[[#This Row],[P-nr]],'data Chauffeur'!A:F,6)</f>
        <v>#N/A</v>
      </c>
      <c r="H49" t="s">
        <v>42</v>
      </c>
      <c r="I49" t="str">
        <f>VLOOKUP(Tabel2[[#This Row],[P-nr]],'data Chauffeur'!A:F,4,FALSE)</f>
        <v>Christoff Rotty</v>
      </c>
      <c r="J49" t="str">
        <f>VLOOKUP(Tabel2[[#This Row],[P-nr]],'data Chauffeur'!A:F,5,FALSE)</f>
        <v>RESF</v>
      </c>
      <c r="K49" s="8" t="s">
        <v>33</v>
      </c>
    </row>
    <row r="50" spans="3:14" x14ac:dyDescent="0.3">
      <c r="C50" s="11">
        <v>45941</v>
      </c>
      <c r="D50">
        <v>41064</v>
      </c>
      <c r="E50" t="str">
        <f>VLOOKUP(Tabel2[[#This Row],[P-nr]],'data Chauffeur'!A:F,2,FALSE)</f>
        <v>Ardic</v>
      </c>
      <c r="F50" t="str">
        <f>VLOOKUP(Tabel2[[#This Row],[P-nr]],'data Chauffeur'!A:F,3,FALSE)</f>
        <v>Atilla</v>
      </c>
      <c r="G50" t="str">
        <f>VLOOKUP(Tabel3[[#This Row],[P-nr]],'data Chauffeur'!A:F,6)</f>
        <v>Gent stad</v>
      </c>
      <c r="H50" t="str">
        <f>VLOOKUP(Tabel2[[#This Row],[P-nr]],'data Chauffeur'!A:F,6,FALSE)</f>
        <v>Gent stad</v>
      </c>
      <c r="I50" t="str">
        <f>VLOOKUP(Tabel2[[#This Row],[P-nr]],'data Chauffeur'!A:F,4,FALSE)</f>
        <v>Dominique De Clercq</v>
      </c>
      <c r="J50" t="str">
        <f>VLOOKUP(Tabel2[[#This Row],[P-nr]],'data Chauffeur'!A:F,5,FALSE)</f>
        <v>RESF</v>
      </c>
      <c r="K50" s="8" t="s">
        <v>45</v>
      </c>
      <c r="N50" s="11"/>
    </row>
    <row r="51" spans="3:14" x14ac:dyDescent="0.3">
      <c r="C51" s="11">
        <v>45945</v>
      </c>
      <c r="D51">
        <v>40744</v>
      </c>
      <c r="E51" t="str">
        <f>VLOOKUP(Tabel2[[#This Row],[P-nr]],'data Chauffeur'!A:F,2,FALSE)</f>
        <v>Gözüküçük</v>
      </c>
      <c r="F51" t="str">
        <f>VLOOKUP(Tabel2[[#This Row],[P-nr]],'data Chauffeur'!A:F,3,FALSE)</f>
        <v>Ugur</v>
      </c>
      <c r="G51" t="str">
        <f>VLOOKUP(Tabel3[[#This Row],[P-nr]],'data Chauffeur'!A:F,6)</f>
        <v>Gent stad</v>
      </c>
      <c r="H51" t="s">
        <v>42</v>
      </c>
      <c r="I51" t="str">
        <f>VLOOKUP(Tabel2[[#This Row],[P-nr]],'data Chauffeur'!A:F,4,FALSE)</f>
        <v>Bart Van Der Beken</v>
      </c>
      <c r="J51" t="str">
        <f>VLOOKUP(Tabel2[[#This Row],[P-nr]],'data Chauffeur'!A:F,5,FALSE)</f>
        <v>RESF</v>
      </c>
      <c r="K51" s="8" t="s">
        <v>33</v>
      </c>
    </row>
    <row r="52" spans="3:14" x14ac:dyDescent="0.3">
      <c r="C52" s="11">
        <v>45950</v>
      </c>
      <c r="D52">
        <v>26524</v>
      </c>
      <c r="E52" t="str">
        <f>VLOOKUP(Tabel2[[#This Row],[P-nr]],'data Chauffeur'!A:F,2,FALSE)</f>
        <v>Bolle</v>
      </c>
      <c r="F52" t="str">
        <f>VLOOKUP(Tabel2[[#This Row],[P-nr]],'data Chauffeur'!A:F,3,FALSE)</f>
        <v>Cynthia</v>
      </c>
      <c r="G52" t="e">
        <f>VLOOKUP(Tabel3[[#This Row],[P-nr]],'data Chauffeur'!A:F,6)</f>
        <v>#N/A</v>
      </c>
      <c r="H52" t="s">
        <v>42</v>
      </c>
      <c r="I52" t="str">
        <f>VLOOKUP(Tabel2[[#This Row],[P-nr]],'data Chauffeur'!A:F,4,FALSE)</f>
        <v>Els Vanhoe</v>
      </c>
      <c r="J52" t="str">
        <f>VLOOKUP(Tabel2[[#This Row],[P-nr]],'data Chauffeur'!A:F,5,FALSE)</f>
        <v>RESV</v>
      </c>
      <c r="K52" s="8" t="s">
        <v>30</v>
      </c>
      <c r="L52" s="2" t="s">
        <v>25</v>
      </c>
    </row>
    <row r="53" spans="3:14" x14ac:dyDescent="0.3">
      <c r="C53" s="11">
        <v>45966</v>
      </c>
      <c r="D53">
        <v>28910</v>
      </c>
      <c r="E53" t="str">
        <f>VLOOKUP(Tabel2[[#This Row],[P-nr]],'data Chauffeur'!A:F,2,FALSE)</f>
        <v>Gassa</v>
      </c>
      <c r="F53" t="str">
        <f>VLOOKUP(Tabel2[[#This Row],[P-nr]],'data Chauffeur'!A:F,3,FALSE)</f>
        <v>Osmane</v>
      </c>
      <c r="G53" t="str">
        <f>VLOOKUP(Tabel3[[#This Row],[P-nr]],'data Chauffeur'!A:F,6)</f>
        <v>Gent stad</v>
      </c>
      <c r="H53" t="s">
        <v>42</v>
      </c>
      <c r="I53" t="str">
        <f>VLOOKUP(Tabel2[[#This Row],[P-nr]],'data Chauffeur'!A:F,4,FALSE)</f>
        <v>Bart Van Der Beken</v>
      </c>
      <c r="J53" t="str">
        <f>VLOOKUP(Tabel2[[#This Row],[P-nr]],'data Chauffeur'!A:F,5,FALSE)</f>
        <v>BD12</v>
      </c>
      <c r="K53" s="8" t="s">
        <v>46</v>
      </c>
      <c r="N53" s="11"/>
    </row>
    <row r="54" spans="3:14" x14ac:dyDescent="0.3">
      <c r="C54" s="11">
        <v>45966</v>
      </c>
      <c r="D54">
        <v>32611</v>
      </c>
      <c r="E54" t="str">
        <f>VLOOKUP(Tabel2[[#This Row],[P-nr]],'data Chauffeur'!A:F,2,FALSE)</f>
        <v>Özer</v>
      </c>
      <c r="F54" t="str">
        <f>VLOOKUP(Tabel2[[#This Row],[P-nr]],'data Chauffeur'!A:F,3,FALSE)</f>
        <v>Özgur</v>
      </c>
      <c r="G54" t="str">
        <f>VLOOKUP(Tabel3[[#This Row],[P-nr]],'data Chauffeur'!A:F,6)</f>
        <v>Gent stad</v>
      </c>
      <c r="H54" t="s">
        <v>42</v>
      </c>
      <c r="I54" t="str">
        <f>VLOOKUP(Tabel2[[#This Row],[P-nr]],'data Chauffeur'!A:F,4,FALSE)</f>
        <v>Kenneth De Rick</v>
      </c>
      <c r="J54" t="str">
        <f>VLOOKUP(Tabel2[[#This Row],[P-nr]],'data Chauffeur'!A:F,5,FALSE)</f>
        <v>ML12</v>
      </c>
      <c r="K54" s="8" t="s">
        <v>46</v>
      </c>
      <c r="N54" s="11"/>
    </row>
    <row r="55" spans="3:14" x14ac:dyDescent="0.3">
      <c r="C55" s="11">
        <v>45966</v>
      </c>
      <c r="D55">
        <v>37345</v>
      </c>
      <c r="E55" t="str">
        <f>VLOOKUP(Tabel2[[#This Row],[P-nr]],'data Chauffeur'!A:F,2,FALSE)</f>
        <v>Walleyn</v>
      </c>
      <c r="F55" t="str">
        <f>VLOOKUP(Tabel2[[#This Row],[P-nr]],'data Chauffeur'!A:F,3,FALSE)</f>
        <v>Renaat</v>
      </c>
      <c r="G55" t="str">
        <f>VLOOKUP(Tabel3[[#This Row],[P-nr]],'data Chauffeur'!A:F,6)</f>
        <v>Gent stad</v>
      </c>
      <c r="H55" t="s">
        <v>42</v>
      </c>
      <c r="I55" t="str">
        <f>VLOOKUP(Tabel2[[#This Row],[P-nr]],'data Chauffeur'!A:F,4,FALSE)</f>
        <v>Lucie Vande Velde</v>
      </c>
      <c r="J55" t="str">
        <f>VLOOKUP(Tabel2[[#This Row],[P-nr]],'data Chauffeur'!A:F,5,FALSE)</f>
        <v>RESF</v>
      </c>
      <c r="K55" s="8" t="s">
        <v>46</v>
      </c>
      <c r="N55" s="11"/>
    </row>
    <row r="56" spans="3:14" x14ac:dyDescent="0.3">
      <c r="C56" s="11">
        <v>45966</v>
      </c>
      <c r="D56">
        <v>39856</v>
      </c>
      <c r="E56" t="str">
        <f>VLOOKUP(Tabel2[[#This Row],[P-nr]],'data Chauffeur'!A:F,2,FALSE)</f>
        <v>Curukcu</v>
      </c>
      <c r="F56" t="str">
        <f>VLOOKUP(Tabel2[[#This Row],[P-nr]],'data Chauffeur'!A:F,3,FALSE)</f>
        <v>Bayram</v>
      </c>
      <c r="G56" t="str">
        <f>VLOOKUP(Tabel3[[#This Row],[P-nr]],'data Chauffeur'!A:F,6)</f>
        <v>Gent stad</v>
      </c>
      <c r="H56" t="s">
        <v>42</v>
      </c>
      <c r="I56" t="str">
        <f>VLOOKUP(Tabel2[[#This Row],[P-nr]],'data Chauffeur'!A:F,4,FALSE)</f>
        <v>Kenneth De Rick</v>
      </c>
      <c r="J56" t="str">
        <f>VLOOKUP(Tabel2[[#This Row],[P-nr]],'data Chauffeur'!A:F,5,FALSE)</f>
        <v>RESF</v>
      </c>
      <c r="K56" s="8" t="s">
        <v>46</v>
      </c>
      <c r="N56" s="11"/>
    </row>
    <row r="57" spans="3:14" x14ac:dyDescent="0.3">
      <c r="C57" s="11">
        <v>45966</v>
      </c>
      <c r="D57">
        <v>41482</v>
      </c>
      <c r="E57" t="str">
        <f>VLOOKUP(Tabel2[[#This Row],[P-nr]],'data Chauffeur'!A:F,2,FALSE)</f>
        <v>Özdemir</v>
      </c>
      <c r="F57" t="str">
        <f>VLOOKUP(Tabel2[[#This Row],[P-nr]],'data Chauffeur'!A:F,3,FALSE)</f>
        <v>Osman</v>
      </c>
      <c r="G57" t="str">
        <f>VLOOKUP(Tabel3[[#This Row],[P-nr]],'data Chauffeur'!A:F,6)</f>
        <v>Gent stad</v>
      </c>
      <c r="H57" t="s">
        <v>42</v>
      </c>
      <c r="I57" t="str">
        <f>VLOOKUP(Tabel2[[#This Row],[P-nr]],'data Chauffeur'!A:F,4,FALSE)</f>
        <v>Bart Van Der Beken</v>
      </c>
      <c r="J57" t="str">
        <f>VLOOKUP(Tabel2[[#This Row],[P-nr]],'data Chauffeur'!A:F,5,FALSE)</f>
        <v>RESF</v>
      </c>
      <c r="K57" s="8" t="s">
        <v>46</v>
      </c>
      <c r="N57" s="11"/>
    </row>
    <row r="58" spans="3:14" x14ac:dyDescent="0.3">
      <c r="C58" s="11">
        <v>46001</v>
      </c>
      <c r="D58">
        <v>36438</v>
      </c>
      <c r="E58" t="str">
        <f>VLOOKUP(Tabel2[[#This Row],[P-nr]],'data Chauffeur'!A:F,2,FALSE)</f>
        <v>Agil</v>
      </c>
      <c r="F58" t="str">
        <f>VLOOKUP(Tabel2[[#This Row],[P-nr]],'data Chauffeur'!A:F,3,FALSE)</f>
        <v>Birol</v>
      </c>
      <c r="G58" t="e">
        <f>VLOOKUP(Tabel3[[#This Row],[P-nr]],'data Chauffeur'!A:F,6)</f>
        <v>#N/A</v>
      </c>
      <c r="H58" t="s">
        <v>42</v>
      </c>
      <c r="I58" t="str">
        <f>VLOOKUP(Tabel2[[#This Row],[P-nr]],'data Chauffeur'!A:F,4,FALSE)</f>
        <v>Bart Van Der Beken</v>
      </c>
      <c r="J58" t="str">
        <f>VLOOKUP(Tabel2[[#This Row],[P-nr]],'data Chauffeur'!A:F,5,FALSE)</f>
        <v>MW12</v>
      </c>
      <c r="K58" s="8" t="s">
        <v>46</v>
      </c>
      <c r="N58" s="11"/>
    </row>
    <row r="59" spans="3:14" x14ac:dyDescent="0.3">
      <c r="C59" s="11">
        <v>46000</v>
      </c>
      <c r="D59">
        <v>19691</v>
      </c>
      <c r="E59" t="str">
        <f>VLOOKUP(Tabel2[[#This Row],[P-nr]],'data Chauffeur'!A:F,2,FALSE)</f>
        <v>Akhayad</v>
      </c>
      <c r="F59" t="str">
        <f>VLOOKUP(Tabel2[[#This Row],[P-nr]],'data Chauffeur'!A:F,3,FALSE)</f>
        <v>Ahmed</v>
      </c>
      <c r="G59" t="str">
        <f>VLOOKUP(Tabel3[[#This Row],[P-nr]],'data Chauffeur'!A:F,6)</f>
        <v>Gent stad</v>
      </c>
      <c r="H59" t="s">
        <v>42</v>
      </c>
      <c r="I59" t="str">
        <f>VLOOKUP(Tabel2[[#This Row],[P-nr]],'data Chauffeur'!A:F,4,FALSE)</f>
        <v>Els Vanhoe</v>
      </c>
      <c r="J59" t="str">
        <f>VLOOKUP(Tabel2[[#This Row],[P-nr]],'data Chauffeur'!A:F,5,FALSE)</f>
        <v>G09</v>
      </c>
      <c r="N59" s="11"/>
    </row>
    <row r="60" spans="3:14" x14ac:dyDescent="0.3">
      <c r="D60">
        <v>40591</v>
      </c>
      <c r="E60" t="str">
        <f>VLOOKUP(Tabel2[[#This Row],[P-nr]],'data Chauffeur'!A:F,2,FALSE)</f>
        <v>Hiloui</v>
      </c>
      <c r="F60" t="str">
        <f>VLOOKUP(Tabel2[[#This Row],[P-nr]],'data Chauffeur'!A:F,3,FALSE)</f>
        <v>Mahmoud</v>
      </c>
      <c r="G60" t="str">
        <f>VLOOKUP(Tabel3[[#This Row],[P-nr]],'data Chauffeur'!A:F,6)</f>
        <v>Gent stad</v>
      </c>
      <c r="H60" t="s">
        <v>42</v>
      </c>
      <c r="I60" t="str">
        <f>VLOOKUP(Tabel2[[#This Row],[P-nr]],'data Chauffeur'!A:F,4,FALSE)</f>
        <v>Dominique De Clercq</v>
      </c>
      <c r="J60" t="str">
        <f>VLOOKUP(Tabel2[[#This Row],[P-nr]],'data Chauffeur'!A:F,5,FALSE)</f>
        <v>RESF</v>
      </c>
      <c r="L60" s="2" t="s">
        <v>32</v>
      </c>
    </row>
    <row r="61" spans="3:14" x14ac:dyDescent="0.3">
      <c r="C61" s="11">
        <v>46013</v>
      </c>
      <c r="D61">
        <v>15220</v>
      </c>
      <c r="E61" t="str">
        <f>VLOOKUP(Tabel2[[#This Row],[P-nr]],'data Chauffeur'!A:F,2,FALSE)</f>
        <v>Dejonghe</v>
      </c>
      <c r="F61" t="str">
        <f>VLOOKUP(Tabel2[[#This Row],[P-nr]],'data Chauffeur'!A:F,3,FALSE)</f>
        <v>Katleen</v>
      </c>
      <c r="G61" t="str">
        <f>VLOOKUP(Tabel3[[#This Row],[P-nr]],'data Chauffeur'!A:F,6)</f>
        <v>Gent stad</v>
      </c>
      <c r="H61" t="s">
        <v>42</v>
      </c>
      <c r="I61" t="str">
        <f>VLOOKUP(Tabel2[[#This Row],[P-nr]],'data Chauffeur'!A:F,4,FALSE)</f>
        <v>Dominique De Clercq</v>
      </c>
      <c r="J61" t="str">
        <f>VLOOKUP(Tabel2[[#This Row],[P-nr]],'data Chauffeur'!A:F,5,FALSE)</f>
        <v>TD12</v>
      </c>
      <c r="K61" s="8" t="s">
        <v>48</v>
      </c>
      <c r="M61" s="2"/>
      <c r="N61" s="11"/>
    </row>
    <row r="62" spans="3:14" x14ac:dyDescent="0.3">
      <c r="C62" s="11">
        <v>46014</v>
      </c>
      <c r="D62" s="52">
        <v>38633</v>
      </c>
      <c r="E62" t="str">
        <f>VLOOKUP(Tabel2[[#This Row],[P-nr]],'data Chauffeur'!A:F,2,FALSE)</f>
        <v>Stomphorst</v>
      </c>
      <c r="F62" t="str">
        <f>VLOOKUP(Tabel2[[#This Row],[P-nr]],'data Chauffeur'!A:F,3,FALSE)</f>
        <v>Mattanja</v>
      </c>
      <c r="G62" t="str">
        <f>VLOOKUP(Tabel3[[#This Row],[P-nr]],'data Chauffeur'!A:F,6)</f>
        <v>Gent stad</v>
      </c>
      <c r="H62" t="s">
        <v>42</v>
      </c>
      <c r="I62" t="str">
        <f>VLOOKUP(Tabel2[[#This Row],[P-nr]],'data Chauffeur'!A:F,4,FALSE)</f>
        <v>Els Dewulf</v>
      </c>
      <c r="J62" t="str">
        <f>VLOOKUP(Tabel2[[#This Row],[P-nr]],'data Chauffeur'!A:F,5,FALSE)</f>
        <v>RESF</v>
      </c>
      <c r="K62" s="8" t="s">
        <v>46</v>
      </c>
      <c r="N62" s="11"/>
    </row>
    <row r="63" spans="3:14" x14ac:dyDescent="0.3">
      <c r="E63" t="e">
        <f>VLOOKUP(Tabel2[[#This Row],[P-nr]],'data Chauffeur'!A:F,2,FALSE)</f>
        <v>#N/A</v>
      </c>
      <c r="F63" t="e">
        <f>VLOOKUP(Tabel2[[#This Row],[P-nr]],'data Chauffeur'!A:F,3,FALSE)</f>
        <v>#N/A</v>
      </c>
      <c r="G63" t="str">
        <f>VLOOKUP(Tabel3[[#This Row],[P-nr]],'data Chauffeur'!A:F,6)</f>
        <v>Gent stad</v>
      </c>
      <c r="H63" t="s">
        <v>42</v>
      </c>
      <c r="I63" t="e">
        <f>VLOOKUP(Tabel2[[#This Row],[P-nr]],'data Chauffeur'!A:F,4,FALSE)</f>
        <v>#N/A</v>
      </c>
      <c r="J63" t="e">
        <f>VLOOKUP(Tabel2[[#This Row],[P-nr]],'data Chauffeur'!A:F,5,FALSE)</f>
        <v>#N/A</v>
      </c>
    </row>
    <row r="64" spans="3:14" x14ac:dyDescent="0.3">
      <c r="E64" t="e">
        <f>VLOOKUP(Tabel2[[#This Row],[P-nr]],'data Chauffeur'!A:F,2,FALSE)</f>
        <v>#N/A</v>
      </c>
      <c r="F64" t="e">
        <f>VLOOKUP(Tabel2[[#This Row],[P-nr]],'data Chauffeur'!A:F,3,FALSE)</f>
        <v>#N/A</v>
      </c>
      <c r="G64" t="str">
        <f>VLOOKUP(Tabel3[[#This Row],[P-nr]],'data Chauffeur'!A:F,6)</f>
        <v>Gent stad</v>
      </c>
      <c r="H64" t="s">
        <v>42</v>
      </c>
      <c r="I64" t="e">
        <f>VLOOKUP(Tabel2[[#This Row],[P-nr]],'data Chauffeur'!A:F,4,FALSE)</f>
        <v>#N/A</v>
      </c>
      <c r="J64" t="e">
        <f>VLOOKUP(Tabel2[[#This Row],[P-nr]],'data Chauffeur'!A:F,5,FALSE)</f>
        <v>#N/A</v>
      </c>
    </row>
    <row r="65" spans="5:10" x14ac:dyDescent="0.3">
      <c r="E65" t="e">
        <f>VLOOKUP(Tabel2[[#This Row],[P-nr]],'data Chauffeur'!A:F,2,FALSE)</f>
        <v>#N/A</v>
      </c>
      <c r="F65" t="e">
        <f>VLOOKUP(Tabel2[[#This Row],[P-nr]],'data Chauffeur'!A:F,3,FALSE)</f>
        <v>#N/A</v>
      </c>
      <c r="G65" t="str">
        <f>VLOOKUP(Tabel3[[#This Row],[P-nr]],'data Chauffeur'!A:F,6)</f>
        <v>Gent stad</v>
      </c>
      <c r="H65" t="s">
        <v>42</v>
      </c>
      <c r="I65" t="e">
        <f>VLOOKUP(Tabel2[[#This Row],[P-nr]],'data Chauffeur'!A:F,4,FALSE)</f>
        <v>#N/A</v>
      </c>
      <c r="J65" t="e">
        <f>VLOOKUP(Tabel2[[#This Row],[P-nr]],'data Chauffeur'!A:F,5,FALSE)</f>
        <v>#N/A</v>
      </c>
    </row>
  </sheetData>
  <phoneticPr fontId="3" type="noConversion"/>
  <conditionalFormatting sqref="A1:B1048576">
    <cfRule type="containsText" dxfId="76" priority="47" operator="containsText" text="ja">
      <formula>NOT(ISERROR(SEARCH("ja",A1)))</formula>
    </cfRule>
  </conditionalFormatting>
  <conditionalFormatting sqref="D5">
    <cfRule type="containsText" dxfId="75" priority="5" operator="containsText" text="ja">
      <formula>NOT(ISERROR(SEARCH("ja",D5)))</formula>
    </cfRule>
  </conditionalFormatting>
  <conditionalFormatting sqref="D66:D1048576 D1:D61">
    <cfRule type="duplicateValues" dxfId="74" priority="589"/>
  </conditionalFormatting>
  <conditionalFormatting sqref="Q1:Q1048576">
    <cfRule type="containsText" dxfId="73" priority="48" operator="containsText" text="zeer slecht">
      <formula>NOT(ISERROR(SEARCH("zeer slecht",Q1)))</formula>
    </cfRule>
    <cfRule type="containsText" dxfId="72" priority="49" operator="containsText" text="slecht">
      <formula>NOT(ISERROR(SEARCH("slecht",Q1)))</formula>
    </cfRule>
    <cfRule type="containsText" dxfId="71" priority="50" operator="containsText" text="onvoldoende">
      <formula>NOT(ISERROR(SEARCH("onvoldoende",Q1)))</formula>
    </cfRule>
    <cfRule type="containsText" dxfId="70" priority="51" operator="containsText" text="voldoende">
      <formula>NOT(ISERROR(SEARCH("voldoende",Q1)))</formula>
    </cfRule>
    <cfRule type="containsText" dxfId="69" priority="52" operator="containsText" text="goed">
      <formula>NOT(ISERROR(SEARCH("goed",Q1)))</formula>
    </cfRule>
    <cfRule type="containsText" dxfId="68" priority="53" operator="containsText" text="zeer goed">
      <formula>NOT(ISERROR(SEARCH("zeer goed",Q1)))</formula>
    </cfRule>
  </conditionalFormatting>
  <pageMargins left="0.7" right="0.7" top="0.75" bottom="0.75" header="0.3" footer="0.3"/>
  <pageSetup paperSize="8" fitToHeight="0"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483A41B-06FC-48FB-BCE5-EF0B1D7E1F46}">
          <x14:formula1>
            <xm:f>Vervolglijsten!$D:$D</xm:f>
          </x14:formula1>
          <xm:sqref>M61 L62 L1:L60 L66:L1048576</xm:sqref>
        </x14:dataValidation>
        <x14:dataValidation type="list" allowBlank="1" showInputMessage="1" showErrorMessage="1" xr:uid="{1865B454-CB94-4F63-BE39-E8AB75EB8D3B}">
          <x14:formula1>
            <xm:f>Vervolglijsten!$E:$E</xm:f>
          </x14:formula1>
          <xm:sqref>M1:M62 M66:M1048576</xm:sqref>
        </x14:dataValidation>
        <x14:dataValidation type="list" allowBlank="1" showInputMessage="1" showErrorMessage="1" xr:uid="{62458A8A-90D0-44EB-A6DB-1CD720610765}">
          <x14:formula1>
            <xm:f>Vervolglijsten!$I:$I</xm:f>
          </x14:formula1>
          <xm:sqref>S1:S1048576</xm:sqref>
        </x14:dataValidation>
        <x14:dataValidation type="list" allowBlank="1" showInputMessage="1" showErrorMessage="1" xr:uid="{40A2B51A-2E03-4F6A-89B8-CBBF9EF8A2EC}">
          <x14:formula1>
            <xm:f>Vervolglijsten!$A:$A</xm:f>
          </x14:formula1>
          <xm:sqref>A1:A1048576</xm:sqref>
        </x14:dataValidation>
        <x14:dataValidation type="list" allowBlank="1" showInputMessage="1" showErrorMessage="1" xr:uid="{DD7FD5D6-59B8-4A7B-B2A7-FCB7EA1E708A}">
          <x14:formula1>
            <xm:f>Vervolglijsten!$F:$F</xm:f>
          </x14:formula1>
          <xm:sqref>O1:O1048576</xm:sqref>
        </x14:dataValidation>
        <x14:dataValidation type="list" allowBlank="1" showInputMessage="1" showErrorMessage="1" xr:uid="{4FDECB82-B3E7-4F54-87D5-C964CBE0BF5F}">
          <x14:formula1>
            <xm:f>Vervolglijsten!$B:$B</xm:f>
          </x14:formula1>
          <xm:sqref>R1:R1048576</xm:sqref>
        </x14:dataValidation>
        <x14:dataValidation type="list" allowBlank="1" showInputMessage="1" showErrorMessage="1" xr:uid="{CDB3D849-3AB7-4F5C-9FFA-659AF4211671}">
          <x14:formula1>
            <xm:f>Vervolglijsten!$G:$G</xm:f>
          </x14:formula1>
          <xm:sqref>P1:P1048576</xm:sqref>
        </x14:dataValidation>
        <x14:dataValidation type="list" allowBlank="1" showInputMessage="1" showErrorMessage="1" xr:uid="{161DE90F-193B-4C5A-801B-4E6FA0D52320}">
          <x14:formula1>
            <xm:f>Vervolglijsten!$H:$H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C04C-009E-4585-84F8-A49F0DC373AE}">
  <dimension ref="A1:T299"/>
  <sheetViews>
    <sheetView tabSelected="1" topLeftCell="A254" zoomScale="86" zoomScaleNormal="86" workbookViewId="0">
      <selection activeCell="O282" sqref="O282"/>
    </sheetView>
  </sheetViews>
  <sheetFormatPr defaultRowHeight="14.4" x14ac:dyDescent="0.3"/>
  <cols>
    <col min="1" max="1" width="15.109375" bestFit="1" customWidth="1"/>
    <col min="2" max="2" width="10.44140625" style="41" customWidth="1"/>
    <col min="3" max="3" width="21.44140625" style="30" customWidth="1"/>
    <col min="4" max="4" width="20.88671875" style="30" customWidth="1"/>
    <col min="5" max="5" width="41" customWidth="1"/>
    <col min="6" max="6" width="10.33203125" customWidth="1"/>
    <col min="7" max="7" width="21.33203125" style="30" customWidth="1"/>
    <col min="8" max="8" width="15.88671875" customWidth="1"/>
    <col min="9" max="9" width="27" style="8" customWidth="1"/>
    <col min="10" max="10" width="21.88671875" style="8" customWidth="1"/>
    <col min="11" max="11" width="26.6640625" customWidth="1"/>
    <col min="12" max="12" width="21" bestFit="1" customWidth="1"/>
    <col min="13" max="13" width="46.33203125" style="30" customWidth="1"/>
    <col min="14" max="14" width="34.44140625" customWidth="1"/>
    <col min="15" max="15" width="26.33203125" customWidth="1"/>
    <col min="16" max="16" width="30.109375" customWidth="1"/>
    <col min="17" max="17" width="14.109375" customWidth="1"/>
    <col min="18" max="18" width="23.88671875" customWidth="1"/>
  </cols>
  <sheetData>
    <row r="1" spans="1:18" ht="15.6" x14ac:dyDescent="0.3">
      <c r="A1" s="19" t="s">
        <v>0</v>
      </c>
      <c r="B1" s="36" t="s">
        <v>3</v>
      </c>
      <c r="C1" s="28" t="s">
        <v>4</v>
      </c>
      <c r="D1" s="28" t="s">
        <v>5</v>
      </c>
      <c r="E1" s="20" t="s">
        <v>58</v>
      </c>
      <c r="F1" s="20" t="s">
        <v>7</v>
      </c>
      <c r="G1" s="28" t="s">
        <v>8</v>
      </c>
      <c r="H1" s="20" t="s">
        <v>59</v>
      </c>
      <c r="I1" s="21" t="s">
        <v>60</v>
      </c>
      <c r="J1" s="20" t="s">
        <v>11</v>
      </c>
      <c r="K1" s="22" t="s">
        <v>12</v>
      </c>
      <c r="L1" s="22" t="s">
        <v>61</v>
      </c>
      <c r="M1" s="42" t="s">
        <v>14</v>
      </c>
      <c r="N1" s="22" t="s">
        <v>15</v>
      </c>
      <c r="O1" s="22" t="s">
        <v>62</v>
      </c>
      <c r="P1" s="22" t="s">
        <v>63</v>
      </c>
      <c r="Q1" s="22" t="s">
        <v>64</v>
      </c>
      <c r="R1" s="20" t="s">
        <v>65</v>
      </c>
    </row>
    <row r="2" spans="1:18" ht="15.75" x14ac:dyDescent="0.3">
      <c r="A2" s="23"/>
      <c r="B2" s="47">
        <v>19810</v>
      </c>
      <c r="C2" s="29" t="str">
        <f>VLOOKUP(Tabel3[[#This Row],[P-nr]],'data Chauffeur'!A:F,2,FALSE)</f>
        <v>Willems</v>
      </c>
      <c r="D2" s="29" t="str">
        <f>VLOOKUP(Tabel3[[#This Row],[P-nr]],'data Chauffeur'!A:F,3,FALSE)</f>
        <v>Kristine</v>
      </c>
      <c r="E2" s="29" t="str">
        <f>CONCATENATE(Tabel3[[#This Row],[P-nr]]," ",Tabel3[[#This Row],[Naam]]," ",Tabel3[[#This Row],[Voornaam]])</f>
        <v>19810 Willems Kristine</v>
      </c>
      <c r="F2" s="29" t="e">
        <f>VLOOKUP(Tabel3[[#This Row],[P-nr]],'data Chauffeur'!A:F,6)</f>
        <v>#N/A</v>
      </c>
      <c r="G2" s="29" t="str">
        <f>VLOOKUP(Tabel3[[#This Row],[P-nr]],'data Chauffeur'!A:F,4,FALSE)</f>
        <v>Dominique De Clercq</v>
      </c>
      <c r="H2" s="23" t="str">
        <f>VLOOKUP(Tabel3[[#This Row],[P-nr]],'data Chauffeur'!A:F,5,FALSE)</f>
        <v>TV12</v>
      </c>
      <c r="I2" s="26" t="s">
        <v>46</v>
      </c>
      <c r="J2" s="25" t="s">
        <v>66</v>
      </c>
      <c r="K2" s="29" t="s">
        <v>67</v>
      </c>
      <c r="L2" s="38">
        <v>45700</v>
      </c>
      <c r="M2" s="29"/>
      <c r="N2" s="23"/>
      <c r="O2" s="23" t="s">
        <v>68</v>
      </c>
      <c r="P2" s="23" t="s">
        <v>69</v>
      </c>
      <c r="Q2" s="23"/>
      <c r="R2" s="23" t="s">
        <v>70</v>
      </c>
    </row>
    <row r="3" spans="1:18" ht="15.75" x14ac:dyDescent="0.3">
      <c r="A3" s="23"/>
      <c r="B3" s="47">
        <v>39779</v>
      </c>
      <c r="C3" s="29" t="str">
        <f>VLOOKUP(Tabel3[[#This Row],[P-nr]],'data Chauffeur'!A:F,2,FALSE)</f>
        <v>Avci</v>
      </c>
      <c r="D3" s="29" t="str">
        <f>VLOOKUP(Tabel3[[#This Row],[P-nr]],'data Chauffeur'!A:F,3,FALSE)</f>
        <v>Muhammet Abdullah</v>
      </c>
      <c r="E3" s="29" t="str">
        <f>CONCATENATE(Tabel3[[#This Row],[P-nr]]," ",Tabel3[[#This Row],[Naam]]," ",Tabel3[[#This Row],[Voornaam]])</f>
        <v>39779 Avci Muhammet Abdullah</v>
      </c>
      <c r="F3" s="29" t="str">
        <f>VLOOKUP(Tabel3[[#This Row],[P-nr]],'data Chauffeur'!A:F,6)</f>
        <v>Gent stad</v>
      </c>
      <c r="G3" s="29" t="str">
        <f>VLOOKUP(Tabel3[[#This Row],[P-nr]],'data Chauffeur'!A:F,4,FALSE)</f>
        <v>Bart Van Der Beken</v>
      </c>
      <c r="H3" s="23" t="str">
        <f>VLOOKUP(Tabel3[[#This Row],[P-nr]],'data Chauffeur'!A:F,5,FALSE)</f>
        <v>RESF</v>
      </c>
      <c r="I3" s="26" t="s">
        <v>46</v>
      </c>
      <c r="J3" s="25" t="s">
        <v>71</v>
      </c>
      <c r="K3" s="29" t="s">
        <v>52</v>
      </c>
      <c r="L3" s="38">
        <v>45715</v>
      </c>
      <c r="M3" s="29" t="s">
        <v>72</v>
      </c>
      <c r="N3" s="23" t="s">
        <v>38</v>
      </c>
      <c r="O3" s="23" t="s">
        <v>73</v>
      </c>
      <c r="P3" s="23" t="s">
        <v>69</v>
      </c>
      <c r="Q3" s="23"/>
      <c r="R3" s="23" t="s">
        <v>70</v>
      </c>
    </row>
    <row r="4" spans="1:18" ht="15.75" x14ac:dyDescent="0.3">
      <c r="A4" s="23"/>
      <c r="B4" s="47">
        <v>36513</v>
      </c>
      <c r="C4" s="29" t="str">
        <f>VLOOKUP(Tabel3[[#This Row],[P-nr]],'data Chauffeur'!A:F,2,FALSE)</f>
        <v>Sogut</v>
      </c>
      <c r="D4" s="29" t="str">
        <f>VLOOKUP(Tabel3[[#This Row],[P-nr]],'data Chauffeur'!A:F,3,FALSE)</f>
        <v>Rauf</v>
      </c>
      <c r="E4" s="29" t="str">
        <f>CONCATENATE(Tabel3[[#This Row],[P-nr]]," ",Tabel3[[#This Row],[Naam]]," ",Tabel3[[#This Row],[Voornaam]])</f>
        <v>36513 Sogut Rauf</v>
      </c>
      <c r="F4" s="29" t="str">
        <f>VLOOKUP(Tabel3[[#This Row],[P-nr]],'data Chauffeur'!A:F,6)</f>
        <v>Gent stad</v>
      </c>
      <c r="G4" s="29" t="str">
        <f>VLOOKUP(Tabel3[[#This Row],[P-nr]],'data Chauffeur'!A:F,4,FALSE)</f>
        <v>Kenneth De Rick</v>
      </c>
      <c r="H4" s="23" t="str">
        <f>VLOOKUP(Tabel3[[#This Row],[P-nr]],'data Chauffeur'!A:F,5,FALSE)</f>
        <v>BN24</v>
      </c>
      <c r="I4" s="26"/>
      <c r="J4" s="25" t="s">
        <v>71</v>
      </c>
      <c r="K4" s="29" t="s">
        <v>52</v>
      </c>
      <c r="L4" s="38">
        <v>45721</v>
      </c>
      <c r="M4" s="29" t="s">
        <v>72</v>
      </c>
      <c r="N4" s="23" t="s">
        <v>74</v>
      </c>
      <c r="O4" s="23" t="s">
        <v>73</v>
      </c>
      <c r="P4" s="23" t="s">
        <v>69</v>
      </c>
      <c r="Q4" s="23"/>
      <c r="R4" s="23" t="s">
        <v>70</v>
      </c>
    </row>
    <row r="5" spans="1:18" ht="15.75" x14ac:dyDescent="0.3">
      <c r="A5" s="23"/>
      <c r="B5" s="47">
        <v>35026</v>
      </c>
      <c r="C5" s="29" t="str">
        <f>VLOOKUP(Tabel3[[#This Row],[P-nr]],'data Chauffeur'!A:F,2,FALSE)</f>
        <v>Momsen</v>
      </c>
      <c r="D5" s="29" t="str">
        <f>VLOOKUP(Tabel3[[#This Row],[P-nr]],'data Chauffeur'!A:F,3,FALSE)</f>
        <v>Rory</v>
      </c>
      <c r="E5" s="29" t="str">
        <f>CONCATENATE(Tabel3[[#This Row],[P-nr]]," ",Tabel3[[#This Row],[Naam]]," ",Tabel3[[#This Row],[Voornaam]])</f>
        <v>35026 Momsen Rory</v>
      </c>
      <c r="F5" s="29" t="str">
        <f>VLOOKUP(Tabel3[[#This Row],[P-nr]],'data Chauffeur'!A:F,6)</f>
        <v>Gent stad</v>
      </c>
      <c r="G5" s="29" t="str">
        <f>VLOOKUP(Tabel3[[#This Row],[P-nr]],'data Chauffeur'!A:F,4,FALSE)</f>
        <v>Steven Storm</v>
      </c>
      <c r="H5" s="23" t="str">
        <f>VLOOKUP(Tabel3[[#This Row],[P-nr]],'data Chauffeur'!A:F,5,FALSE)</f>
        <v>BN24</v>
      </c>
      <c r="I5" s="26" t="s">
        <v>46</v>
      </c>
      <c r="J5" s="25" t="s">
        <v>71</v>
      </c>
      <c r="K5" s="29" t="s">
        <v>52</v>
      </c>
      <c r="L5" s="38">
        <v>45721</v>
      </c>
      <c r="M5" s="29"/>
      <c r="N5" s="23"/>
      <c r="O5" s="23" t="s">
        <v>75</v>
      </c>
      <c r="P5" s="23"/>
      <c r="Q5" s="23"/>
      <c r="R5" s="23" t="s">
        <v>70</v>
      </c>
    </row>
    <row r="6" spans="1:18" ht="15.75" x14ac:dyDescent="0.3">
      <c r="A6" s="23"/>
      <c r="B6" s="47">
        <v>34286</v>
      </c>
      <c r="C6" s="29" t="str">
        <f>VLOOKUP(Tabel3[[#This Row],[P-nr]],'data Chauffeur'!A:F,2,FALSE)</f>
        <v>Ghani</v>
      </c>
      <c r="D6" s="29" t="str">
        <f>VLOOKUP(Tabel3[[#This Row],[P-nr]],'data Chauffeur'!A:F,3,FALSE)</f>
        <v>Mozamil</v>
      </c>
      <c r="E6" s="29" t="str">
        <f>CONCATENATE(Tabel3[[#This Row],[P-nr]]," ",Tabel3[[#This Row],[Naam]]," ",Tabel3[[#This Row],[Voornaam]])</f>
        <v>34286 Ghani Mozamil</v>
      </c>
      <c r="F6" s="29" t="str">
        <f>VLOOKUP(Tabel3[[#This Row],[P-nr]],'data Chauffeur'!A:F,6)</f>
        <v>Gent stad</v>
      </c>
      <c r="G6" s="29" t="str">
        <f>VLOOKUP(Tabel3[[#This Row],[P-nr]],'data Chauffeur'!A:F,4,FALSE)</f>
        <v>Steven Storm</v>
      </c>
      <c r="H6" s="23" t="str">
        <f>VLOOKUP(Tabel3[[#This Row],[P-nr]],'data Chauffeur'!A:F,5,FALSE)</f>
        <v>MN24</v>
      </c>
      <c r="I6" s="26" t="s">
        <v>46</v>
      </c>
      <c r="J6" s="25" t="s">
        <v>71</v>
      </c>
      <c r="K6" s="29" t="s">
        <v>52</v>
      </c>
      <c r="L6" s="38">
        <v>45721</v>
      </c>
      <c r="M6" s="29"/>
      <c r="N6" s="23"/>
      <c r="O6" s="23" t="s">
        <v>75</v>
      </c>
      <c r="P6" s="23"/>
      <c r="Q6" s="23"/>
      <c r="R6" s="23" t="s">
        <v>70</v>
      </c>
    </row>
    <row r="7" spans="1:18" ht="36" customHeight="1" x14ac:dyDescent="0.3">
      <c r="A7" s="23"/>
      <c r="B7" s="47">
        <v>40266</v>
      </c>
      <c r="C7" s="29" t="str">
        <f>VLOOKUP(Tabel3[[#This Row],[P-nr]],'data Chauffeur'!A:F,2,FALSE)</f>
        <v>Taibi</v>
      </c>
      <c r="D7" s="29" t="str">
        <f>VLOOKUP(Tabel3[[#This Row],[P-nr]],'data Chauffeur'!A:F,3,FALSE)</f>
        <v>Yassine</v>
      </c>
      <c r="E7" s="29" t="str">
        <f>CONCATENATE(Tabel3[[#This Row],[P-nr]]," ",Tabel3[[#This Row],[Naam]]," ",Tabel3[[#This Row],[Voornaam]])</f>
        <v>40266 Taibi Yassine</v>
      </c>
      <c r="F7" s="29" t="str">
        <f>VLOOKUP(Tabel3[[#This Row],[P-nr]],'data Chauffeur'!A:F,6)</f>
        <v>Gent stad</v>
      </c>
      <c r="G7" s="29" t="str">
        <f>VLOOKUP(Tabel3[[#This Row],[P-nr]],'data Chauffeur'!A:F,4,FALSE)</f>
        <v>Christoff Rotty</v>
      </c>
      <c r="H7" s="23" t="str">
        <f>VLOOKUP(Tabel3[[#This Row],[P-nr]],'data Chauffeur'!A:F,5,FALSE)</f>
        <v>BR15</v>
      </c>
      <c r="I7" s="26" t="s">
        <v>76</v>
      </c>
      <c r="J7" s="25" t="s">
        <v>71</v>
      </c>
      <c r="K7" s="31" t="s">
        <v>77</v>
      </c>
      <c r="L7" s="38">
        <v>45722</v>
      </c>
      <c r="M7" s="29"/>
      <c r="N7" s="23"/>
      <c r="O7" s="23" t="s">
        <v>75</v>
      </c>
      <c r="P7" s="23"/>
      <c r="Q7" s="23"/>
      <c r="R7" s="23" t="s">
        <v>70</v>
      </c>
    </row>
    <row r="8" spans="1:18" ht="15.75" x14ac:dyDescent="0.3">
      <c r="A8" s="23"/>
      <c r="B8" s="47">
        <v>37543</v>
      </c>
      <c r="C8" s="29" t="str">
        <f>VLOOKUP(Tabel3[[#This Row],[P-nr]],'data Chauffeur'!A:F,2,FALSE)</f>
        <v>Öztürk</v>
      </c>
      <c r="D8" s="29" t="str">
        <f>VLOOKUP(Tabel3[[#This Row],[P-nr]],'data Chauffeur'!A:F,3,FALSE)</f>
        <v>Bilgehan</v>
      </c>
      <c r="E8" s="29" t="str">
        <f>CONCATENATE(Tabel3[[#This Row],[P-nr]]," ",Tabel3[[#This Row],[Naam]]," ",Tabel3[[#This Row],[Voornaam]])</f>
        <v>37543 Öztürk Bilgehan</v>
      </c>
      <c r="F8" s="29" t="str">
        <f>VLOOKUP(Tabel3[[#This Row],[P-nr]],'data Chauffeur'!A:F,6)</f>
        <v>Gent stad</v>
      </c>
      <c r="G8" s="29" t="str">
        <f>VLOOKUP(Tabel3[[#This Row],[P-nr]],'data Chauffeur'!A:F,4,FALSE)</f>
        <v>Kenneth De Rick</v>
      </c>
      <c r="H8" s="23" t="str">
        <f>VLOOKUP(Tabel3[[#This Row],[P-nr]],'data Chauffeur'!A:F,5,FALSE)</f>
        <v>RESF</v>
      </c>
      <c r="I8" s="26" t="s">
        <v>46</v>
      </c>
      <c r="J8" s="25" t="s">
        <v>71</v>
      </c>
      <c r="K8" s="29" t="s">
        <v>77</v>
      </c>
      <c r="L8" s="38">
        <v>45726</v>
      </c>
      <c r="M8" s="29"/>
      <c r="N8" s="23"/>
      <c r="O8" s="23" t="s">
        <v>73</v>
      </c>
      <c r="P8" s="23" t="s">
        <v>69</v>
      </c>
      <c r="Q8" s="23"/>
      <c r="R8" s="23" t="s">
        <v>70</v>
      </c>
    </row>
    <row r="9" spans="1:18" ht="15.75" x14ac:dyDescent="0.3">
      <c r="A9" s="23"/>
      <c r="B9" s="47">
        <v>19917</v>
      </c>
      <c r="C9" s="29" t="str">
        <f>VLOOKUP(Tabel3[[#This Row],[P-nr]],'data Chauffeur'!A:F,2,FALSE)</f>
        <v>Vandevyvere</v>
      </c>
      <c r="D9" s="29" t="str">
        <f>VLOOKUP(Tabel3[[#This Row],[P-nr]],'data Chauffeur'!A:F,3,FALSE)</f>
        <v>Frank</v>
      </c>
      <c r="E9" s="29" t="str">
        <f>CONCATENATE(Tabel3[[#This Row],[P-nr]]," ",Tabel3[[#This Row],[Naam]]," ",Tabel3[[#This Row],[Voornaam]])</f>
        <v>19917 Vandevyvere Frank</v>
      </c>
      <c r="F9" s="29" t="e">
        <f>VLOOKUP(Tabel3[[#This Row],[P-nr]],'data Chauffeur'!A:F,6)</f>
        <v>#N/A</v>
      </c>
      <c r="G9" s="29" t="str">
        <f>VLOOKUP(Tabel3[[#This Row],[P-nr]],'data Chauffeur'!A:F,4,FALSE)</f>
        <v>Bart Van Der Beken</v>
      </c>
      <c r="H9" s="23" t="str">
        <f>VLOOKUP(Tabel3[[#This Row],[P-nr]],'data Chauffeur'!A:F,5,FALSE)</f>
        <v>GW09</v>
      </c>
      <c r="I9" s="26" t="s">
        <v>78</v>
      </c>
      <c r="J9" s="25" t="s">
        <v>71</v>
      </c>
      <c r="K9" s="30" t="s">
        <v>77</v>
      </c>
      <c r="L9" s="38">
        <v>45727</v>
      </c>
      <c r="M9" s="29" t="s">
        <v>72</v>
      </c>
      <c r="N9" s="23"/>
      <c r="O9" s="23" t="s">
        <v>79</v>
      </c>
      <c r="P9" s="23" t="s">
        <v>23</v>
      </c>
      <c r="Q9" s="23"/>
      <c r="R9" s="23"/>
    </row>
    <row r="10" spans="1:18" ht="15.75" x14ac:dyDescent="0.3">
      <c r="A10" s="23"/>
      <c r="B10" s="47">
        <v>29821</v>
      </c>
      <c r="C10" s="29" t="str">
        <f>VLOOKUP(Tabel3[[#This Row],[P-nr]],'data Chauffeur'!A:F,2,FALSE)</f>
        <v>Mehman Doust</v>
      </c>
      <c r="D10" s="29" t="str">
        <f>VLOOKUP(Tabel3[[#This Row],[P-nr]],'data Chauffeur'!A:F,3,FALSE)</f>
        <v>Farhad</v>
      </c>
      <c r="E10" s="29" t="str">
        <f>CONCATENATE(Tabel3[[#This Row],[P-nr]]," ",Tabel3[[#This Row],[Naam]]," ",Tabel3[[#This Row],[Voornaam]])</f>
        <v>29821 Mehman Doust Farhad</v>
      </c>
      <c r="F10" s="29" t="str">
        <f>VLOOKUP(Tabel3[[#This Row],[P-nr]],'data Chauffeur'!A:F,6)</f>
        <v>Gent stad</v>
      </c>
      <c r="G10" s="29" t="str">
        <f>VLOOKUP(Tabel3[[#This Row],[P-nr]],'data Chauffeur'!A:F,4,FALSE)</f>
        <v>Dominique De Clercq</v>
      </c>
      <c r="H10" s="23" t="str">
        <f>VLOOKUP(Tabel3[[#This Row],[P-nr]],'data Chauffeur'!A:F,5,FALSE)</f>
        <v>TR15</v>
      </c>
      <c r="I10" s="26" t="s">
        <v>46</v>
      </c>
      <c r="J10" s="25" t="s">
        <v>66</v>
      </c>
      <c r="K10" s="29" t="s">
        <v>67</v>
      </c>
      <c r="L10" s="38">
        <v>45728</v>
      </c>
      <c r="M10" s="29"/>
      <c r="N10" s="23"/>
      <c r="O10" s="23" t="s">
        <v>68</v>
      </c>
      <c r="P10" s="23" t="s">
        <v>69</v>
      </c>
      <c r="Q10" s="23"/>
      <c r="R10" s="23" t="s">
        <v>70</v>
      </c>
    </row>
    <row r="11" spans="1:18" ht="15.75" x14ac:dyDescent="0.3">
      <c r="A11" s="23"/>
      <c r="B11" s="47">
        <v>39677</v>
      </c>
      <c r="C11" s="29" t="str">
        <f>VLOOKUP(Tabel3[[#This Row],[P-nr]],'data Chauffeur'!A:F,2,FALSE)</f>
        <v>Tacq</v>
      </c>
      <c r="D11" s="29" t="str">
        <f>VLOOKUP(Tabel3[[#This Row],[P-nr]],'data Chauffeur'!A:F,3,FALSE)</f>
        <v>Joey</v>
      </c>
      <c r="E11" s="29" t="str">
        <f>CONCATENATE(Tabel3[[#This Row],[P-nr]]," ",Tabel3[[#This Row],[Naam]]," ",Tabel3[[#This Row],[Voornaam]])</f>
        <v>39677 Tacq Joey</v>
      </c>
      <c r="F11" s="29" t="str">
        <f>VLOOKUP(Tabel3[[#This Row],[P-nr]],'data Chauffeur'!A:F,6)</f>
        <v>Gent stad</v>
      </c>
      <c r="G11" s="29" t="str">
        <f>VLOOKUP(Tabel3[[#This Row],[P-nr]],'data Chauffeur'!A:F,4,FALSE)</f>
        <v>Kenneth De Rick</v>
      </c>
      <c r="H11" s="23" t="str">
        <f>VLOOKUP(Tabel3[[#This Row],[P-nr]],'data Chauffeur'!A:F,5,FALSE)</f>
        <v>RESF</v>
      </c>
      <c r="I11" s="26"/>
      <c r="J11" s="25" t="s">
        <v>71</v>
      </c>
      <c r="K11" s="29" t="s">
        <v>52</v>
      </c>
      <c r="L11" s="38">
        <v>45736</v>
      </c>
      <c r="M11" s="29" t="s">
        <v>72</v>
      </c>
      <c r="N11" s="23" t="s">
        <v>74</v>
      </c>
      <c r="O11" s="23" t="s">
        <v>73</v>
      </c>
      <c r="P11" s="23" t="s">
        <v>69</v>
      </c>
      <c r="Q11" s="23"/>
      <c r="R11" s="23" t="s">
        <v>70</v>
      </c>
    </row>
    <row r="12" spans="1:18" ht="15.75" x14ac:dyDescent="0.3">
      <c r="A12" s="23"/>
      <c r="B12" s="47">
        <v>39728</v>
      </c>
      <c r="C12" s="29" t="str">
        <f>VLOOKUP(Tabel3[[#This Row],[P-nr]],'data Chauffeur'!A:F,2,FALSE)</f>
        <v>Nohut</v>
      </c>
      <c r="D12" s="29" t="str">
        <f>VLOOKUP(Tabel3[[#This Row],[P-nr]],'data Chauffeur'!A:F,3,FALSE)</f>
        <v>Baki</v>
      </c>
      <c r="E12" s="29" t="str">
        <f>CONCATENATE(Tabel3[[#This Row],[P-nr]]," ",Tabel3[[#This Row],[Naam]]," ",Tabel3[[#This Row],[Voornaam]])</f>
        <v>39728 Nohut Baki</v>
      </c>
      <c r="F12" s="29" t="str">
        <f>VLOOKUP(Tabel3[[#This Row],[P-nr]],'data Chauffeur'!A:F,6)</f>
        <v>Gent stad</v>
      </c>
      <c r="G12" s="29" t="str">
        <f>VLOOKUP(Tabel3[[#This Row],[P-nr]],'data Chauffeur'!A:F,4,FALSE)</f>
        <v>Lucie Vande Velde</v>
      </c>
      <c r="H12" s="23" t="str">
        <f>VLOOKUP(Tabel3[[#This Row],[P-nr]],'data Chauffeur'!A:F,5,FALSE)</f>
        <v>RESF</v>
      </c>
      <c r="I12" s="26"/>
      <c r="J12" s="25" t="s">
        <v>71</v>
      </c>
      <c r="K12" s="29" t="s">
        <v>52</v>
      </c>
      <c r="L12" s="38">
        <v>45740</v>
      </c>
      <c r="M12" s="29"/>
      <c r="N12" s="23"/>
      <c r="O12" s="23" t="s">
        <v>68</v>
      </c>
      <c r="P12" s="23"/>
      <c r="Q12" s="23"/>
      <c r="R12" s="23" t="s">
        <v>70</v>
      </c>
    </row>
    <row r="13" spans="1:18" ht="15.75" x14ac:dyDescent="0.3">
      <c r="A13" s="23"/>
      <c r="B13" s="47">
        <v>41012</v>
      </c>
      <c r="C13" s="29" t="str">
        <f>VLOOKUP(Tabel3[[#This Row],[P-nr]],'data Chauffeur'!A:F,2,FALSE)</f>
        <v>Natad</v>
      </c>
      <c r="D13" s="29" t="str">
        <f>VLOOKUP(Tabel3[[#This Row],[P-nr]],'data Chauffeur'!A:F,3,FALSE)</f>
        <v>Younes</v>
      </c>
      <c r="E13" s="29" t="str">
        <f>CONCATENATE(Tabel3[[#This Row],[P-nr]]," ",Tabel3[[#This Row],[Naam]]," ",Tabel3[[#This Row],[Voornaam]])</f>
        <v>41012 Natad Younes</v>
      </c>
      <c r="F13" s="29" t="str">
        <f>VLOOKUP(Tabel3[[#This Row],[P-nr]],'data Chauffeur'!A:F,6)</f>
        <v>Gent stad</v>
      </c>
      <c r="G13" s="29" t="str">
        <f>VLOOKUP(Tabel3[[#This Row],[P-nr]],'data Chauffeur'!A:F,4,FALSE)</f>
        <v>Els Vanhoe</v>
      </c>
      <c r="H13" s="23" t="str">
        <f>VLOOKUP(Tabel3[[#This Row],[P-nr]],'data Chauffeur'!A:F,5,FALSE)</f>
        <v>RESF</v>
      </c>
      <c r="I13" s="26" t="s">
        <v>46</v>
      </c>
      <c r="J13" s="25" t="s">
        <v>71</v>
      </c>
      <c r="K13" s="29" t="s">
        <v>52</v>
      </c>
      <c r="L13" s="38">
        <v>45740</v>
      </c>
      <c r="M13" s="29"/>
      <c r="N13" s="23"/>
      <c r="O13" s="23" t="s">
        <v>68</v>
      </c>
      <c r="P13" s="23" t="s">
        <v>69</v>
      </c>
      <c r="Q13" s="23"/>
      <c r="R13" s="23" t="s">
        <v>70</v>
      </c>
    </row>
    <row r="14" spans="1:18" ht="15.75" x14ac:dyDescent="0.3">
      <c r="A14" s="23" t="s">
        <v>23</v>
      </c>
      <c r="B14" s="47">
        <v>28794</v>
      </c>
      <c r="C14" s="29" t="str">
        <f>VLOOKUP(Tabel3[[#This Row],[P-nr]],'data Chauffeur'!A:F,2,FALSE)</f>
        <v>Van Malderghem</v>
      </c>
      <c r="D14" s="29" t="str">
        <f>VLOOKUP(Tabel3[[#This Row],[P-nr]],'data Chauffeur'!A:F,3,FALSE)</f>
        <v>Niels</v>
      </c>
      <c r="E14" s="29" t="str">
        <f>CONCATENATE(Tabel3[[#This Row],[P-nr]]," ",Tabel3[[#This Row],[Naam]]," ",Tabel3[[#This Row],[Voornaam]])</f>
        <v>28794 Van Malderghem Niels</v>
      </c>
      <c r="F14" s="29" t="str">
        <f>VLOOKUP(Tabel3[[#This Row],[P-nr]],'data Chauffeur'!A:F,6)</f>
        <v>Gent stad</v>
      </c>
      <c r="G14" s="29" t="str">
        <f>VLOOKUP(Tabel3[[#This Row],[P-nr]],'data Chauffeur'!A:F,4,FALSE)</f>
        <v>Lucie Vande Velde</v>
      </c>
      <c r="H14" s="23" t="str">
        <f>VLOOKUP(Tabel3[[#This Row],[P-nr]],'data Chauffeur'!A:F,5,FALSE)</f>
        <v>ML12</v>
      </c>
      <c r="I14" s="26" t="s">
        <v>80</v>
      </c>
      <c r="J14" s="25" t="s">
        <v>66</v>
      </c>
      <c r="K14" s="29" t="s">
        <v>8</v>
      </c>
      <c r="L14" s="38">
        <v>45742</v>
      </c>
      <c r="M14" s="29"/>
      <c r="N14" s="23"/>
      <c r="O14" s="23" t="s">
        <v>68</v>
      </c>
      <c r="P14" s="23" t="s">
        <v>69</v>
      </c>
      <c r="Q14" s="23"/>
      <c r="R14" s="23" t="s">
        <v>70</v>
      </c>
    </row>
    <row r="15" spans="1:18" ht="15.75" x14ac:dyDescent="0.3">
      <c r="A15" s="23"/>
      <c r="B15" s="47">
        <v>31092</v>
      </c>
      <c r="C15" s="29" t="str">
        <f>VLOOKUP(Tabel3[[#This Row],[P-nr]],'data Chauffeur'!A:F,2,FALSE)</f>
        <v>De Jaeger</v>
      </c>
      <c r="D15" s="29" t="str">
        <f>VLOOKUP(Tabel3[[#This Row],[P-nr]],'data Chauffeur'!A:F,3,FALSE)</f>
        <v>Kevin</v>
      </c>
      <c r="E15" s="29" t="str">
        <f>CONCATENATE(Tabel3[[#This Row],[P-nr]]," ",Tabel3[[#This Row],[Naam]]," ",Tabel3[[#This Row],[Voornaam]])</f>
        <v>31092 De Jaeger Kevin</v>
      </c>
      <c r="F15" s="29" t="str">
        <f>VLOOKUP(Tabel3[[#This Row],[P-nr]],'data Chauffeur'!A:F,6)</f>
        <v>Gent stad</v>
      </c>
      <c r="G15" s="29" t="str">
        <f>VLOOKUP(Tabel3[[#This Row],[P-nr]],'data Chauffeur'!A:F,4,FALSE)</f>
        <v>Lucie Vande Velde</v>
      </c>
      <c r="H15" s="23" t="str">
        <f>VLOOKUP(Tabel3[[#This Row],[P-nr]],'data Chauffeur'!A:F,5,FALSE)</f>
        <v>B24</v>
      </c>
      <c r="I15" s="26"/>
      <c r="J15" s="25" t="s">
        <v>71</v>
      </c>
      <c r="K15" s="29" t="s">
        <v>52</v>
      </c>
      <c r="L15" s="38">
        <v>45743</v>
      </c>
      <c r="M15" s="29" t="s">
        <v>72</v>
      </c>
      <c r="N15" s="23" t="s">
        <v>81</v>
      </c>
      <c r="O15" s="23" t="s">
        <v>75</v>
      </c>
      <c r="P15" s="23" t="s">
        <v>69</v>
      </c>
      <c r="Q15" s="23"/>
      <c r="R15" s="23" t="s">
        <v>70</v>
      </c>
    </row>
    <row r="16" spans="1:18" ht="15.75" x14ac:dyDescent="0.3">
      <c r="A16" s="23"/>
      <c r="B16" s="47">
        <v>27711</v>
      </c>
      <c r="C16" s="29" t="str">
        <f>VLOOKUP(Tabel3[[#This Row],[P-nr]],'data Chauffeur'!A:F,2,FALSE)</f>
        <v>De Schenkel</v>
      </c>
      <c r="D16" s="29" t="str">
        <f>VLOOKUP(Tabel3[[#This Row],[P-nr]],'data Chauffeur'!A:F,3,FALSE)</f>
        <v>David</v>
      </c>
      <c r="E16" s="29" t="str">
        <f>CONCATENATE(Tabel3[[#This Row],[P-nr]]," ",Tabel3[[#This Row],[Naam]]," ",Tabel3[[#This Row],[Voornaam]])</f>
        <v>27711 De Schenkel David</v>
      </c>
      <c r="F16" s="29" t="str">
        <f>VLOOKUP(Tabel3[[#This Row],[P-nr]],'data Chauffeur'!A:F,6)</f>
        <v>Gent stad</v>
      </c>
      <c r="G16" s="29" t="str">
        <f>VLOOKUP(Tabel3[[#This Row],[P-nr]],'data Chauffeur'!A:F,4,FALSE)</f>
        <v>Christoff Rotty</v>
      </c>
      <c r="H16" s="23" t="str">
        <f>VLOOKUP(Tabel3[[#This Row],[P-nr]],'data Chauffeur'!A:F,5,FALSE)</f>
        <v>TR15</v>
      </c>
      <c r="I16" s="26"/>
      <c r="J16" s="25" t="s">
        <v>66</v>
      </c>
      <c r="K16" s="29" t="s">
        <v>82</v>
      </c>
      <c r="L16" s="38">
        <v>45743</v>
      </c>
      <c r="M16" s="29"/>
      <c r="N16" s="23" t="s">
        <v>38</v>
      </c>
      <c r="O16" s="23" t="s">
        <v>75</v>
      </c>
      <c r="P16" s="23"/>
      <c r="Q16" s="23"/>
      <c r="R16" s="23" t="s">
        <v>70</v>
      </c>
    </row>
    <row r="17" spans="1:18" ht="15.75" x14ac:dyDescent="0.3">
      <c r="A17" s="23"/>
      <c r="B17" s="47">
        <v>19249</v>
      </c>
      <c r="C17" s="29" t="str">
        <f>VLOOKUP(Tabel3[[#This Row],[P-nr]],'data Chauffeur'!A:F,2,FALSE)</f>
        <v>Odaci</v>
      </c>
      <c r="D17" s="29" t="str">
        <f>VLOOKUP(Tabel3[[#This Row],[P-nr]],'data Chauffeur'!A:F,3,FALSE)</f>
        <v>Kadir</v>
      </c>
      <c r="E17" s="29" t="str">
        <f>CONCATENATE(Tabel3[[#This Row],[P-nr]]," ",Tabel3[[#This Row],[Naam]]," ",Tabel3[[#This Row],[Voornaam]])</f>
        <v>19249 Odaci Kadir</v>
      </c>
      <c r="F17" s="29" t="e">
        <f>VLOOKUP(Tabel3[[#This Row],[P-nr]],'data Chauffeur'!A:F,6)</f>
        <v>#N/A</v>
      </c>
      <c r="G17" s="29" t="str">
        <f>VLOOKUP(Tabel3[[#This Row],[P-nr]],'data Chauffeur'!A:F,4,FALSE)</f>
        <v>Lucie Vande Velde</v>
      </c>
      <c r="H17" s="23" t="str">
        <f>VLOOKUP(Tabel3[[#This Row],[P-nr]],'data Chauffeur'!A:F,5,FALSE)</f>
        <v>MV12</v>
      </c>
      <c r="I17" s="26"/>
      <c r="J17" s="25"/>
      <c r="K17" s="29" t="s">
        <v>52</v>
      </c>
      <c r="L17" s="38">
        <v>45743</v>
      </c>
      <c r="M17" s="29" t="s">
        <v>72</v>
      </c>
      <c r="N17" s="23" t="s">
        <v>38</v>
      </c>
      <c r="O17" s="23" t="s">
        <v>75</v>
      </c>
      <c r="P17" s="23" t="s">
        <v>69</v>
      </c>
      <c r="Q17" s="23"/>
      <c r="R17" s="23" t="s">
        <v>70</v>
      </c>
    </row>
    <row r="18" spans="1:18" ht="15.75" x14ac:dyDescent="0.3">
      <c r="A18" s="23"/>
      <c r="B18" s="47">
        <v>33982</v>
      </c>
      <c r="C18" s="29" t="str">
        <f>VLOOKUP(Tabel3[[#This Row],[P-nr]],'data Chauffeur'!A:F,2,FALSE)</f>
        <v>Hoffelinck</v>
      </c>
      <c r="D18" s="29" t="str">
        <f>VLOOKUP(Tabel3[[#This Row],[P-nr]],'data Chauffeur'!A:F,3,FALSE)</f>
        <v>Thomas</v>
      </c>
      <c r="E18" s="29" t="str">
        <f>CONCATENATE(Tabel3[[#This Row],[P-nr]]," ",Tabel3[[#This Row],[Naam]]," ",Tabel3[[#This Row],[Voornaam]])</f>
        <v>33982 Hoffelinck Thomas</v>
      </c>
      <c r="F18" s="29" t="str">
        <f>VLOOKUP(Tabel3[[#This Row],[P-nr]],'data Chauffeur'!A:F,6)</f>
        <v>Gent stad</v>
      </c>
      <c r="G18" s="29" t="str">
        <f>VLOOKUP(Tabel3[[#This Row],[P-nr]],'data Chauffeur'!A:F,4,FALSE)</f>
        <v>Els Dewulf</v>
      </c>
      <c r="H18" s="23" t="str">
        <f>VLOOKUP(Tabel3[[#This Row],[P-nr]],'data Chauffeur'!A:F,5,FALSE)</f>
        <v>TO15</v>
      </c>
      <c r="I18" s="26"/>
      <c r="J18" s="25" t="s">
        <v>66</v>
      </c>
      <c r="K18" s="29" t="s">
        <v>82</v>
      </c>
      <c r="L18" s="38">
        <v>45743</v>
      </c>
      <c r="M18" s="29" t="s">
        <v>83</v>
      </c>
      <c r="N18" s="23"/>
      <c r="O18" s="23" t="s">
        <v>75</v>
      </c>
      <c r="P18" s="23"/>
      <c r="Q18" s="23"/>
      <c r="R18" s="23" t="s">
        <v>70</v>
      </c>
    </row>
    <row r="19" spans="1:18" ht="31.5" x14ac:dyDescent="0.3">
      <c r="A19" s="23"/>
      <c r="B19" s="47">
        <v>33982</v>
      </c>
      <c r="C19" s="29" t="str">
        <f>VLOOKUP(Tabel3[[#This Row],[P-nr]],'data Chauffeur'!A:F,2,FALSE)</f>
        <v>Hoffelinck</v>
      </c>
      <c r="D19" s="29" t="str">
        <f>VLOOKUP(Tabel3[[#This Row],[P-nr]],'data Chauffeur'!A:F,3,FALSE)</f>
        <v>Thomas</v>
      </c>
      <c r="E19" s="29" t="str">
        <f>CONCATENATE(Tabel3[[#This Row],[P-nr]]," ",Tabel3[[#This Row],[Naam]]," ",Tabel3[[#This Row],[Voornaam]])</f>
        <v>33982 Hoffelinck Thomas</v>
      </c>
      <c r="F19" s="29" t="str">
        <f>VLOOKUP(Tabel3[[#This Row],[P-nr]],'data Chauffeur'!A:F,6)</f>
        <v>Gent stad</v>
      </c>
      <c r="G19" s="29" t="str">
        <f>VLOOKUP(Tabel3[[#This Row],[P-nr]],'data Chauffeur'!A:F,4,FALSE)</f>
        <v>Els Dewulf</v>
      </c>
      <c r="H19" s="23" t="str">
        <f>VLOOKUP(Tabel3[[#This Row],[P-nr]],'data Chauffeur'!A:F,5,FALSE)</f>
        <v>TO15</v>
      </c>
      <c r="I19" s="26" t="s">
        <v>84</v>
      </c>
      <c r="J19" s="25" t="s">
        <v>66</v>
      </c>
      <c r="K19" s="29" t="s">
        <v>82</v>
      </c>
      <c r="L19" s="38">
        <v>45743</v>
      </c>
      <c r="M19" s="29" t="s">
        <v>72</v>
      </c>
      <c r="N19" s="23" t="s">
        <v>85</v>
      </c>
      <c r="O19" s="23" t="s">
        <v>73</v>
      </c>
      <c r="P19" s="23"/>
      <c r="Q19" s="23"/>
      <c r="R19" s="23" t="s">
        <v>70</v>
      </c>
    </row>
    <row r="20" spans="1:18" ht="31.5" x14ac:dyDescent="0.3">
      <c r="A20" s="23"/>
      <c r="B20" s="47">
        <v>27711</v>
      </c>
      <c r="C20" s="29" t="str">
        <f>VLOOKUP(Tabel3[[#This Row],[P-nr]],'data Chauffeur'!A:F,2,FALSE)</f>
        <v>De Schenkel</v>
      </c>
      <c r="D20" s="29" t="str">
        <f>VLOOKUP(Tabel3[[#This Row],[P-nr]],'data Chauffeur'!A:F,3,FALSE)</f>
        <v>David</v>
      </c>
      <c r="E20" s="29" t="str">
        <f>CONCATENATE(Tabel3[[#This Row],[P-nr]]," ",Tabel3[[#This Row],[Naam]]," ",Tabel3[[#This Row],[Voornaam]])</f>
        <v>27711 De Schenkel David</v>
      </c>
      <c r="F20" s="29" t="str">
        <f>VLOOKUP(Tabel3[[#This Row],[P-nr]],'data Chauffeur'!A:F,6)</f>
        <v>Gent stad</v>
      </c>
      <c r="G20" s="29" t="str">
        <f>VLOOKUP(Tabel3[[#This Row],[P-nr]],'data Chauffeur'!A:F,4,FALSE)</f>
        <v>Christoff Rotty</v>
      </c>
      <c r="H20" s="23" t="str">
        <f>VLOOKUP(Tabel3[[#This Row],[P-nr]],'data Chauffeur'!A:F,5,FALSE)</f>
        <v>TR15</v>
      </c>
      <c r="I20" s="26" t="s">
        <v>86</v>
      </c>
      <c r="J20" s="25" t="s">
        <v>66</v>
      </c>
      <c r="K20" s="29" t="s">
        <v>82</v>
      </c>
      <c r="L20" s="38">
        <v>45743</v>
      </c>
      <c r="M20" s="29" t="s">
        <v>72</v>
      </c>
      <c r="N20" s="23"/>
      <c r="O20" s="23" t="s">
        <v>75</v>
      </c>
      <c r="P20" s="23"/>
      <c r="Q20" s="23"/>
      <c r="R20" s="23" t="s">
        <v>70</v>
      </c>
    </row>
    <row r="21" spans="1:18" ht="15.75" x14ac:dyDescent="0.3">
      <c r="A21" s="23"/>
      <c r="B21" s="47">
        <v>36626</v>
      </c>
      <c r="C21" s="29" t="str">
        <f>VLOOKUP(Tabel3[[#This Row],[P-nr]],'data Chauffeur'!A:F,2,FALSE)</f>
        <v>Kartal</v>
      </c>
      <c r="D21" s="29" t="str">
        <f>VLOOKUP(Tabel3[[#This Row],[P-nr]],'data Chauffeur'!A:F,3,FALSE)</f>
        <v>Kadir</v>
      </c>
      <c r="E21" s="29" t="str">
        <f>CONCATENATE(Tabel3[[#This Row],[P-nr]]," ",Tabel3[[#This Row],[Naam]]," ",Tabel3[[#This Row],[Voornaam]])</f>
        <v>36626 Kartal Kadir</v>
      </c>
      <c r="F21" s="29" t="str">
        <f>VLOOKUP(Tabel3[[#This Row],[P-nr]],'data Chauffeur'!A:F,6)</f>
        <v>Gent stad</v>
      </c>
      <c r="G21" s="29" t="str">
        <f>VLOOKUP(Tabel3[[#This Row],[P-nr]],'data Chauffeur'!A:F,4,FALSE)</f>
        <v>Els Dewulf</v>
      </c>
      <c r="H21" s="23" t="str">
        <f>VLOOKUP(Tabel3[[#This Row],[P-nr]],'data Chauffeur'!A:F,5,FALSE)</f>
        <v>BR15</v>
      </c>
      <c r="I21" s="26" t="s">
        <v>46</v>
      </c>
      <c r="J21" s="25" t="s">
        <v>71</v>
      </c>
      <c r="K21" s="29" t="s">
        <v>52</v>
      </c>
      <c r="L21" s="38">
        <v>45744</v>
      </c>
      <c r="M21" s="29" t="s">
        <v>87</v>
      </c>
      <c r="N21" s="23" t="s">
        <v>88</v>
      </c>
      <c r="O21" s="23" t="s">
        <v>75</v>
      </c>
      <c r="P21" s="23" t="s">
        <v>69</v>
      </c>
      <c r="Q21" s="23"/>
      <c r="R21" s="23" t="s">
        <v>70</v>
      </c>
    </row>
    <row r="22" spans="1:18" ht="15.75" x14ac:dyDescent="0.3">
      <c r="A22" s="23"/>
      <c r="B22" s="47">
        <v>39660</v>
      </c>
      <c r="C22" s="29" t="str">
        <f>VLOOKUP(Tabel3[[#This Row],[P-nr]],'data Chauffeur'!A:F,2,FALSE)</f>
        <v>Lloyd</v>
      </c>
      <c r="D22" s="29" t="str">
        <f>VLOOKUP(Tabel3[[#This Row],[P-nr]],'data Chauffeur'!A:F,3,FALSE)</f>
        <v>Glenn</v>
      </c>
      <c r="E22" s="29" t="str">
        <f>CONCATENATE(Tabel3[[#This Row],[P-nr]]," ",Tabel3[[#This Row],[Naam]]," ",Tabel3[[#This Row],[Voornaam]])</f>
        <v>39660 Lloyd Glenn</v>
      </c>
      <c r="F22" s="29" t="str">
        <f>VLOOKUP(Tabel3[[#This Row],[P-nr]],'data Chauffeur'!A:F,6)</f>
        <v>Gent stad</v>
      </c>
      <c r="G22" s="29" t="str">
        <f>VLOOKUP(Tabel3[[#This Row],[P-nr]],'data Chauffeur'!A:F,4,FALSE)</f>
        <v>Bart Van Der Beken</v>
      </c>
      <c r="H22" s="23" t="str">
        <f>VLOOKUP(Tabel3[[#This Row],[P-nr]],'data Chauffeur'!A:F,5,FALSE)</f>
        <v>RESF</v>
      </c>
      <c r="I22" s="26" t="s">
        <v>46</v>
      </c>
      <c r="J22" s="25" t="s">
        <v>71</v>
      </c>
      <c r="K22" s="50" t="s">
        <v>52</v>
      </c>
      <c r="L22" s="38">
        <v>45744</v>
      </c>
      <c r="M22" s="29" t="s">
        <v>72</v>
      </c>
      <c r="N22" s="23" t="s">
        <v>38</v>
      </c>
      <c r="O22" s="23" t="s">
        <v>75</v>
      </c>
      <c r="P22" s="23" t="s">
        <v>69</v>
      </c>
      <c r="Q22" s="23"/>
      <c r="R22" s="23" t="s">
        <v>70</v>
      </c>
    </row>
    <row r="23" spans="1:18" ht="15.75" x14ac:dyDescent="0.3">
      <c r="A23" s="23"/>
      <c r="B23" s="47">
        <v>38938</v>
      </c>
      <c r="C23" s="29" t="str">
        <f>VLOOKUP(Tabel3[[#This Row],[P-nr]],'data Chauffeur'!A:F,2,FALSE)</f>
        <v>Sedighi</v>
      </c>
      <c r="D23" s="29" t="str">
        <f>VLOOKUP(Tabel3[[#This Row],[P-nr]],'data Chauffeur'!A:F,3,FALSE)</f>
        <v>Hamid</v>
      </c>
      <c r="E23" s="29" t="str">
        <f>CONCATENATE(Tabel3[[#This Row],[P-nr]]," ",Tabel3[[#This Row],[Naam]]," ",Tabel3[[#This Row],[Voornaam]])</f>
        <v>38938 Sedighi Hamid</v>
      </c>
      <c r="F23" s="29" t="str">
        <f>VLOOKUP(Tabel3[[#This Row],[P-nr]],'data Chauffeur'!A:F,6)</f>
        <v>Gent stad</v>
      </c>
      <c r="G23" s="29" t="str">
        <f>VLOOKUP(Tabel3[[#This Row],[P-nr]],'data Chauffeur'!A:F,4,FALSE)</f>
        <v>Lucie Vande Velde</v>
      </c>
      <c r="H23" s="23" t="str">
        <f>VLOOKUP(Tabel3[[#This Row],[P-nr]],'data Chauffeur'!A:F,5,FALSE)</f>
        <v>RESF</v>
      </c>
      <c r="I23" s="26"/>
      <c r="J23" s="25" t="s">
        <v>71</v>
      </c>
      <c r="K23" s="30" t="s">
        <v>52</v>
      </c>
      <c r="L23" s="38">
        <v>45744</v>
      </c>
      <c r="M23" s="29" t="s">
        <v>72</v>
      </c>
      <c r="N23" s="23" t="s">
        <v>38</v>
      </c>
      <c r="O23" s="23" t="s">
        <v>75</v>
      </c>
      <c r="P23" s="23" t="s">
        <v>69</v>
      </c>
      <c r="Q23" s="23"/>
      <c r="R23" s="23" t="s">
        <v>70</v>
      </c>
    </row>
    <row r="24" spans="1:18" ht="15.75" x14ac:dyDescent="0.3">
      <c r="A24" s="23"/>
      <c r="B24" s="47">
        <v>40645</v>
      </c>
      <c r="C24" s="29" t="str">
        <f>VLOOKUP(Tabel3[[#This Row],[P-nr]],'data Chauffeur'!A:F,2,FALSE)</f>
        <v>Bytebier</v>
      </c>
      <c r="D24" s="29" t="str">
        <f>VLOOKUP(Tabel3[[#This Row],[P-nr]],'data Chauffeur'!A:F,3,FALSE)</f>
        <v>Jason</v>
      </c>
      <c r="E24" s="29" t="str">
        <f>CONCATENATE(Tabel3[[#This Row],[P-nr]]," ",Tabel3[[#This Row],[Naam]]," ",Tabel3[[#This Row],[Voornaam]])</f>
        <v>40645 Bytebier Jason</v>
      </c>
      <c r="F24" s="29" t="str">
        <f>VLOOKUP(Tabel3[[#This Row],[P-nr]],'data Chauffeur'!A:F,6)</f>
        <v>Gent stad</v>
      </c>
      <c r="G24" s="29" t="str">
        <f>VLOOKUP(Tabel3[[#This Row],[P-nr]],'data Chauffeur'!A:F,4,FALSE)</f>
        <v>Els Dewulf</v>
      </c>
      <c r="H24" s="23" t="str">
        <f>VLOOKUP(Tabel3[[#This Row],[P-nr]],'data Chauffeur'!A:F,5,FALSE)</f>
        <v>RESF</v>
      </c>
      <c r="I24" s="26"/>
      <c r="J24" s="25" t="s">
        <v>71</v>
      </c>
      <c r="K24" s="29" t="s">
        <v>89</v>
      </c>
      <c r="L24" s="38">
        <v>45744</v>
      </c>
      <c r="M24" s="29"/>
      <c r="N24" s="23"/>
      <c r="O24" s="23" t="s">
        <v>68</v>
      </c>
      <c r="P24" s="23" t="s">
        <v>69</v>
      </c>
      <c r="Q24" s="23"/>
      <c r="R24" s="23" t="s">
        <v>70</v>
      </c>
    </row>
    <row r="25" spans="1:18" ht="43.2" x14ac:dyDescent="0.3">
      <c r="A25" s="23"/>
      <c r="B25" s="47">
        <v>40294</v>
      </c>
      <c r="C25" s="29" t="str">
        <f>VLOOKUP(Tabel3[[#This Row],[P-nr]],'data Chauffeur'!A:F,2,FALSE)</f>
        <v>Khder</v>
      </c>
      <c r="D25" s="29" t="str">
        <f>VLOOKUP(Tabel3[[#This Row],[P-nr]],'data Chauffeur'!A:F,3,FALSE)</f>
        <v>Aram</v>
      </c>
      <c r="E25" s="29" t="str">
        <f>CONCATENATE(Tabel3[[#This Row],[P-nr]]," ",Tabel3[[#This Row],[Naam]]," ",Tabel3[[#This Row],[Voornaam]])</f>
        <v>40294 Khder Aram</v>
      </c>
      <c r="F25" s="29" t="str">
        <f>VLOOKUP(Tabel3[[#This Row],[P-nr]],'data Chauffeur'!A:F,6)</f>
        <v>Gent stad</v>
      </c>
      <c r="G25" s="29" t="str">
        <f>VLOOKUP(Tabel3[[#This Row],[P-nr]],'data Chauffeur'!A:F,4,FALSE)</f>
        <v>Christoff Rotty</v>
      </c>
      <c r="H25" s="23" t="str">
        <f>VLOOKUP(Tabel3[[#This Row],[P-nr]],'data Chauffeur'!A:F,5,FALSE)</f>
        <v>RESF</v>
      </c>
      <c r="I25" s="27" t="s">
        <v>90</v>
      </c>
      <c r="J25" s="25" t="s">
        <v>71</v>
      </c>
      <c r="K25" s="29" t="s">
        <v>89</v>
      </c>
      <c r="L25" s="38">
        <v>45744</v>
      </c>
      <c r="M25" s="29" t="s">
        <v>91</v>
      </c>
      <c r="N25" s="23" t="s">
        <v>81</v>
      </c>
      <c r="O25" s="23" t="s">
        <v>73</v>
      </c>
      <c r="P25" s="23" t="s">
        <v>23</v>
      </c>
      <c r="Q25" s="23"/>
      <c r="R25" s="23" t="s">
        <v>70</v>
      </c>
    </row>
    <row r="26" spans="1:18" ht="15.6" x14ac:dyDescent="0.3">
      <c r="A26" s="23"/>
      <c r="B26" s="47">
        <v>28717</v>
      </c>
      <c r="C26" s="29" t="str">
        <f>VLOOKUP(Tabel3[[#This Row],[P-nr]],'data Chauffeur'!A:F,2,FALSE)</f>
        <v>Dejonckheere</v>
      </c>
      <c r="D26" s="29" t="str">
        <f>VLOOKUP(Tabel3[[#This Row],[P-nr]],'data Chauffeur'!A:F,3,FALSE)</f>
        <v>Els</v>
      </c>
      <c r="E26" s="29" t="str">
        <f>CONCATENATE(Tabel3[[#This Row],[P-nr]]," ",Tabel3[[#This Row],[Naam]]," ",Tabel3[[#This Row],[Voornaam]])</f>
        <v>28717 Dejonckheere Els</v>
      </c>
      <c r="F26" s="29" t="str">
        <f>VLOOKUP(Tabel3[[#This Row],[P-nr]],'data Chauffeur'!A:F,6)</f>
        <v>Gent stad</v>
      </c>
      <c r="G26" s="29" t="str">
        <f>VLOOKUP(Tabel3[[#This Row],[P-nr]],'data Chauffeur'!A:F,4,FALSE)</f>
        <v>Lucie Vande Velde</v>
      </c>
      <c r="H26" s="23" t="str">
        <f>VLOOKUP(Tabel3[[#This Row],[P-nr]],'data Chauffeur'!A:F,5,FALSE)</f>
        <v>GW10</v>
      </c>
      <c r="I26" s="26"/>
      <c r="J26" s="25" t="s">
        <v>71</v>
      </c>
      <c r="K26" s="29" t="s">
        <v>52</v>
      </c>
      <c r="L26" s="38">
        <v>45749</v>
      </c>
      <c r="M26" s="29" t="s">
        <v>72</v>
      </c>
      <c r="N26" s="23" t="s">
        <v>38</v>
      </c>
      <c r="O26" s="23" t="s">
        <v>75</v>
      </c>
      <c r="P26" s="23" t="s">
        <v>69</v>
      </c>
      <c r="Q26" s="23"/>
      <c r="R26" s="23" t="s">
        <v>70</v>
      </c>
    </row>
    <row r="27" spans="1:18" ht="15.6" x14ac:dyDescent="0.3">
      <c r="A27" s="23"/>
      <c r="B27" s="47">
        <v>33986</v>
      </c>
      <c r="C27" s="29" t="str">
        <f>VLOOKUP(Tabel3[[#This Row],[P-nr]],'data Chauffeur'!A:F,2,FALSE)</f>
        <v>Göktas</v>
      </c>
      <c r="D27" s="29" t="str">
        <f>VLOOKUP(Tabel3[[#This Row],[P-nr]],'data Chauffeur'!A:F,3,FALSE)</f>
        <v>Muharrem</v>
      </c>
      <c r="E27" s="29" t="str">
        <f>CONCATENATE(Tabel3[[#This Row],[P-nr]]," ",Tabel3[[#This Row],[Naam]]," ",Tabel3[[#This Row],[Voornaam]])</f>
        <v>33986 Göktas Muharrem</v>
      </c>
      <c r="F27" s="29" t="str">
        <f>VLOOKUP(Tabel3[[#This Row],[P-nr]],'data Chauffeur'!A:F,6)</f>
        <v>Gent stad</v>
      </c>
      <c r="G27" s="29" t="str">
        <f>VLOOKUP(Tabel3[[#This Row],[P-nr]],'data Chauffeur'!A:F,4,FALSE)</f>
        <v>Kenneth De Rick</v>
      </c>
      <c r="H27" s="23" t="str">
        <f>VLOOKUP(Tabel3[[#This Row],[P-nr]],'data Chauffeur'!A:F,5,FALSE)</f>
        <v>GW10</v>
      </c>
      <c r="I27" s="24" t="s">
        <v>92</v>
      </c>
      <c r="J27" s="25" t="s">
        <v>71</v>
      </c>
      <c r="K27" s="29" t="s">
        <v>47</v>
      </c>
      <c r="L27" s="38">
        <v>45749</v>
      </c>
      <c r="M27" s="29" t="s">
        <v>72</v>
      </c>
      <c r="N27" s="23" t="s">
        <v>74</v>
      </c>
      <c r="O27" s="23" t="s">
        <v>73</v>
      </c>
      <c r="P27" s="23" t="s">
        <v>23</v>
      </c>
      <c r="Q27" s="23"/>
      <c r="R27" s="23" t="s">
        <v>70</v>
      </c>
    </row>
    <row r="28" spans="1:18" ht="15.6" x14ac:dyDescent="0.3">
      <c r="A28" s="23"/>
      <c r="B28" s="47">
        <v>41091</v>
      </c>
      <c r="C28" s="29" t="str">
        <f>VLOOKUP(Tabel3[[#This Row],[P-nr]],'data Chauffeur'!A:F,2,FALSE)</f>
        <v>Yavas</v>
      </c>
      <c r="D28" s="29" t="str">
        <f>VLOOKUP(Tabel3[[#This Row],[P-nr]],'data Chauffeur'!A:F,3,FALSE)</f>
        <v>Talha</v>
      </c>
      <c r="E28" s="29" t="str">
        <f>CONCATENATE(Tabel3[[#This Row],[P-nr]]," ",Tabel3[[#This Row],[Naam]]," ",Tabel3[[#This Row],[Voornaam]])</f>
        <v>41091 Yavas Talha</v>
      </c>
      <c r="F28" s="29" t="str">
        <f>VLOOKUP(Tabel3[[#This Row],[P-nr]],'data Chauffeur'!A:F,6)</f>
        <v>Gent stad</v>
      </c>
      <c r="G28" s="29" t="str">
        <f>VLOOKUP(Tabel3[[#This Row],[P-nr]],'data Chauffeur'!A:F,4,FALSE)</f>
        <v>Dominique De Clercq</v>
      </c>
      <c r="H28" s="23" t="str">
        <f>VLOOKUP(Tabel3[[#This Row],[P-nr]],'data Chauffeur'!A:F,5,FALSE)</f>
        <v>RESF</v>
      </c>
      <c r="I28" s="26" t="s">
        <v>34</v>
      </c>
      <c r="J28" s="25" t="s">
        <v>71</v>
      </c>
      <c r="K28" s="29" t="s">
        <v>52</v>
      </c>
      <c r="L28" s="38">
        <v>45749</v>
      </c>
      <c r="M28" s="29" t="s">
        <v>88</v>
      </c>
      <c r="N28" s="23"/>
      <c r="O28" s="23" t="s">
        <v>75</v>
      </c>
      <c r="P28" s="23" t="s">
        <v>69</v>
      </c>
      <c r="Q28" s="23"/>
      <c r="R28" s="23" t="s">
        <v>70</v>
      </c>
    </row>
    <row r="29" spans="1:18" ht="15.6" x14ac:dyDescent="0.3">
      <c r="A29" s="23"/>
      <c r="B29" s="47">
        <v>35450</v>
      </c>
      <c r="C29" s="29" t="str">
        <f>VLOOKUP(Tabel3[[#This Row],[P-nr]],'data Chauffeur'!A:F,2,FALSE)</f>
        <v>Roos</v>
      </c>
      <c r="D29" s="29" t="str">
        <f>VLOOKUP(Tabel3[[#This Row],[P-nr]],'data Chauffeur'!A:F,3,FALSE)</f>
        <v>Hugo</v>
      </c>
      <c r="E29" s="29" t="str">
        <f>CONCATENATE(Tabel3[[#This Row],[P-nr]]," ",Tabel3[[#This Row],[Naam]]," ",Tabel3[[#This Row],[Voornaam]])</f>
        <v>35450 Roos Hugo</v>
      </c>
      <c r="F29" s="29" t="str">
        <f>VLOOKUP(Tabel3[[#This Row],[P-nr]],'data Chauffeur'!A:F,6)</f>
        <v>Gent stad</v>
      </c>
      <c r="G29" s="29" t="str">
        <f>VLOOKUP(Tabel3[[#This Row],[P-nr]],'data Chauffeur'!A:F,4,FALSE)</f>
        <v>Els Dewulf</v>
      </c>
      <c r="H29" s="23" t="str">
        <f>VLOOKUP(Tabel3[[#This Row],[P-nr]],'data Chauffeur'!A:F,5,FALSE)</f>
        <v>BR15</v>
      </c>
      <c r="I29" s="26"/>
      <c r="J29" s="25" t="s">
        <v>71</v>
      </c>
      <c r="K29" s="29" t="s">
        <v>93</v>
      </c>
      <c r="L29" s="38">
        <v>45749</v>
      </c>
      <c r="M29" s="29"/>
      <c r="N29" s="23"/>
      <c r="O29" s="23" t="s">
        <v>75</v>
      </c>
      <c r="P29" s="23"/>
      <c r="Q29" s="23"/>
      <c r="R29" s="23" t="s">
        <v>70</v>
      </c>
    </row>
    <row r="30" spans="1:18" ht="15.6" x14ac:dyDescent="0.3">
      <c r="A30" s="23"/>
      <c r="B30" s="47">
        <v>27153</v>
      </c>
      <c r="C30" s="29" t="str">
        <f>VLOOKUP(Tabel3[[#This Row],[P-nr]],'data Chauffeur'!A:F,2,FALSE)</f>
        <v>Oben</v>
      </c>
      <c r="D30" s="29" t="str">
        <f>VLOOKUP(Tabel3[[#This Row],[P-nr]],'data Chauffeur'!A:F,3,FALSE)</f>
        <v>Thibaud</v>
      </c>
      <c r="E30" s="29" t="str">
        <f>CONCATENATE(Tabel3[[#This Row],[P-nr]]," ",Tabel3[[#This Row],[Naam]]," ",Tabel3[[#This Row],[Voornaam]])</f>
        <v>27153 Oben Thibaud</v>
      </c>
      <c r="F30" s="29" t="str">
        <f>VLOOKUP(Tabel3[[#This Row],[P-nr]],'data Chauffeur'!A:F,6)</f>
        <v>Gent stad</v>
      </c>
      <c r="G30" s="29" t="str">
        <f>VLOOKUP(Tabel3[[#This Row],[P-nr]],'data Chauffeur'!A:F,4,FALSE)</f>
        <v>Christoff Rotty</v>
      </c>
      <c r="H30" s="23" t="str">
        <f>VLOOKUP(Tabel3[[#This Row],[P-nr]],'data Chauffeur'!A:F,5,FALSE)</f>
        <v>GW09</v>
      </c>
      <c r="I30" s="26"/>
      <c r="J30" s="25" t="s">
        <v>71</v>
      </c>
      <c r="K30" s="29" t="s">
        <v>93</v>
      </c>
      <c r="L30" s="38">
        <v>45749</v>
      </c>
      <c r="M30" s="29"/>
      <c r="N30" s="23"/>
      <c r="O30" s="23" t="s">
        <v>75</v>
      </c>
      <c r="P30" s="23"/>
      <c r="Q30" s="23"/>
      <c r="R30" s="23" t="s">
        <v>70</v>
      </c>
    </row>
    <row r="31" spans="1:18" ht="15.6" x14ac:dyDescent="0.3">
      <c r="A31" s="23"/>
      <c r="B31" s="47">
        <v>41348</v>
      </c>
      <c r="C31" s="29" t="str">
        <f>VLOOKUP(Tabel3[[#This Row],[P-nr]],'data Chauffeur'!A:F,2,FALSE)</f>
        <v>Van Huffel</v>
      </c>
      <c r="D31" s="29" t="str">
        <f>VLOOKUP(Tabel3[[#This Row],[P-nr]],'data Chauffeur'!A:F,3,FALSE)</f>
        <v>Tim</v>
      </c>
      <c r="E31" s="29" t="str">
        <f>CONCATENATE(Tabel3[[#This Row],[P-nr]]," ",Tabel3[[#This Row],[Naam]]," ",Tabel3[[#This Row],[Voornaam]])</f>
        <v>41348 Van Huffel Tim</v>
      </c>
      <c r="F31" s="29" t="str">
        <f>VLOOKUP(Tabel3[[#This Row],[P-nr]],'data Chauffeur'!A:F,6)</f>
        <v>Gent stad</v>
      </c>
      <c r="G31" s="29" t="str">
        <f>VLOOKUP(Tabel3[[#This Row],[P-nr]],'data Chauffeur'!A:F,4,FALSE)</f>
        <v>Christoff Rotty</v>
      </c>
      <c r="H31" s="23" t="str">
        <f>VLOOKUP(Tabel3[[#This Row],[P-nr]],'data Chauffeur'!A:F,5,FALSE)</f>
        <v>RESF</v>
      </c>
      <c r="I31" s="26" t="s">
        <v>38</v>
      </c>
      <c r="J31" s="25" t="s">
        <v>71</v>
      </c>
      <c r="K31" s="29" t="s">
        <v>94</v>
      </c>
      <c r="L31" s="38">
        <v>45749</v>
      </c>
      <c r="M31" s="29"/>
      <c r="N31" s="23"/>
      <c r="O31" s="23" t="s">
        <v>79</v>
      </c>
      <c r="P31" s="23" t="s">
        <v>23</v>
      </c>
      <c r="Q31" s="23" t="s">
        <v>95</v>
      </c>
      <c r="R31" s="23" t="s">
        <v>70</v>
      </c>
    </row>
    <row r="32" spans="1:18" ht="15.6" x14ac:dyDescent="0.3">
      <c r="A32" s="18"/>
      <c r="B32" s="48">
        <v>41246</v>
      </c>
      <c r="C32" s="30" t="str">
        <f>VLOOKUP(Tabel3[[#This Row],[P-nr]],'data Chauffeur'!A:F,2,FALSE)</f>
        <v>Van Holsbeeck</v>
      </c>
      <c r="D32" s="30" t="str">
        <f>VLOOKUP(Tabel3[[#This Row],[P-nr]],'data Chauffeur'!A:F,3,FALSE)</f>
        <v>Yana</v>
      </c>
      <c r="E32" s="30" t="str">
        <f>CONCATENATE(Tabel3[[#This Row],[P-nr]]," ",Tabel3[[#This Row],[Naam]]," ",Tabel3[[#This Row],[Voornaam]])</f>
        <v>41246 Van Holsbeeck Yana</v>
      </c>
      <c r="F32" s="30" t="str">
        <f>VLOOKUP(Tabel3[[#This Row],[P-nr]],'data Chauffeur'!A:F,6)</f>
        <v>Gent stad</v>
      </c>
      <c r="G32" s="30" t="str">
        <f>VLOOKUP(Tabel3[[#This Row],[P-nr]],'data Chauffeur'!A:F,4,FALSE)</f>
        <v>Dominique De Clercq</v>
      </c>
      <c r="H32" t="str">
        <f>VLOOKUP(Tabel3[[#This Row],[P-nr]],'data Chauffeur'!A:F,5,FALSE)</f>
        <v>RESF</v>
      </c>
      <c r="I32" s="16" t="s">
        <v>34</v>
      </c>
      <c r="J32" s="8" t="s">
        <v>71</v>
      </c>
      <c r="K32" s="30" t="s">
        <v>47</v>
      </c>
      <c r="L32" s="37">
        <v>45749</v>
      </c>
      <c r="M32" s="30" t="s">
        <v>96</v>
      </c>
      <c r="O32" t="s">
        <v>75</v>
      </c>
      <c r="P32" t="s">
        <v>69</v>
      </c>
      <c r="R32" s="23" t="s">
        <v>70</v>
      </c>
    </row>
    <row r="33" spans="1:18" ht="15.6" x14ac:dyDescent="0.3">
      <c r="A33" s="23"/>
      <c r="B33" s="47">
        <v>39581</v>
      </c>
      <c r="C33" s="29" t="str">
        <f>VLOOKUP(Tabel3[[#This Row],[P-nr]],'data Chauffeur'!A:F,2,FALSE)</f>
        <v>Vandenhaute</v>
      </c>
      <c r="D33" s="29" t="str">
        <f>VLOOKUP(Tabel3[[#This Row],[P-nr]],'data Chauffeur'!A:F,3,FALSE)</f>
        <v>Linus</v>
      </c>
      <c r="E33" s="29" t="str">
        <f>CONCATENATE(Tabel3[[#This Row],[P-nr]]," ",Tabel3[[#This Row],[Naam]]," ",Tabel3[[#This Row],[Voornaam]])</f>
        <v>39581 Vandenhaute Linus</v>
      </c>
      <c r="F33" s="29" t="str">
        <f>VLOOKUP(Tabel3[[#This Row],[P-nr]],'data Chauffeur'!A:F,6)</f>
        <v>Gent stad</v>
      </c>
      <c r="G33" s="29" t="str">
        <f>VLOOKUP(Tabel3[[#This Row],[P-nr]],'data Chauffeur'!A:F,4,FALSE)</f>
        <v>Els Dewulf</v>
      </c>
      <c r="H33" s="23" t="str">
        <f>VLOOKUP(Tabel3[[#This Row],[P-nr]],'data Chauffeur'!A:F,5,FALSE)</f>
        <v>BR15</v>
      </c>
      <c r="I33" s="24"/>
      <c r="J33" s="25" t="s">
        <v>71</v>
      </c>
      <c r="K33" s="29" t="s">
        <v>94</v>
      </c>
      <c r="L33" s="38">
        <v>45755</v>
      </c>
      <c r="M33" s="29"/>
      <c r="N33" s="23"/>
      <c r="O33" s="23" t="s">
        <v>68</v>
      </c>
      <c r="P33" s="23"/>
      <c r="Q33" s="23"/>
      <c r="R33" s="23" t="s">
        <v>70</v>
      </c>
    </row>
    <row r="34" spans="1:18" ht="15.6" x14ac:dyDescent="0.3">
      <c r="A34" s="23"/>
      <c r="B34" s="47">
        <v>38580</v>
      </c>
      <c r="C34" s="29" t="str">
        <f>VLOOKUP(Tabel3[[#This Row],[P-nr]],'data Chauffeur'!A:F,2,FALSE)</f>
        <v>Smajla</v>
      </c>
      <c r="D34" s="29" t="str">
        <f>VLOOKUP(Tabel3[[#This Row],[P-nr]],'data Chauffeur'!A:F,3,FALSE)</f>
        <v>Samet</v>
      </c>
      <c r="E34" s="29" t="str">
        <f>CONCATENATE(Tabel3[[#This Row],[P-nr]]," ",Tabel3[[#This Row],[Naam]]," ",Tabel3[[#This Row],[Voornaam]])</f>
        <v>38580 Smajla Samet</v>
      </c>
      <c r="F34" s="29" t="str">
        <f>VLOOKUP(Tabel3[[#This Row],[P-nr]],'data Chauffeur'!A:F,6)</f>
        <v>Gent stad</v>
      </c>
      <c r="G34" s="29" t="str">
        <f>VLOOKUP(Tabel3[[#This Row],[P-nr]],'data Chauffeur'!A:F,4,FALSE)</f>
        <v>Els Dewulf</v>
      </c>
      <c r="H34" s="23" t="str">
        <f>VLOOKUP(Tabel3[[#This Row],[P-nr]],'data Chauffeur'!A:F,5,FALSE)</f>
        <v>RESF</v>
      </c>
      <c r="I34" s="24" t="s">
        <v>51</v>
      </c>
      <c r="J34" s="25" t="s">
        <v>71</v>
      </c>
      <c r="K34" s="29" t="s">
        <v>52</v>
      </c>
      <c r="L34" s="38">
        <v>45762</v>
      </c>
      <c r="M34" s="29"/>
      <c r="N34" s="23"/>
      <c r="O34" s="23" t="s">
        <v>75</v>
      </c>
      <c r="P34" s="23" t="s">
        <v>69</v>
      </c>
      <c r="Q34" s="23"/>
      <c r="R34" s="23" t="s">
        <v>70</v>
      </c>
    </row>
    <row r="35" spans="1:18" ht="15.6" x14ac:dyDescent="0.3">
      <c r="A35" s="23"/>
      <c r="B35" s="47">
        <v>39660</v>
      </c>
      <c r="C35" s="29" t="str">
        <f>VLOOKUP(Tabel3[[#This Row],[P-nr]],'data Chauffeur'!A:F,2,FALSE)</f>
        <v>Lloyd</v>
      </c>
      <c r="D35" s="29" t="str">
        <f>VLOOKUP(Tabel3[[#This Row],[P-nr]],'data Chauffeur'!A:F,3,FALSE)</f>
        <v>Glenn</v>
      </c>
      <c r="E35" s="29" t="str">
        <f>CONCATENATE(Tabel3[[#This Row],[P-nr]]," ",Tabel3[[#This Row],[Naam]]," ",Tabel3[[#This Row],[Voornaam]])</f>
        <v>39660 Lloyd Glenn</v>
      </c>
      <c r="F35" s="29" t="str">
        <f>VLOOKUP(Tabel3[[#This Row],[P-nr]],'data Chauffeur'!A:F,6)</f>
        <v>Gent stad</v>
      </c>
      <c r="G35" s="29" t="str">
        <f>VLOOKUP(Tabel3[[#This Row],[P-nr]],'data Chauffeur'!A:F,4,FALSE)</f>
        <v>Bart Van Der Beken</v>
      </c>
      <c r="H35" s="23" t="str">
        <f>VLOOKUP(Tabel3[[#This Row],[P-nr]],'data Chauffeur'!A:F,5,FALSE)</f>
        <v>RESF</v>
      </c>
      <c r="I35" s="25" t="s">
        <v>97</v>
      </c>
      <c r="J35" s="25" t="s">
        <v>71</v>
      </c>
      <c r="K35" s="29" t="s">
        <v>94</v>
      </c>
      <c r="L35" s="38">
        <v>45763</v>
      </c>
      <c r="M35" s="29" t="s">
        <v>72</v>
      </c>
      <c r="N35" s="23"/>
      <c r="O35" s="23" t="s">
        <v>98</v>
      </c>
      <c r="P35" s="23" t="s">
        <v>23</v>
      </c>
      <c r="Q35" s="23"/>
      <c r="R35" s="23" t="s">
        <v>70</v>
      </c>
    </row>
    <row r="36" spans="1:18" ht="15.6" x14ac:dyDescent="0.3">
      <c r="A36" s="23"/>
      <c r="B36" s="47">
        <v>40486</v>
      </c>
      <c r="C36" s="29" t="str">
        <f>VLOOKUP(Tabel3[[#This Row],[P-nr]],'data Chauffeur'!A:F,2,FALSE)</f>
        <v>De Souza</v>
      </c>
      <c r="D36" s="29" t="str">
        <f>VLOOKUP(Tabel3[[#This Row],[P-nr]],'data Chauffeur'!A:F,3,FALSE)</f>
        <v>Marcos Eduardo</v>
      </c>
      <c r="E36" s="29" t="str">
        <f>CONCATENATE(Tabel3[[#This Row],[P-nr]]," ",Tabel3[[#This Row],[Naam]]," ",Tabel3[[#This Row],[Voornaam]])</f>
        <v>40486 De Souza Marcos Eduardo</v>
      </c>
      <c r="F36" s="29" t="str">
        <f>VLOOKUP(Tabel3[[#This Row],[P-nr]],'data Chauffeur'!A:F,6)</f>
        <v>Gent stad</v>
      </c>
      <c r="G36" s="29" t="str">
        <f>VLOOKUP(Tabel3[[#This Row],[P-nr]],'data Chauffeur'!A:F,4,FALSE)</f>
        <v>Christoff Rotty</v>
      </c>
      <c r="H36" s="23" t="str">
        <f>VLOOKUP(Tabel3[[#This Row],[P-nr]],'data Chauffeur'!A:F,5,FALSE)</f>
        <v>RESF</v>
      </c>
      <c r="I36" s="24"/>
      <c r="J36" s="25" t="s">
        <v>71</v>
      </c>
      <c r="K36" s="29" t="s">
        <v>94</v>
      </c>
      <c r="L36" s="38">
        <v>45763</v>
      </c>
      <c r="M36" s="29"/>
      <c r="N36" s="23"/>
      <c r="O36" s="23" t="s">
        <v>68</v>
      </c>
      <c r="P36" s="23" t="s">
        <v>69</v>
      </c>
      <c r="Q36" s="23"/>
      <c r="R36" s="23" t="s">
        <v>70</v>
      </c>
    </row>
    <row r="37" spans="1:18" ht="15.6" x14ac:dyDescent="0.3">
      <c r="A37" s="23"/>
      <c r="B37" s="47">
        <v>39901</v>
      </c>
      <c r="C37" s="29" t="str">
        <f>VLOOKUP(Tabel3[[#This Row],[P-nr]],'data Chauffeur'!A:F,2,FALSE)</f>
        <v>Basha</v>
      </c>
      <c r="D37" s="29" t="str">
        <f>VLOOKUP(Tabel3[[#This Row],[P-nr]],'data Chauffeur'!A:F,3,FALSE)</f>
        <v>Izmir</v>
      </c>
      <c r="E37" s="29" t="str">
        <f>CONCATENATE(Tabel3[[#This Row],[P-nr]]," ",Tabel3[[#This Row],[Naam]]," ",Tabel3[[#This Row],[Voornaam]])</f>
        <v>39901 Basha Izmir</v>
      </c>
      <c r="F37" s="29" t="str">
        <f>VLOOKUP(Tabel3[[#This Row],[P-nr]],'data Chauffeur'!A:F,6)</f>
        <v>Gent stad</v>
      </c>
      <c r="G37" s="29" t="str">
        <f>VLOOKUP(Tabel3[[#This Row],[P-nr]],'data Chauffeur'!A:F,4,FALSE)</f>
        <v>Christoff Rotty</v>
      </c>
      <c r="H37" s="23" t="str">
        <f>VLOOKUP(Tabel3[[#This Row],[P-nr]],'data Chauffeur'!A:F,5,FALSE)</f>
        <v>RESF</v>
      </c>
      <c r="I37" s="24"/>
      <c r="J37" s="25"/>
      <c r="K37" s="29" t="s">
        <v>94</v>
      </c>
      <c r="L37" s="38">
        <v>45763</v>
      </c>
      <c r="M37" s="29"/>
      <c r="N37" s="23"/>
      <c r="O37" s="23" t="s">
        <v>75</v>
      </c>
      <c r="P37" s="23" t="s">
        <v>69</v>
      </c>
      <c r="Q37" s="23"/>
      <c r="R37" s="23" t="s">
        <v>70</v>
      </c>
    </row>
    <row r="38" spans="1:18" ht="15.6" x14ac:dyDescent="0.3">
      <c r="A38" s="23"/>
      <c r="B38" s="47">
        <v>11508</v>
      </c>
      <c r="C38" s="29" t="str">
        <f>VLOOKUP(Tabel3[[#This Row],[P-nr]],'data Chauffeur'!A:F,2,FALSE)</f>
        <v>Beeckman</v>
      </c>
      <c r="D38" s="29" t="str">
        <f>VLOOKUP(Tabel3[[#This Row],[P-nr]],'data Chauffeur'!A:F,3,FALSE)</f>
        <v>Nico</v>
      </c>
      <c r="E38" s="29" t="str">
        <f>CONCATENATE(Tabel3[[#This Row],[P-nr]]," ",Tabel3[[#This Row],[Naam]]," ",Tabel3[[#This Row],[Voornaam]])</f>
        <v>11508 Beeckman Nico</v>
      </c>
      <c r="F38" s="29" t="e">
        <f>VLOOKUP(Tabel3[[#This Row],[P-nr]],'data Chauffeur'!A:F,6)</f>
        <v>#N/A</v>
      </c>
      <c r="G38" s="29" t="str">
        <f>VLOOKUP(Tabel3[[#This Row],[P-nr]],'data Chauffeur'!A:F,4,FALSE)</f>
        <v>Lucie Vande Velde</v>
      </c>
      <c r="H38" s="23" t="str">
        <f>VLOOKUP(Tabel3[[#This Row],[P-nr]],'data Chauffeur'!A:F,5,FALSE)</f>
        <v>SW05</v>
      </c>
      <c r="I38" s="24"/>
      <c r="J38" s="25" t="s">
        <v>71</v>
      </c>
      <c r="K38" s="29" t="s">
        <v>94</v>
      </c>
      <c r="L38" s="38">
        <v>45763</v>
      </c>
      <c r="M38" s="29"/>
      <c r="N38" s="23"/>
      <c r="O38" s="23" t="s">
        <v>75</v>
      </c>
      <c r="P38" s="23" t="s">
        <v>69</v>
      </c>
      <c r="Q38" s="23"/>
      <c r="R38" s="23" t="s">
        <v>70</v>
      </c>
    </row>
    <row r="39" spans="1:18" ht="15.6" x14ac:dyDescent="0.3">
      <c r="A39" s="23"/>
      <c r="B39" s="47">
        <v>32169</v>
      </c>
      <c r="C39" s="29" t="str">
        <f>VLOOKUP(Tabel3[[#This Row],[P-nr]],'data Chauffeur'!A:F,2,FALSE)</f>
        <v>Kelchtermans</v>
      </c>
      <c r="D39" s="29" t="str">
        <f>VLOOKUP(Tabel3[[#This Row],[P-nr]],'data Chauffeur'!A:F,3,FALSE)</f>
        <v>Raf</v>
      </c>
      <c r="E39" s="29" t="str">
        <f>CONCATENATE(Tabel3[[#This Row],[P-nr]]," ",Tabel3[[#This Row],[Naam]]," ",Tabel3[[#This Row],[Voornaam]])</f>
        <v>32169 Kelchtermans Raf</v>
      </c>
      <c r="F39" s="29" t="str">
        <f>VLOOKUP(Tabel3[[#This Row],[P-nr]],'data Chauffeur'!A:F,6)</f>
        <v>Gent stad</v>
      </c>
      <c r="G39" s="29" t="str">
        <f>VLOOKUP(Tabel3[[#This Row],[P-nr]],'data Chauffeur'!A:F,4,FALSE)</f>
        <v>Steven Storm</v>
      </c>
      <c r="H39" s="23" t="str">
        <f>VLOOKUP(Tabel3[[#This Row],[P-nr]],'data Chauffeur'!A:F,5,FALSE)</f>
        <v>B24</v>
      </c>
      <c r="I39" s="24" t="s">
        <v>51</v>
      </c>
      <c r="J39" s="25" t="s">
        <v>71</v>
      </c>
      <c r="K39" s="29" t="s">
        <v>52</v>
      </c>
      <c r="L39" s="38">
        <v>45763</v>
      </c>
      <c r="M39" s="29"/>
      <c r="N39" s="23"/>
      <c r="O39" s="23" t="s">
        <v>75</v>
      </c>
      <c r="P39" s="23" t="s">
        <v>69</v>
      </c>
      <c r="Q39" s="23"/>
      <c r="R39" s="23" t="s">
        <v>70</v>
      </c>
    </row>
    <row r="40" spans="1:18" ht="15.6" x14ac:dyDescent="0.3">
      <c r="A40" s="23"/>
      <c r="B40" s="47">
        <v>21424</v>
      </c>
      <c r="C40" s="29" t="str">
        <f>VLOOKUP(Tabel3[[#This Row],[P-nr]],'data Chauffeur'!A:F,2,FALSE)</f>
        <v>Verstichel</v>
      </c>
      <c r="D40" s="29" t="str">
        <f>VLOOKUP(Tabel3[[#This Row],[P-nr]],'data Chauffeur'!A:F,3,FALSE)</f>
        <v>Jethro</v>
      </c>
      <c r="E40" s="29" t="str">
        <f>CONCATENATE(Tabel3[[#This Row],[P-nr]]," ",Tabel3[[#This Row],[Naam]]," ",Tabel3[[#This Row],[Voornaam]])</f>
        <v>21424 Verstichel Jethro</v>
      </c>
      <c r="F40" s="29" t="str">
        <f>VLOOKUP(Tabel3[[#This Row],[P-nr]],'data Chauffeur'!A:F,6)</f>
        <v>Gent stad</v>
      </c>
      <c r="G40" s="29" t="str">
        <f>VLOOKUP(Tabel3[[#This Row],[P-nr]],'data Chauffeur'!A:F,4,FALSE)</f>
        <v>Els Dewulf</v>
      </c>
      <c r="H40" s="23" t="str">
        <f>VLOOKUP(Tabel3[[#This Row],[P-nr]],'data Chauffeur'!A:F,5,FALSE)</f>
        <v>MV12</v>
      </c>
      <c r="I40" s="24" t="s">
        <v>46</v>
      </c>
      <c r="J40" s="25" t="s">
        <v>71</v>
      </c>
      <c r="K40" s="29" t="s">
        <v>99</v>
      </c>
      <c r="L40" s="38">
        <v>45764</v>
      </c>
      <c r="M40" s="29"/>
      <c r="N40" s="23"/>
      <c r="O40" s="23" t="s">
        <v>68</v>
      </c>
      <c r="P40" s="23" t="s">
        <v>69</v>
      </c>
      <c r="Q40" s="23"/>
      <c r="R40" s="23" t="s">
        <v>70</v>
      </c>
    </row>
    <row r="41" spans="1:18" ht="15.6" x14ac:dyDescent="0.3">
      <c r="A41" s="23"/>
      <c r="B41" s="47">
        <v>36425</v>
      </c>
      <c r="C41" s="29" t="str">
        <f>VLOOKUP(Tabel3[[#This Row],[P-nr]],'data Chauffeur'!A:F,2,FALSE)</f>
        <v>Vandekerckhove</v>
      </c>
      <c r="D41" s="29" t="str">
        <f>VLOOKUP(Tabel3[[#This Row],[P-nr]],'data Chauffeur'!A:F,3,FALSE)</f>
        <v>Nico</v>
      </c>
      <c r="E41" s="29" t="str">
        <f>CONCATENATE(Tabel3[[#This Row],[P-nr]]," ",Tabel3[[#This Row],[Naam]]," ",Tabel3[[#This Row],[Voornaam]])</f>
        <v>36425 Vandekerckhove Nico</v>
      </c>
      <c r="F41" s="29" t="str">
        <f>VLOOKUP(Tabel3[[#This Row],[P-nr]],'data Chauffeur'!A:F,6)</f>
        <v>Gent stad</v>
      </c>
      <c r="G41" s="29" t="str">
        <f>VLOOKUP(Tabel3[[#This Row],[P-nr]],'data Chauffeur'!A:F,4,FALSE)</f>
        <v>Els Vanhoe</v>
      </c>
      <c r="H41" s="23" t="str">
        <f>VLOOKUP(Tabel3[[#This Row],[P-nr]],'data Chauffeur'!A:F,5,FALSE)</f>
        <v>B24</v>
      </c>
      <c r="I41" s="24" t="s">
        <v>34</v>
      </c>
      <c r="J41" s="25" t="s">
        <v>71</v>
      </c>
      <c r="K41" s="29" t="s">
        <v>52</v>
      </c>
      <c r="L41" s="38">
        <v>45765</v>
      </c>
      <c r="M41" s="29" t="s">
        <v>72</v>
      </c>
      <c r="N41" s="23" t="s">
        <v>74</v>
      </c>
      <c r="O41" s="23" t="s">
        <v>98</v>
      </c>
      <c r="P41" s="23" t="s">
        <v>69</v>
      </c>
      <c r="Q41" s="23"/>
      <c r="R41" s="23" t="s">
        <v>70</v>
      </c>
    </row>
    <row r="42" spans="1:18" ht="28.8" x14ac:dyDescent="0.3">
      <c r="A42" s="23"/>
      <c r="B42" s="47">
        <v>24367</v>
      </c>
      <c r="C42" s="29" t="str">
        <f>VLOOKUP(Tabel3[[#This Row],[P-nr]],'data Chauffeur'!A:F,2,FALSE)</f>
        <v>Tayefeh Arbab</v>
      </c>
      <c r="D42" s="29" t="str">
        <f>VLOOKUP(Tabel3[[#This Row],[P-nr]],'data Chauffeur'!A:F,3,FALSE)</f>
        <v>Ali</v>
      </c>
      <c r="E42" s="29" t="str">
        <f>CONCATENATE(Tabel3[[#This Row],[P-nr]]," ",Tabel3[[#This Row],[Naam]]," ",Tabel3[[#This Row],[Voornaam]])</f>
        <v>24367 Tayefeh Arbab Ali</v>
      </c>
      <c r="F42" s="29" t="str">
        <f>VLOOKUP(Tabel3[[#This Row],[P-nr]],'data Chauffeur'!A:F,6)</f>
        <v>Gent stad</v>
      </c>
      <c r="G42" s="29" t="str">
        <f>VLOOKUP(Tabel3[[#This Row],[P-nr]],'data Chauffeur'!A:F,4,FALSE)</f>
        <v>Bart Van Der Beken</v>
      </c>
      <c r="H42" s="23" t="str">
        <f>VLOOKUP(Tabel3[[#This Row],[P-nr]],'data Chauffeur'!A:F,5,FALSE)</f>
        <v>TL12</v>
      </c>
      <c r="I42" s="7" t="s">
        <v>100</v>
      </c>
      <c r="J42" s="25" t="s">
        <v>71</v>
      </c>
      <c r="K42" s="29" t="s">
        <v>52</v>
      </c>
      <c r="L42" s="38">
        <v>45770</v>
      </c>
      <c r="M42" s="29" t="s">
        <v>72</v>
      </c>
      <c r="N42" s="23" t="s">
        <v>74</v>
      </c>
      <c r="O42" s="23" t="s">
        <v>79</v>
      </c>
      <c r="P42" s="23" t="s">
        <v>69</v>
      </c>
      <c r="Q42" s="23"/>
      <c r="R42" s="23" t="s">
        <v>70</v>
      </c>
    </row>
    <row r="43" spans="1:18" ht="15.6" x14ac:dyDescent="0.3">
      <c r="A43" s="23"/>
      <c r="B43" s="47">
        <v>33639</v>
      </c>
      <c r="C43" s="29" t="str">
        <f>VLOOKUP(Tabel3[[#This Row],[P-nr]],'data Chauffeur'!A:F,2,FALSE)</f>
        <v>Van de Velde</v>
      </c>
      <c r="D43" s="29" t="str">
        <f>VLOOKUP(Tabel3[[#This Row],[P-nr]],'data Chauffeur'!A:F,3,FALSE)</f>
        <v>Valentijn</v>
      </c>
      <c r="E43" s="29" t="str">
        <f>CONCATENATE(Tabel3[[#This Row],[P-nr]]," ",Tabel3[[#This Row],[Naam]]," ",Tabel3[[#This Row],[Voornaam]])</f>
        <v>33639 Van de Velde Valentijn</v>
      </c>
      <c r="F43" s="29" t="str">
        <f>VLOOKUP(Tabel3[[#This Row],[P-nr]],'data Chauffeur'!A:F,6)</f>
        <v>Gent stad</v>
      </c>
      <c r="G43" s="29" t="str">
        <f>VLOOKUP(Tabel3[[#This Row],[P-nr]],'data Chauffeur'!A:F,4,FALSE)</f>
        <v>Lucie Vande Velde</v>
      </c>
      <c r="H43" s="23" t="str">
        <f>VLOOKUP(Tabel3[[#This Row],[P-nr]],'data Chauffeur'!A:F,5,FALSE)</f>
        <v>GW10</v>
      </c>
      <c r="I43" s="24" t="s">
        <v>51</v>
      </c>
      <c r="J43" s="25" t="s">
        <v>71</v>
      </c>
      <c r="K43" s="29" t="s">
        <v>52</v>
      </c>
      <c r="L43" s="38">
        <v>45770</v>
      </c>
      <c r="M43" s="29" t="s">
        <v>87</v>
      </c>
      <c r="N43" s="23"/>
      <c r="O43" s="23" t="s">
        <v>75</v>
      </c>
      <c r="P43" s="23" t="s">
        <v>23</v>
      </c>
      <c r="Q43" s="23"/>
      <c r="R43" s="23" t="s">
        <v>70</v>
      </c>
    </row>
    <row r="44" spans="1:18" ht="15.6" x14ac:dyDescent="0.3">
      <c r="A44" s="18"/>
      <c r="B44" s="48">
        <v>29477</v>
      </c>
      <c r="C44" s="30" t="str">
        <f>VLOOKUP(Tabel3[[#This Row],[P-nr]],'data Chauffeur'!A:F,2,FALSE)</f>
        <v>De Vuyst</v>
      </c>
      <c r="D44" s="30" t="str">
        <f>VLOOKUP(Tabel3[[#This Row],[P-nr]],'data Chauffeur'!A:F,3,FALSE)</f>
        <v>Boyke</v>
      </c>
      <c r="E44" s="30" t="str">
        <f>CONCATENATE(Tabel3[[#This Row],[P-nr]]," ",Tabel3[[#This Row],[Naam]]," ",Tabel3[[#This Row],[Voornaam]])</f>
        <v>29477 De Vuyst Boyke</v>
      </c>
      <c r="F44" s="30" t="str">
        <f>VLOOKUP(Tabel3[[#This Row],[P-nr]],'data Chauffeur'!A:F,6)</f>
        <v>Gent stad</v>
      </c>
      <c r="G44" s="30" t="str">
        <f>VLOOKUP(Tabel3[[#This Row],[P-nr]],'data Chauffeur'!A:F,4,FALSE)</f>
        <v>Lucie Vande Velde</v>
      </c>
      <c r="H44" t="str">
        <f>VLOOKUP(Tabel3[[#This Row],[P-nr]],'data Chauffeur'!A:F,5,FALSE)</f>
        <v>BD12</v>
      </c>
      <c r="I44" s="8" t="s">
        <v>51</v>
      </c>
      <c r="J44" s="8" t="s">
        <v>71</v>
      </c>
      <c r="K44" s="30" t="s">
        <v>101</v>
      </c>
      <c r="L44" s="37">
        <v>45771</v>
      </c>
      <c r="N44" t="s">
        <v>102</v>
      </c>
      <c r="O44" t="s">
        <v>75</v>
      </c>
      <c r="P44" t="s">
        <v>69</v>
      </c>
      <c r="R44" s="23" t="s">
        <v>70</v>
      </c>
    </row>
    <row r="45" spans="1:18" ht="15.6" x14ac:dyDescent="0.3">
      <c r="A45" s="18"/>
      <c r="B45" s="48">
        <v>39829</v>
      </c>
      <c r="C45" s="30" t="str">
        <f>VLOOKUP(Tabel3[[#This Row],[P-nr]],'data Chauffeur'!A:F,2,FALSE)</f>
        <v>Demirkaya</v>
      </c>
      <c r="D45" s="30" t="str">
        <f>VLOOKUP(Tabel3[[#This Row],[P-nr]],'data Chauffeur'!A:F,3,FALSE)</f>
        <v>Serkan</v>
      </c>
      <c r="E45" s="30" t="str">
        <f>CONCATENATE(Tabel3[[#This Row],[P-nr]]," ",Tabel3[[#This Row],[Naam]]," ",Tabel3[[#This Row],[Voornaam]])</f>
        <v>39829 Demirkaya Serkan</v>
      </c>
      <c r="F45" s="30" t="str">
        <f>VLOOKUP(Tabel3[[#This Row],[P-nr]],'data Chauffeur'!A:F,6)</f>
        <v>Gent stad</v>
      </c>
      <c r="G45" s="30" t="str">
        <f>VLOOKUP(Tabel3[[#This Row],[P-nr]],'data Chauffeur'!A:F,4,FALSE)</f>
        <v>Lucie Vande Velde</v>
      </c>
      <c r="H45" t="str">
        <f>VLOOKUP(Tabel3[[#This Row],[P-nr]],'data Chauffeur'!A:F,5,FALSE)</f>
        <v>RESF</v>
      </c>
      <c r="I45" s="8" t="s">
        <v>51</v>
      </c>
      <c r="J45" s="8" t="s">
        <v>71</v>
      </c>
      <c r="K45" s="30" t="s">
        <v>101</v>
      </c>
      <c r="L45" s="37">
        <v>45771</v>
      </c>
      <c r="O45" t="s">
        <v>68</v>
      </c>
      <c r="P45" t="s">
        <v>69</v>
      </c>
      <c r="R45" s="23" t="s">
        <v>70</v>
      </c>
    </row>
    <row r="46" spans="1:18" ht="15.6" x14ac:dyDescent="0.3">
      <c r="A46" s="18"/>
      <c r="B46" s="48">
        <v>4720</v>
      </c>
      <c r="C46" s="30" t="str">
        <f>VLOOKUP(Tabel3[[#This Row],[P-nr]],'data Chauffeur'!A:F,2,FALSE)</f>
        <v>De Roo</v>
      </c>
      <c r="D46" s="30" t="str">
        <f>VLOOKUP(Tabel3[[#This Row],[P-nr]],'data Chauffeur'!A:F,3,FALSE)</f>
        <v>Jo</v>
      </c>
      <c r="E46" s="30" t="str">
        <f>CONCATENATE(Tabel3[[#This Row],[P-nr]]," ",Tabel3[[#This Row],[Naam]]," ",Tabel3[[#This Row],[Voornaam]])</f>
        <v>4720 De Roo Jo</v>
      </c>
      <c r="F46" s="30" t="e">
        <f>VLOOKUP(Tabel3[[#This Row],[P-nr]],'data Chauffeur'!A:F,6)</f>
        <v>#N/A</v>
      </c>
      <c r="G46" s="30" t="str">
        <f>VLOOKUP(Tabel3[[#This Row],[P-nr]],'data Chauffeur'!A:F,4,FALSE)</f>
        <v>Els Vanhoe</v>
      </c>
      <c r="H46" t="str">
        <f>VLOOKUP(Tabel3[[#This Row],[P-nr]],'data Chauffeur'!A:F,5,FALSE)</f>
        <v>G09</v>
      </c>
      <c r="J46" s="8" t="s">
        <v>66</v>
      </c>
      <c r="K46" s="30" t="s">
        <v>82</v>
      </c>
      <c r="L46" s="37">
        <v>45771</v>
      </c>
      <c r="O46" t="s">
        <v>79</v>
      </c>
      <c r="P46" t="s">
        <v>69</v>
      </c>
      <c r="R46" s="23" t="s">
        <v>70</v>
      </c>
    </row>
    <row r="47" spans="1:18" ht="15.6" x14ac:dyDescent="0.3">
      <c r="A47" s="18"/>
      <c r="B47" s="48">
        <v>23791</v>
      </c>
      <c r="C47" s="30" t="str">
        <f>VLOOKUP(Tabel3[[#This Row],[P-nr]],'data Chauffeur'!A:F,2,FALSE)</f>
        <v>Baetens</v>
      </c>
      <c r="D47" s="30" t="str">
        <f>VLOOKUP(Tabel3[[#This Row],[P-nr]],'data Chauffeur'!A:F,3,FALSE)</f>
        <v>Christine</v>
      </c>
      <c r="E47" s="30" t="str">
        <f>CONCATENATE(Tabel3[[#This Row],[P-nr]]," ",Tabel3[[#This Row],[Naam]]," ",Tabel3[[#This Row],[Voornaam]])</f>
        <v>23791 Baetens Christine</v>
      </c>
      <c r="F47" s="30" t="str">
        <f>VLOOKUP(Tabel3[[#This Row],[P-nr]],'data Chauffeur'!A:F,6)</f>
        <v>Gent stad</v>
      </c>
      <c r="G47" s="30" t="str">
        <f>VLOOKUP(Tabel3[[#This Row],[P-nr]],'data Chauffeur'!A:F,4,FALSE)</f>
        <v>Dominique De Clercq</v>
      </c>
      <c r="H47" t="str">
        <f>VLOOKUP(Tabel3[[#This Row],[P-nr]],'data Chauffeur'!A:F,5,FALSE)</f>
        <v>TW24</v>
      </c>
      <c r="J47" s="8" t="s">
        <v>66</v>
      </c>
      <c r="K47" s="30" t="s">
        <v>82</v>
      </c>
      <c r="L47" s="37">
        <v>45771</v>
      </c>
      <c r="O47" t="s">
        <v>75</v>
      </c>
      <c r="R47" s="23" t="s">
        <v>70</v>
      </c>
    </row>
    <row r="48" spans="1:18" ht="15.6" x14ac:dyDescent="0.3">
      <c r="A48" s="18"/>
      <c r="B48" s="48">
        <v>14625</v>
      </c>
      <c r="C48" s="30" t="str">
        <f>VLOOKUP(Tabel3[[#This Row],[P-nr]],'data Chauffeur'!A:F,2,FALSE)</f>
        <v>Rodrigue</v>
      </c>
      <c r="D48" s="30" t="str">
        <f>VLOOKUP(Tabel3[[#This Row],[P-nr]],'data Chauffeur'!A:F,3,FALSE)</f>
        <v>Vincent</v>
      </c>
      <c r="E48" s="30" t="str">
        <f>CONCATENATE(Tabel3[[#This Row],[P-nr]]," ",Tabel3[[#This Row],[Naam]]," ",Tabel3[[#This Row],[Voornaam]])</f>
        <v>14625 Rodrigue Vincent</v>
      </c>
      <c r="F48" s="30" t="e">
        <f>VLOOKUP(Tabel3[[#This Row],[P-nr]],'data Chauffeur'!A:F,6)</f>
        <v>#N/A</v>
      </c>
      <c r="G48" s="30" t="str">
        <f>VLOOKUP(Tabel3[[#This Row],[P-nr]],'data Chauffeur'!A:F,4,FALSE)</f>
        <v>Lucie Vande Velde</v>
      </c>
      <c r="H48" t="str">
        <f>VLOOKUP(Tabel3[[#This Row],[P-nr]],'data Chauffeur'!A:F,5,FALSE)</f>
        <v>G70</v>
      </c>
      <c r="I48" s="8" t="s">
        <v>51</v>
      </c>
      <c r="J48" s="8" t="s">
        <v>71</v>
      </c>
      <c r="K48" s="30" t="s">
        <v>101</v>
      </c>
      <c r="L48" s="37">
        <v>45775</v>
      </c>
      <c r="M48" t="s">
        <v>103</v>
      </c>
      <c r="N48" t="s">
        <v>104</v>
      </c>
      <c r="O48" t="s">
        <v>75</v>
      </c>
      <c r="P48" t="s">
        <v>69</v>
      </c>
      <c r="R48" s="23" t="s">
        <v>70</v>
      </c>
    </row>
    <row r="49" spans="1:18" ht="15.6" x14ac:dyDescent="0.3">
      <c r="A49" s="18"/>
      <c r="B49" s="48">
        <v>11866</v>
      </c>
      <c r="C49" s="30" t="str">
        <f>VLOOKUP(Tabel3[[#This Row],[P-nr]],'data Chauffeur'!A:F,2,FALSE)</f>
        <v>Bolle</v>
      </c>
      <c r="D49" s="30" t="str">
        <f>VLOOKUP(Tabel3[[#This Row],[P-nr]],'data Chauffeur'!A:F,3,FALSE)</f>
        <v>Pascal</v>
      </c>
      <c r="E49" s="30" t="str">
        <f>CONCATENATE(Tabel3[[#This Row],[P-nr]]," ",Tabel3[[#This Row],[Naam]]," ",Tabel3[[#This Row],[Voornaam]])</f>
        <v>11866 Bolle Pascal</v>
      </c>
      <c r="F49" s="30" t="e">
        <f>VLOOKUP(Tabel3[[#This Row],[P-nr]],'data Chauffeur'!A:F,6)</f>
        <v>#N/A</v>
      </c>
      <c r="G49" s="30" t="str">
        <f>VLOOKUP(Tabel3[[#This Row],[P-nr]],'data Chauffeur'!A:F,4,FALSE)</f>
        <v>Lucie Vande Velde</v>
      </c>
      <c r="H49" t="str">
        <f>VLOOKUP(Tabel3[[#This Row],[P-nr]],'data Chauffeur'!A:F,5,FALSE)</f>
        <v>TD12</v>
      </c>
      <c r="I49" s="8" t="s">
        <v>51</v>
      </c>
      <c r="J49" s="8" t="s">
        <v>66</v>
      </c>
      <c r="K49" s="30" t="s">
        <v>67</v>
      </c>
      <c r="L49" s="37">
        <v>45775</v>
      </c>
      <c r="M49" s="30" t="s">
        <v>105</v>
      </c>
      <c r="N49" t="s">
        <v>91</v>
      </c>
      <c r="O49" t="s">
        <v>73</v>
      </c>
      <c r="P49" t="s">
        <v>69</v>
      </c>
      <c r="R49" s="23" t="s">
        <v>70</v>
      </c>
    </row>
    <row r="50" spans="1:18" ht="15.6" x14ac:dyDescent="0.3">
      <c r="A50" s="18"/>
      <c r="B50" s="48">
        <v>32168</v>
      </c>
      <c r="C50" s="30" t="str">
        <f>VLOOKUP(Tabel3[[#This Row],[P-nr]],'data Chauffeur'!A:F,2,FALSE)</f>
        <v>Vranken</v>
      </c>
      <c r="D50" s="30" t="str">
        <f>VLOOKUP(Tabel3[[#This Row],[P-nr]],'data Chauffeur'!A:F,3,FALSE)</f>
        <v>Zulkifly</v>
      </c>
      <c r="E50" s="30" t="str">
        <f>CONCATENATE(Tabel3[[#This Row],[P-nr]]," ",Tabel3[[#This Row],[Naam]]," ",Tabel3[[#This Row],[Voornaam]])</f>
        <v>32168 Vranken Zulkifly</v>
      </c>
      <c r="F50" s="30" t="str">
        <f>VLOOKUP(Tabel3[[#This Row],[P-nr]],'data Chauffeur'!A:F,6)</f>
        <v>Gent stad</v>
      </c>
      <c r="G50" s="30" t="str">
        <f>VLOOKUP(Tabel3[[#This Row],[P-nr]],'data Chauffeur'!A:F,4,FALSE)</f>
        <v>Kenneth De Rick</v>
      </c>
      <c r="H50" t="str">
        <f>VLOOKUP(Tabel3[[#This Row],[P-nr]],'data Chauffeur'!A:F,5,FALSE)</f>
        <v>MW12</v>
      </c>
      <c r="I50" s="8" t="s">
        <v>51</v>
      </c>
      <c r="J50" s="8" t="s">
        <v>66</v>
      </c>
      <c r="K50" s="30" t="s">
        <v>67</v>
      </c>
      <c r="L50" s="37">
        <v>45775</v>
      </c>
      <c r="M50" s="30" t="s">
        <v>91</v>
      </c>
      <c r="N50" t="s">
        <v>106</v>
      </c>
      <c r="O50" t="s">
        <v>75</v>
      </c>
      <c r="P50" t="s">
        <v>69</v>
      </c>
      <c r="R50" s="23" t="s">
        <v>70</v>
      </c>
    </row>
    <row r="51" spans="1:18" ht="15.6" x14ac:dyDescent="0.3">
      <c r="A51" s="18"/>
      <c r="B51" s="48">
        <v>40036</v>
      </c>
      <c r="C51" s="30" t="str">
        <f>VLOOKUP(Tabel3[[#This Row],[P-nr]],'data Chauffeur'!A:F,2,FALSE)</f>
        <v>Karakaya</v>
      </c>
      <c r="D51" s="30" t="str">
        <f>VLOOKUP(Tabel3[[#This Row],[P-nr]],'data Chauffeur'!A:F,3,FALSE)</f>
        <v>Oguz</v>
      </c>
      <c r="E51" s="30" t="str">
        <f>CONCATENATE(Tabel3[[#This Row],[P-nr]]," ",Tabel3[[#This Row],[Naam]]," ",Tabel3[[#This Row],[Voornaam]])</f>
        <v>40036 Karakaya Oguz</v>
      </c>
      <c r="F51" s="30" t="str">
        <f>VLOOKUP(Tabel3[[#This Row],[P-nr]],'data Chauffeur'!A:F,6)</f>
        <v>Gent stad</v>
      </c>
      <c r="G51" s="30" t="str">
        <f>VLOOKUP(Tabel3[[#This Row],[P-nr]],'data Chauffeur'!A:F,4,FALSE)</f>
        <v>Dominique De Clercq</v>
      </c>
      <c r="H51" t="str">
        <f>VLOOKUP(Tabel3[[#This Row],[P-nr]],'data Chauffeur'!A:F,5,FALSE)</f>
        <v>RESF</v>
      </c>
      <c r="I51" s="8" t="s">
        <v>34</v>
      </c>
      <c r="J51" s="8" t="s">
        <v>71</v>
      </c>
      <c r="K51" s="30" t="s">
        <v>47</v>
      </c>
      <c r="L51" s="37">
        <v>45779</v>
      </c>
      <c r="M51" s="30" t="s">
        <v>87</v>
      </c>
      <c r="O51" t="s">
        <v>73</v>
      </c>
      <c r="P51" t="s">
        <v>69</v>
      </c>
      <c r="R51" s="23" t="s">
        <v>70</v>
      </c>
    </row>
    <row r="52" spans="1:18" ht="15.6" x14ac:dyDescent="0.3">
      <c r="A52" s="18"/>
      <c r="B52" s="48">
        <v>12684</v>
      </c>
      <c r="C52" s="30" t="str">
        <f>VLOOKUP(Tabel3[[#This Row],[P-nr]],'data Chauffeur'!A:F,2,FALSE)</f>
        <v>Van Den Bossche</v>
      </c>
      <c r="D52" s="30" t="str">
        <f>VLOOKUP(Tabel3[[#This Row],[P-nr]],'data Chauffeur'!A:F,3,FALSE)</f>
        <v>Martine</v>
      </c>
      <c r="E52" s="30" t="str">
        <f>CONCATENATE(Tabel3[[#This Row],[P-nr]]," ",Tabel3[[#This Row],[Naam]]," ",Tabel3[[#This Row],[Voornaam]])</f>
        <v>12684 Van Den Bossche Martine</v>
      </c>
      <c r="F52" s="30" t="e">
        <f>VLOOKUP(Tabel3[[#This Row],[P-nr]],'data Chauffeur'!A:F,6)</f>
        <v>#N/A</v>
      </c>
      <c r="G52" s="30" t="str">
        <f>VLOOKUP(Tabel3[[#This Row],[P-nr]],'data Chauffeur'!A:F,4,FALSE)</f>
        <v>Els Vanhoe</v>
      </c>
      <c r="H52" t="str">
        <f>VLOOKUP(Tabel3[[#This Row],[P-nr]],'data Chauffeur'!A:F,5,FALSE)</f>
        <v>G09</v>
      </c>
      <c r="J52" s="8" t="s">
        <v>71</v>
      </c>
      <c r="K52" s="30" t="s">
        <v>94</v>
      </c>
      <c r="L52" s="37">
        <v>45782</v>
      </c>
      <c r="O52" t="s">
        <v>68</v>
      </c>
      <c r="P52" t="s">
        <v>69</v>
      </c>
      <c r="R52" s="23" t="s">
        <v>70</v>
      </c>
    </row>
    <row r="53" spans="1:18" ht="15.6" x14ac:dyDescent="0.3">
      <c r="A53" s="18" t="s">
        <v>23</v>
      </c>
      <c r="B53" s="48">
        <v>41092</v>
      </c>
      <c r="C53" s="30" t="str">
        <f>VLOOKUP(Tabel3[[#This Row],[P-nr]],'data Chauffeur'!A:F,2,FALSE)</f>
        <v>De Keyser</v>
      </c>
      <c r="D53" s="30" t="str">
        <f>VLOOKUP(Tabel3[[#This Row],[P-nr]],'data Chauffeur'!A:F,3,FALSE)</f>
        <v>Dorien</v>
      </c>
      <c r="E53" s="30" t="str">
        <f>CONCATENATE(Tabel3[[#This Row],[P-nr]]," ",Tabel3[[#This Row],[Naam]]," ",Tabel3[[#This Row],[Voornaam]])</f>
        <v>41092 De Keyser Dorien</v>
      </c>
      <c r="F53" s="30" t="str">
        <f>VLOOKUP(Tabel3[[#This Row],[P-nr]],'data Chauffeur'!A:F,6)</f>
        <v>Gent stad</v>
      </c>
      <c r="G53" s="30" t="str">
        <f>VLOOKUP(Tabel3[[#This Row],[P-nr]],'data Chauffeur'!A:F,4,FALSE)</f>
        <v>Dominique De Clercq</v>
      </c>
      <c r="H53" t="str">
        <f>VLOOKUP(Tabel3[[#This Row],[P-nr]],'data Chauffeur'!A:F,5,FALSE)</f>
        <v>RESF</v>
      </c>
      <c r="I53" s="8" t="s">
        <v>27</v>
      </c>
      <c r="J53" s="8" t="s">
        <v>71</v>
      </c>
      <c r="K53" s="30" t="s">
        <v>107</v>
      </c>
      <c r="L53" s="37">
        <v>45789</v>
      </c>
      <c r="O53" t="s">
        <v>75</v>
      </c>
      <c r="P53" t="s">
        <v>69</v>
      </c>
      <c r="R53" s="23" t="s">
        <v>70</v>
      </c>
    </row>
    <row r="54" spans="1:18" ht="15.6" x14ac:dyDescent="0.3">
      <c r="B54" s="48">
        <v>25679</v>
      </c>
      <c r="C54" s="30" t="str">
        <f>VLOOKUP(Tabel3[[#This Row],[P-nr]],'data Chauffeur'!A:F,2,FALSE)</f>
        <v>Vanrenterghem</v>
      </c>
      <c r="D54" s="30" t="str">
        <f>VLOOKUP(Tabel3[[#This Row],[P-nr]],'data Chauffeur'!A:F,3,FALSE)</f>
        <v>Serge</v>
      </c>
      <c r="E54" s="30" t="str">
        <f>CONCATENATE(Tabel3[[#This Row],[P-nr]]," ",Tabel3[[#This Row],[Naam]]," ",Tabel3[[#This Row],[Voornaam]])</f>
        <v>25679 Vanrenterghem Serge</v>
      </c>
      <c r="F54" s="30" t="str">
        <f>VLOOKUP(Tabel3[[#This Row],[P-nr]],'data Chauffeur'!A:F,6)</f>
        <v>Gent stad</v>
      </c>
      <c r="G54" s="30" t="str">
        <f>VLOOKUP(Tabel3[[#This Row],[P-nr]],'data Chauffeur'!A:F,4,FALSE)</f>
        <v>Christoff Rotty</v>
      </c>
      <c r="H54" t="str">
        <f>VLOOKUP(Tabel3[[#This Row],[P-nr]],'data Chauffeur'!A:F,5,FALSE)</f>
        <v>M15</v>
      </c>
      <c r="J54" s="8" t="s">
        <v>71</v>
      </c>
      <c r="K54" s="30" t="s">
        <v>77</v>
      </c>
      <c r="L54" s="37">
        <v>45789</v>
      </c>
      <c r="O54" t="s">
        <v>75</v>
      </c>
      <c r="R54" s="23" t="s">
        <v>70</v>
      </c>
    </row>
    <row r="55" spans="1:18" ht="15.6" x14ac:dyDescent="0.3">
      <c r="B55" s="48">
        <v>40938</v>
      </c>
      <c r="C55" s="30" t="str">
        <f>VLOOKUP(Tabel3[[#This Row],[P-nr]],'data Chauffeur'!A:F,2,FALSE)</f>
        <v>Hasnaoui</v>
      </c>
      <c r="D55" s="30" t="str">
        <f>VLOOKUP(Tabel3[[#This Row],[P-nr]],'data Chauffeur'!A:F,3,FALSE)</f>
        <v>Nejmeddine</v>
      </c>
      <c r="E55" s="30" t="str">
        <f>CONCATENATE(Tabel3[[#This Row],[P-nr]]," ",Tabel3[[#This Row],[Naam]]," ",Tabel3[[#This Row],[Voornaam]])</f>
        <v>40938 Hasnaoui Nejmeddine</v>
      </c>
      <c r="F55" s="30" t="str">
        <f>VLOOKUP(Tabel3[[#This Row],[P-nr]],'data Chauffeur'!A:F,6)</f>
        <v>Gent stad</v>
      </c>
      <c r="G55" s="30" t="str">
        <f>VLOOKUP(Tabel3[[#This Row],[P-nr]],'data Chauffeur'!A:F,4,FALSE)</f>
        <v>Dominique De Clercq</v>
      </c>
      <c r="H55" t="str">
        <f>VLOOKUP(Tabel3[[#This Row],[P-nr]],'data Chauffeur'!A:F,5,FALSE)</f>
        <v>RESF</v>
      </c>
      <c r="I55" s="8" t="s">
        <v>34</v>
      </c>
      <c r="J55" s="8" t="s">
        <v>71</v>
      </c>
      <c r="K55" s="31"/>
      <c r="L55" s="37">
        <v>45790</v>
      </c>
      <c r="M55" s="30" t="s">
        <v>96</v>
      </c>
      <c r="N55" t="s">
        <v>108</v>
      </c>
      <c r="O55" t="s">
        <v>73</v>
      </c>
      <c r="R55" s="23" t="s">
        <v>70</v>
      </c>
    </row>
    <row r="56" spans="1:18" ht="15.6" x14ac:dyDescent="0.3">
      <c r="B56" s="48">
        <v>40138</v>
      </c>
      <c r="C56" s="30" t="str">
        <f>VLOOKUP(Tabel3[[#This Row],[P-nr]],'data Chauffeur'!A:F,2,FALSE)</f>
        <v>Moerman</v>
      </c>
      <c r="D56" s="30" t="str">
        <f>VLOOKUP(Tabel3[[#This Row],[P-nr]],'data Chauffeur'!A:F,3,FALSE)</f>
        <v>Tjimmy</v>
      </c>
      <c r="E56" s="30" t="str">
        <f>CONCATENATE(Tabel3[[#This Row],[P-nr]]," ",Tabel3[[#This Row],[Naam]]," ",Tabel3[[#This Row],[Voornaam]])</f>
        <v>40138 Moerman Tjimmy</v>
      </c>
      <c r="F56" s="30" t="str">
        <f>VLOOKUP(Tabel3[[#This Row],[P-nr]],'data Chauffeur'!A:F,6)</f>
        <v>Gent stad</v>
      </c>
      <c r="G56" s="30" t="str">
        <f>VLOOKUP(Tabel3[[#This Row],[P-nr]],'data Chauffeur'!A:F,4,FALSE)</f>
        <v>Christoff Rotty</v>
      </c>
      <c r="H56" t="str">
        <f>VLOOKUP(Tabel3[[#This Row],[P-nr]],'data Chauffeur'!A:F,5,FALSE)</f>
        <v>RESF</v>
      </c>
      <c r="I56" s="8" t="s">
        <v>27</v>
      </c>
      <c r="J56" s="8" t="s">
        <v>71</v>
      </c>
      <c r="K56" s="31" t="s">
        <v>8</v>
      </c>
      <c r="L56" s="37">
        <v>45791</v>
      </c>
      <c r="M56" s="30" t="s">
        <v>96</v>
      </c>
      <c r="N56" t="s">
        <v>108</v>
      </c>
      <c r="O56" t="s">
        <v>75</v>
      </c>
      <c r="P56" t="s">
        <v>69</v>
      </c>
      <c r="R56" s="23" t="s">
        <v>70</v>
      </c>
    </row>
    <row r="57" spans="1:18" ht="15.6" x14ac:dyDescent="0.3">
      <c r="B57" s="48">
        <v>41348</v>
      </c>
      <c r="C57" s="30" t="str">
        <f>VLOOKUP(Tabel3[[#This Row],[P-nr]],'data Chauffeur'!A:F,2,FALSE)</f>
        <v>Van Huffel</v>
      </c>
      <c r="D57" s="30" t="str">
        <f>VLOOKUP(Tabel3[[#This Row],[P-nr]],'data Chauffeur'!A:F,3,FALSE)</f>
        <v>Tim</v>
      </c>
      <c r="E57" s="30" t="str">
        <f>CONCATENATE(Tabel3[[#This Row],[P-nr]]," ",Tabel3[[#This Row],[Naam]]," ",Tabel3[[#This Row],[Voornaam]])</f>
        <v>41348 Van Huffel Tim</v>
      </c>
      <c r="F57" s="30" t="str">
        <f>VLOOKUP(Tabel3[[#This Row],[P-nr]],'data Chauffeur'!A:F,6)</f>
        <v>Gent stad</v>
      </c>
      <c r="G57" s="30" t="str">
        <f>VLOOKUP(Tabel3[[#This Row],[P-nr]],'data Chauffeur'!A:F,4,FALSE)</f>
        <v>Christoff Rotty</v>
      </c>
      <c r="H57" t="str">
        <f>VLOOKUP(Tabel3[[#This Row],[P-nr]],'data Chauffeur'!A:F,5,FALSE)</f>
        <v>RESF</v>
      </c>
      <c r="I57" s="8" t="s">
        <v>38</v>
      </c>
      <c r="J57" s="8" t="s">
        <v>71</v>
      </c>
      <c r="K57" s="30" t="s">
        <v>8</v>
      </c>
      <c r="L57" s="37">
        <v>45792</v>
      </c>
      <c r="O57" t="s">
        <v>68</v>
      </c>
      <c r="P57" t="s">
        <v>69</v>
      </c>
      <c r="R57" s="23" t="s">
        <v>70</v>
      </c>
    </row>
    <row r="58" spans="1:18" ht="28.8" x14ac:dyDescent="0.3">
      <c r="B58" s="48">
        <v>19917</v>
      </c>
      <c r="C58" s="30" t="str">
        <f>VLOOKUP(Tabel3[[#This Row],[P-nr]],'data Chauffeur'!A:F,2,FALSE)</f>
        <v>Vandevyvere</v>
      </c>
      <c r="D58" s="30" t="str">
        <f>VLOOKUP(Tabel3[[#This Row],[P-nr]],'data Chauffeur'!A:F,3,FALSE)</f>
        <v>Frank</v>
      </c>
      <c r="E58" s="30" t="str">
        <f>CONCATENATE(Tabel3[[#This Row],[P-nr]]," ",Tabel3[[#This Row],[Naam]]," ",Tabel3[[#This Row],[Voornaam]])</f>
        <v>19917 Vandevyvere Frank</v>
      </c>
      <c r="F58" s="30" t="e">
        <f>VLOOKUP(Tabel3[[#This Row],[P-nr]],'data Chauffeur'!A:F,6)</f>
        <v>#N/A</v>
      </c>
      <c r="G58" s="30" t="str">
        <f>VLOOKUP(Tabel3[[#This Row],[P-nr]],'data Chauffeur'!A:F,4,FALSE)</f>
        <v>Bart Van Der Beken</v>
      </c>
      <c r="H58" t="str">
        <f>VLOOKUP(Tabel3[[#This Row],[P-nr]],'data Chauffeur'!A:F,5,FALSE)</f>
        <v>GW09</v>
      </c>
      <c r="I58" s="8" t="s">
        <v>109</v>
      </c>
      <c r="J58" s="8" t="s">
        <v>71</v>
      </c>
      <c r="K58" s="30" t="s">
        <v>47</v>
      </c>
      <c r="L58" s="37">
        <v>45793</v>
      </c>
      <c r="M58" s="30" t="s">
        <v>91</v>
      </c>
      <c r="N58" t="s">
        <v>81</v>
      </c>
      <c r="O58" t="s">
        <v>79</v>
      </c>
      <c r="P58" t="s">
        <v>23</v>
      </c>
      <c r="R58" s="23" t="s">
        <v>70</v>
      </c>
    </row>
    <row r="59" spans="1:18" ht="15.6" x14ac:dyDescent="0.3">
      <c r="B59" s="48">
        <v>38475</v>
      </c>
      <c r="C59" s="30" t="str">
        <f>VLOOKUP(Tabel3[[#This Row],[P-nr]],'data Chauffeur'!A:F,2,FALSE)</f>
        <v>Verschraegen</v>
      </c>
      <c r="D59" s="30" t="str">
        <f>VLOOKUP(Tabel3[[#This Row],[P-nr]],'data Chauffeur'!A:F,3,FALSE)</f>
        <v>Katleen</v>
      </c>
      <c r="E59" s="30" t="str">
        <f>CONCATENATE(Tabel3[[#This Row],[P-nr]]," ",Tabel3[[#This Row],[Naam]]," ",Tabel3[[#This Row],[Voornaam]])</f>
        <v>38475 Verschraegen Katleen</v>
      </c>
      <c r="F59" s="30" t="str">
        <f>VLOOKUP(Tabel3[[#This Row],[P-nr]],'data Chauffeur'!A:F,6)</f>
        <v>Gent stad</v>
      </c>
      <c r="G59" s="30" t="str">
        <f>VLOOKUP(Tabel3[[#This Row],[P-nr]],'data Chauffeur'!A:F,4,FALSE)</f>
        <v>Els Dewulf</v>
      </c>
      <c r="H59" t="str">
        <f>VLOOKUP(Tabel3[[#This Row],[P-nr]],'data Chauffeur'!A:F,5,FALSE)</f>
        <v>BR15</v>
      </c>
      <c r="J59" s="8" t="s">
        <v>71</v>
      </c>
      <c r="K59" s="31" t="s">
        <v>101</v>
      </c>
      <c r="L59" s="37">
        <v>45793</v>
      </c>
      <c r="M59" s="30" t="s">
        <v>110</v>
      </c>
      <c r="N59" t="s">
        <v>111</v>
      </c>
      <c r="O59" t="s">
        <v>75</v>
      </c>
      <c r="P59" t="s">
        <v>69</v>
      </c>
      <c r="R59" s="23" t="s">
        <v>70</v>
      </c>
    </row>
    <row r="60" spans="1:18" ht="15.6" x14ac:dyDescent="0.3">
      <c r="B60" s="48">
        <v>39654</v>
      </c>
      <c r="C60" s="30" t="str">
        <f>VLOOKUP(Tabel3[[#This Row],[P-nr]],'data Chauffeur'!A:F,2,FALSE)</f>
        <v>Camacho Encarnacion</v>
      </c>
      <c r="D60" s="30" t="str">
        <f>VLOOKUP(Tabel3[[#This Row],[P-nr]],'data Chauffeur'!A:F,3,FALSE)</f>
        <v>Lisandro Javier</v>
      </c>
      <c r="E60" s="30" t="str">
        <f>CONCATENATE(Tabel3[[#This Row],[P-nr]]," ",Tabel3[[#This Row],[Naam]]," ",Tabel3[[#This Row],[Voornaam]])</f>
        <v>39654 Camacho Encarnacion Lisandro Javier</v>
      </c>
      <c r="F60" s="30" t="str">
        <f>VLOOKUP(Tabel3[[#This Row],[P-nr]],'data Chauffeur'!A:F,6)</f>
        <v>Gent stad</v>
      </c>
      <c r="G60" s="30" t="str">
        <f>VLOOKUP(Tabel3[[#This Row],[P-nr]],'data Chauffeur'!A:F,4,FALSE)</f>
        <v>Kenneth De Rick</v>
      </c>
      <c r="H60" t="str">
        <f>VLOOKUP(Tabel3[[#This Row],[P-nr]],'data Chauffeur'!A:F,5,FALSE)</f>
        <v>RESF</v>
      </c>
      <c r="I60" s="8" t="s">
        <v>51</v>
      </c>
      <c r="J60" s="8" t="s">
        <v>71</v>
      </c>
      <c r="K60" s="31" t="s">
        <v>101</v>
      </c>
      <c r="L60" s="37">
        <v>45793</v>
      </c>
      <c r="M60" s="30" t="s">
        <v>112</v>
      </c>
      <c r="N60" t="s">
        <v>102</v>
      </c>
      <c r="O60" t="s">
        <v>73</v>
      </c>
      <c r="P60" t="s">
        <v>69</v>
      </c>
      <c r="R60" s="23" t="s">
        <v>70</v>
      </c>
    </row>
    <row r="61" spans="1:18" ht="57.6" x14ac:dyDescent="0.3">
      <c r="B61" s="48">
        <v>40478</v>
      </c>
      <c r="C61" s="30" t="str">
        <f>VLOOKUP(Tabel3[[#This Row],[P-nr]],'data Chauffeur'!A:F,2,FALSE)</f>
        <v>Hashimi</v>
      </c>
      <c r="D61" s="30" t="str">
        <f>VLOOKUP(Tabel3[[#This Row],[P-nr]],'data Chauffeur'!A:F,3,FALSE)</f>
        <v>Ali Mir</v>
      </c>
      <c r="E61" s="30" t="str">
        <f>CONCATENATE(Tabel3[[#This Row],[P-nr]]," ",Tabel3[[#This Row],[Naam]]," ",Tabel3[[#This Row],[Voornaam]])</f>
        <v>40478 Hashimi Ali Mir</v>
      </c>
      <c r="F61" s="30" t="str">
        <f>VLOOKUP(Tabel3[[#This Row],[P-nr]],'data Chauffeur'!A:F,6)</f>
        <v>Gent stad</v>
      </c>
      <c r="G61" s="30" t="str">
        <f>VLOOKUP(Tabel3[[#This Row],[P-nr]],'data Chauffeur'!A:F,4,FALSE)</f>
        <v>Bart Van Der Beken</v>
      </c>
      <c r="H61" t="str">
        <f>VLOOKUP(Tabel3[[#This Row],[P-nr]],'data Chauffeur'!A:F,5,FALSE)</f>
        <v>RESF</v>
      </c>
      <c r="I61" s="7" t="s">
        <v>113</v>
      </c>
      <c r="J61" s="8" t="s">
        <v>71</v>
      </c>
      <c r="K61" s="30" t="s">
        <v>8</v>
      </c>
      <c r="L61" s="37">
        <v>45796</v>
      </c>
      <c r="M61" s="30" t="s">
        <v>114</v>
      </c>
      <c r="O61" t="s">
        <v>79</v>
      </c>
      <c r="R61" s="23" t="s">
        <v>70</v>
      </c>
    </row>
    <row r="62" spans="1:18" ht="15.6" x14ac:dyDescent="0.3">
      <c r="B62" s="48">
        <v>40652</v>
      </c>
      <c r="C62" s="30" t="str">
        <f>VLOOKUP(Tabel3[[#This Row],[P-nr]],'data Chauffeur'!A:F,2,FALSE)</f>
        <v>Van Damme</v>
      </c>
      <c r="D62" s="30" t="str">
        <f>VLOOKUP(Tabel3[[#This Row],[P-nr]],'data Chauffeur'!A:F,3,FALSE)</f>
        <v>Gilyann</v>
      </c>
      <c r="E62" s="30" t="str">
        <f>CONCATENATE(Tabel3[[#This Row],[P-nr]]," ",Tabel3[[#This Row],[Naam]]," ",Tabel3[[#This Row],[Voornaam]])</f>
        <v>40652 Van Damme Gilyann</v>
      </c>
      <c r="F62" s="30" t="str">
        <f>VLOOKUP(Tabel3[[#This Row],[P-nr]],'data Chauffeur'!A:F,6)</f>
        <v>Gent stad</v>
      </c>
      <c r="G62" s="30" t="str">
        <f>VLOOKUP(Tabel3[[#This Row],[P-nr]],'data Chauffeur'!A:F,4,FALSE)</f>
        <v>Els Vanhoe</v>
      </c>
      <c r="H62" t="str">
        <f>VLOOKUP(Tabel3[[#This Row],[P-nr]],'data Chauffeur'!A:F,5,FALSE)</f>
        <v>RESF</v>
      </c>
      <c r="I62" s="8" t="s">
        <v>115</v>
      </c>
      <c r="J62" s="8" t="s">
        <v>71</v>
      </c>
      <c r="K62" s="30" t="s">
        <v>8</v>
      </c>
      <c r="L62" s="37">
        <v>45803</v>
      </c>
      <c r="O62" t="s">
        <v>75</v>
      </c>
      <c r="P62" t="s">
        <v>69</v>
      </c>
      <c r="R62" s="23" t="s">
        <v>70</v>
      </c>
    </row>
    <row r="63" spans="1:18" x14ac:dyDescent="0.3">
      <c r="B63" s="49">
        <v>37950</v>
      </c>
      <c r="C63" s="32" t="s">
        <v>116</v>
      </c>
      <c r="D63" s="30" t="str">
        <f>VLOOKUP(Tabel3[[#This Row],[P-nr]],'data Chauffeur'!A:F,3,FALSE)</f>
        <v>Bruno</v>
      </c>
      <c r="E63" s="30" t="str">
        <f>CONCATENATE(Tabel3[[#This Row],[P-nr]]," ",Tabel3[[#This Row],[Naam]]," ",Tabel3[[#This Row],[Voornaam]])</f>
        <v>37950 De Naegel Bruno</v>
      </c>
      <c r="F63" s="30" t="str">
        <f>VLOOKUP(Tabel3[[#This Row],[P-nr]],'data Chauffeur'!A:F,6)</f>
        <v>Gent stad</v>
      </c>
      <c r="G63" s="30" t="str">
        <f>VLOOKUP(Tabel3[[#This Row],[P-nr]],'data Chauffeur'!A:F,4,FALSE)</f>
        <v>Dominique De Clercq</v>
      </c>
      <c r="H63" t="str">
        <f>VLOOKUP(Tabel3[[#This Row],[P-nr]],'data Chauffeur'!A:F,5,FALSE)</f>
        <v>BO15</v>
      </c>
      <c r="I63" s="8" t="s">
        <v>51</v>
      </c>
      <c r="J63" s="8" t="s">
        <v>71</v>
      </c>
      <c r="K63" s="30" t="s">
        <v>117</v>
      </c>
      <c r="L63" s="37">
        <v>45803</v>
      </c>
      <c r="O63" t="s">
        <v>75</v>
      </c>
      <c r="P63" t="s">
        <v>69</v>
      </c>
      <c r="R63" s="2" t="s">
        <v>70</v>
      </c>
    </row>
    <row r="64" spans="1:18" x14ac:dyDescent="0.3">
      <c r="B64" s="48">
        <v>40938</v>
      </c>
      <c r="C64" s="32" t="s">
        <v>118</v>
      </c>
      <c r="D64" s="30" t="str">
        <f>VLOOKUP(Tabel3[[#This Row],[P-nr]],'data Chauffeur'!A:F,3,FALSE)</f>
        <v>Nejmeddine</v>
      </c>
      <c r="E64" s="30" t="str">
        <f>CONCATENATE(Tabel3[[#This Row],[P-nr]]," ",Tabel3[[#This Row],[Naam]]," ",Tabel3[[#This Row],[Voornaam]])</f>
        <v>40938 Hasnaoui Nejmeddine</v>
      </c>
      <c r="F64" s="30" t="str">
        <f>VLOOKUP(Tabel3[[#This Row],[P-nr]],'data Chauffeur'!A:F,6)</f>
        <v>Gent stad</v>
      </c>
      <c r="G64" s="30" t="str">
        <f>VLOOKUP(Tabel3[[#This Row],[P-nr]],'data Chauffeur'!A:F,4,FALSE)</f>
        <v>Dominique De Clercq</v>
      </c>
      <c r="H64" t="str">
        <f>VLOOKUP(Tabel3[[#This Row],[P-nr]],'data Chauffeur'!A:F,5,FALSE)</f>
        <v>RESF</v>
      </c>
      <c r="I64" s="8" t="s">
        <v>51</v>
      </c>
      <c r="J64" s="8" t="s">
        <v>71</v>
      </c>
      <c r="K64" s="30" t="s">
        <v>117</v>
      </c>
      <c r="L64" s="37">
        <v>45803</v>
      </c>
      <c r="M64" s="30" t="s">
        <v>114</v>
      </c>
      <c r="O64" t="s">
        <v>75</v>
      </c>
      <c r="R64" s="2" t="s">
        <v>70</v>
      </c>
    </row>
    <row r="65" spans="1:18" x14ac:dyDescent="0.3">
      <c r="B65" s="48">
        <v>36426</v>
      </c>
      <c r="C65" s="32" t="s">
        <v>119</v>
      </c>
      <c r="D65" s="30" t="str">
        <f>VLOOKUP(Tabel3[[#This Row],[P-nr]],'data Chauffeur'!A:F,3,FALSE)</f>
        <v>Abdulhamid</v>
      </c>
      <c r="E65" s="30" t="str">
        <f>CONCATENATE(Tabel3[[#This Row],[P-nr]]," ",Tabel3[[#This Row],[Naam]]," ",Tabel3[[#This Row],[Voornaam]])</f>
        <v>36426 Mohamed Yassin Abdulhamid</v>
      </c>
      <c r="F65" s="30" t="str">
        <f>VLOOKUP(Tabel3[[#This Row],[P-nr]],'data Chauffeur'!A:F,6)</f>
        <v>Gent stad</v>
      </c>
      <c r="G65" s="30" t="str">
        <f>VLOOKUP(Tabel3[[#This Row],[P-nr]],'data Chauffeur'!A:F,4,FALSE)</f>
        <v>Bart Van Der Beken</v>
      </c>
      <c r="H65" t="str">
        <f>VLOOKUP(Tabel3[[#This Row],[P-nr]],'data Chauffeur'!A:F,5,FALSE)</f>
        <v>MW12</v>
      </c>
      <c r="I65" s="8" t="s">
        <v>51</v>
      </c>
      <c r="J65" s="8" t="s">
        <v>71</v>
      </c>
      <c r="K65" s="30" t="s">
        <v>117</v>
      </c>
      <c r="L65" s="37">
        <v>45803</v>
      </c>
      <c r="M65" s="30" t="s">
        <v>105</v>
      </c>
      <c r="N65" t="s">
        <v>120</v>
      </c>
      <c r="O65" t="s">
        <v>73</v>
      </c>
      <c r="P65" t="s">
        <v>23</v>
      </c>
      <c r="R65" s="2" t="s">
        <v>70</v>
      </c>
    </row>
    <row r="66" spans="1:18" x14ac:dyDescent="0.3">
      <c r="B66" s="48">
        <v>40443</v>
      </c>
      <c r="C66" s="30" t="str">
        <f>VLOOKUP(Tabel3[[#This Row],[P-nr]],'data Chauffeur'!A:F,2,FALSE)</f>
        <v>Fakash</v>
      </c>
      <c r="D66" s="30" t="str">
        <f>VLOOKUP(Tabel3[[#This Row],[P-nr]],'data Chauffeur'!A:F,3,FALSE)</f>
        <v>Mahmoud</v>
      </c>
      <c r="E66" s="30" t="str">
        <f>CONCATENATE(Tabel3[[#This Row],[P-nr]]," ",Tabel3[[#This Row],[Naam]]," ",Tabel3[[#This Row],[Voornaam]])</f>
        <v>40443 Fakash Mahmoud</v>
      </c>
      <c r="F66" s="30" t="str">
        <f>VLOOKUP(Tabel3[[#This Row],[P-nr]],'data Chauffeur'!A:F,6)</f>
        <v>Gent stad</v>
      </c>
      <c r="G66" s="30" t="str">
        <f>VLOOKUP(Tabel3[[#This Row],[P-nr]],'data Chauffeur'!A:F,4,FALSE)</f>
        <v>Bart Van Der Beken</v>
      </c>
      <c r="H66" t="str">
        <f>VLOOKUP(Tabel3[[#This Row],[P-nr]],'data Chauffeur'!A:F,5,FALSE)</f>
        <v>RESF</v>
      </c>
      <c r="I66" s="8" t="s">
        <v>51</v>
      </c>
      <c r="J66" s="8" t="s">
        <v>71</v>
      </c>
      <c r="K66" s="30" t="s">
        <v>117</v>
      </c>
      <c r="L66" s="37">
        <v>45803</v>
      </c>
      <c r="M66" s="30" t="s">
        <v>105</v>
      </c>
      <c r="O66" t="s">
        <v>75</v>
      </c>
      <c r="P66" t="s">
        <v>69</v>
      </c>
      <c r="R66" s="2" t="s">
        <v>70</v>
      </c>
    </row>
    <row r="67" spans="1:18" x14ac:dyDescent="0.3">
      <c r="B67" s="48">
        <v>40859</v>
      </c>
      <c r="C67" s="33" t="s">
        <v>121</v>
      </c>
      <c r="D67" s="30" t="str">
        <f>VLOOKUP(Tabel3[[#This Row],[P-nr]],'data Chauffeur'!A:F,3,FALSE)</f>
        <v>Abdelali</v>
      </c>
      <c r="E67" s="30" t="str">
        <f>CONCATENATE(Tabel3[[#This Row],[P-nr]]," ",Tabel3[[#This Row],[Naam]]," ",Tabel3[[#This Row],[Voornaam]])</f>
        <v>40859 Abdelali Abdelali</v>
      </c>
      <c r="F67" s="30" t="str">
        <f>VLOOKUP(Tabel3[[#This Row],[P-nr]],'data Chauffeur'!A:F,6)</f>
        <v>Gent stad</v>
      </c>
      <c r="G67" s="30" t="str">
        <f>VLOOKUP(Tabel3[[#This Row],[P-nr]],'data Chauffeur'!A:F,4,FALSE)</f>
        <v>Els Vanhoe</v>
      </c>
      <c r="H67" t="str">
        <f>VLOOKUP(Tabel3[[#This Row],[P-nr]],'data Chauffeur'!A:F,5,FALSE)</f>
        <v>RESF</v>
      </c>
      <c r="I67" s="8" t="s">
        <v>51</v>
      </c>
      <c r="J67" s="8" t="s">
        <v>71</v>
      </c>
      <c r="K67" s="30" t="s">
        <v>117</v>
      </c>
      <c r="L67" s="37">
        <v>45803</v>
      </c>
      <c r="O67" t="s">
        <v>75</v>
      </c>
      <c r="R67" s="2" t="s">
        <v>70</v>
      </c>
    </row>
    <row r="68" spans="1:18" ht="15.6" x14ac:dyDescent="0.3">
      <c r="A68" s="18" t="s">
        <v>23</v>
      </c>
      <c r="B68" s="48">
        <v>36354</v>
      </c>
      <c r="C68" s="30" t="str">
        <f>VLOOKUP(Tabel3[[#This Row],[P-nr]],'data Chauffeur'!A:F,2,FALSE)</f>
        <v>El Aaddam</v>
      </c>
      <c r="D68" s="30" t="str">
        <f>VLOOKUP(Tabel3[[#This Row],[P-nr]],'data Chauffeur'!A:F,3,FALSE)</f>
        <v>Hodayfa</v>
      </c>
      <c r="E68" s="30" t="str">
        <f>CONCATENATE(Tabel3[[#This Row],[P-nr]]," ",Tabel3[[#This Row],[Naam]]," ",Tabel3[[#This Row],[Voornaam]])</f>
        <v>36354 El Aaddam Hodayfa</v>
      </c>
      <c r="F68" s="30" t="str">
        <f>VLOOKUP(Tabel3[[#This Row],[P-nr]],'data Chauffeur'!A:F,6)</f>
        <v>Gent stad</v>
      </c>
      <c r="G68" s="30" t="str">
        <f>VLOOKUP(Tabel3[[#This Row],[P-nr]],'data Chauffeur'!A:F,4,FALSE)</f>
        <v>Els Vanhoe</v>
      </c>
      <c r="H68" t="str">
        <f>VLOOKUP(Tabel3[[#This Row],[P-nr]],'data Chauffeur'!A:F,5,FALSE)</f>
        <v>RESF</v>
      </c>
      <c r="J68" s="8" t="s">
        <v>71</v>
      </c>
      <c r="K68" s="30"/>
      <c r="L68" s="37">
        <v>45812</v>
      </c>
      <c r="M68" s="30" t="s">
        <v>72</v>
      </c>
      <c r="N68" t="s">
        <v>74</v>
      </c>
      <c r="O68" t="s">
        <v>79</v>
      </c>
      <c r="P68" t="s">
        <v>23</v>
      </c>
      <c r="R68" s="23" t="s">
        <v>70</v>
      </c>
    </row>
    <row r="69" spans="1:18" ht="15.6" x14ac:dyDescent="0.3">
      <c r="B69" s="48">
        <v>38691</v>
      </c>
      <c r="C69" s="30" t="str">
        <f>VLOOKUP(Tabel3[[#This Row],[P-nr]],'data Chauffeur'!A:F,2,FALSE)</f>
        <v>Muys</v>
      </c>
      <c r="D69" s="30" t="str">
        <f>VLOOKUP(Tabel3[[#This Row],[P-nr]],'data Chauffeur'!A:F,3,FALSE)</f>
        <v>Aäron</v>
      </c>
      <c r="E69" s="30" t="str">
        <f>CONCATENATE(Tabel3[[#This Row],[P-nr]]," ",Tabel3[[#This Row],[Naam]]," ",Tabel3[[#This Row],[Voornaam]])</f>
        <v>38691 Muys Aäron</v>
      </c>
      <c r="F69" s="30" t="str">
        <f>VLOOKUP(Tabel3[[#This Row],[P-nr]],'data Chauffeur'!A:F,6)</f>
        <v>Gent stad</v>
      </c>
      <c r="G69" s="30" t="str">
        <f>VLOOKUP(Tabel3[[#This Row],[P-nr]],'data Chauffeur'!A:F,4,FALSE)</f>
        <v>Els Dewulf</v>
      </c>
      <c r="H69" t="str">
        <f>VLOOKUP(Tabel3[[#This Row],[P-nr]],'data Chauffeur'!A:F,5,FALSE)</f>
        <v>RESF</v>
      </c>
      <c r="I69" s="8" t="s">
        <v>51</v>
      </c>
      <c r="J69" s="8" t="s">
        <v>71</v>
      </c>
      <c r="K69" s="30" t="s">
        <v>52</v>
      </c>
      <c r="L69" s="37">
        <v>45812</v>
      </c>
      <c r="M69" s="30" t="s">
        <v>72</v>
      </c>
      <c r="N69" t="s">
        <v>38</v>
      </c>
      <c r="O69" t="s">
        <v>75</v>
      </c>
      <c r="P69" t="s">
        <v>69</v>
      </c>
      <c r="R69" s="23" t="s">
        <v>70</v>
      </c>
    </row>
    <row r="70" spans="1:18" ht="15.6" x14ac:dyDescent="0.3">
      <c r="B70" s="48">
        <v>37543</v>
      </c>
      <c r="C70" s="30" t="str">
        <f>VLOOKUP(Tabel3[[#This Row],[P-nr]],'data Chauffeur'!A:F,2,FALSE)</f>
        <v>Öztürk</v>
      </c>
      <c r="D70" s="30" t="str">
        <f>VLOOKUP(Tabel3[[#This Row],[P-nr]],'data Chauffeur'!A:F,3,FALSE)</f>
        <v>Bilgehan</v>
      </c>
      <c r="E70" s="30" t="str">
        <f>CONCATENATE(Tabel3[[#This Row],[P-nr]]," ",Tabel3[[#This Row],[Naam]]," ",Tabel3[[#This Row],[Voornaam]])</f>
        <v>37543 Öztürk Bilgehan</v>
      </c>
      <c r="F70" s="30" t="str">
        <f>VLOOKUP(Tabel3[[#This Row],[P-nr]],'data Chauffeur'!A:F,6)</f>
        <v>Gent stad</v>
      </c>
      <c r="G70" s="30" t="str">
        <f>VLOOKUP(Tabel3[[#This Row],[P-nr]],'data Chauffeur'!A:F,4,FALSE)</f>
        <v>Kenneth De Rick</v>
      </c>
      <c r="H70" t="str">
        <f>VLOOKUP(Tabel3[[#This Row],[P-nr]],'data Chauffeur'!A:F,5,FALSE)</f>
        <v>RESF</v>
      </c>
      <c r="K70" s="30" t="s">
        <v>122</v>
      </c>
      <c r="L70" s="37">
        <v>45812</v>
      </c>
      <c r="M70" s="30" t="s">
        <v>72</v>
      </c>
      <c r="O70" t="s">
        <v>73</v>
      </c>
      <c r="P70" t="s">
        <v>69</v>
      </c>
      <c r="R70" s="23" t="s">
        <v>70</v>
      </c>
    </row>
    <row r="71" spans="1:18" x14ac:dyDescent="0.3">
      <c r="B71" s="48">
        <v>38580</v>
      </c>
      <c r="C71" s="30" t="str">
        <f>VLOOKUP(Tabel3[[#This Row],[P-nr]],'data Chauffeur'!A:F,2,FALSE)</f>
        <v>Smajla</v>
      </c>
      <c r="D71" s="30" t="str">
        <f>VLOOKUP(Tabel3[[#This Row],[P-nr]],'data Chauffeur'!A:F,3,FALSE)</f>
        <v>Samet</v>
      </c>
      <c r="E71" s="30" t="str">
        <f>CONCATENATE(Tabel3[[#This Row],[P-nr]]," ",Tabel3[[#This Row],[Naam]]," ",Tabel3[[#This Row],[Voornaam]])</f>
        <v>38580 Smajla Samet</v>
      </c>
      <c r="F71" s="30" t="str">
        <f>VLOOKUP(Tabel3[[#This Row],[P-nr]],'data Chauffeur'!A:F,6)</f>
        <v>Gent stad</v>
      </c>
      <c r="G71" s="30" t="str">
        <f>VLOOKUP(Tabel3[[#This Row],[P-nr]],'data Chauffeur'!A:F,4,FALSE)</f>
        <v>Els Dewulf</v>
      </c>
      <c r="H71" t="str">
        <f>VLOOKUP(Tabel3[[#This Row],[P-nr]],'data Chauffeur'!A:F,5,FALSE)</f>
        <v>RESF</v>
      </c>
      <c r="J71" s="8" t="s">
        <v>71</v>
      </c>
      <c r="K71" s="30" t="s">
        <v>94</v>
      </c>
      <c r="L71" s="37">
        <v>45821</v>
      </c>
      <c r="M71" s="30" t="s">
        <v>91</v>
      </c>
      <c r="O71" t="s">
        <v>75</v>
      </c>
      <c r="P71" t="s">
        <v>69</v>
      </c>
      <c r="R71" s="2" t="s">
        <v>70</v>
      </c>
    </row>
    <row r="72" spans="1:18" x14ac:dyDescent="0.3">
      <c r="B72" s="48">
        <v>21506</v>
      </c>
      <c r="C72" s="30" t="str">
        <f>VLOOKUP(Tabel3[[#This Row],[P-nr]],'data Chauffeur'!A:F,2,FALSE)</f>
        <v>Kesteloot</v>
      </c>
      <c r="D72" s="30" t="str">
        <f>VLOOKUP(Tabel3[[#This Row],[P-nr]],'data Chauffeur'!A:F,3,FALSE)</f>
        <v>Patrick</v>
      </c>
      <c r="E72" s="30" t="str">
        <f>CONCATENATE(Tabel3[[#This Row],[P-nr]]," ",Tabel3[[#This Row],[Naam]]," ",Tabel3[[#This Row],[Voornaam]])</f>
        <v>21506 Kesteloot Patrick</v>
      </c>
      <c r="F72" s="30" t="str">
        <f>VLOOKUP(Tabel3[[#This Row],[P-nr]],'data Chauffeur'!A:F,6)</f>
        <v>Gent stad</v>
      </c>
      <c r="G72" s="30" t="str">
        <f>VLOOKUP(Tabel3[[#This Row],[P-nr]],'data Chauffeur'!A:F,4,FALSE)</f>
        <v>Steven Storm</v>
      </c>
      <c r="H72" t="str">
        <f>VLOOKUP(Tabel3[[#This Row],[P-nr]],'data Chauffeur'!A:F,5,FALSE)</f>
        <v>TW24</v>
      </c>
      <c r="J72" s="8" t="s">
        <v>71</v>
      </c>
      <c r="K72" s="30" t="s">
        <v>123</v>
      </c>
      <c r="L72" s="37">
        <v>45821</v>
      </c>
      <c r="O72" t="s">
        <v>68</v>
      </c>
      <c r="P72" t="s">
        <v>69</v>
      </c>
      <c r="R72" s="2" t="s">
        <v>70</v>
      </c>
    </row>
    <row r="73" spans="1:18" x14ac:dyDescent="0.3">
      <c r="B73" s="48">
        <v>40200</v>
      </c>
      <c r="C73" s="30" t="str">
        <f>VLOOKUP(Tabel3[[#This Row],[P-nr]],'data Chauffeur'!A:F,2,FALSE)</f>
        <v>Shahriyari</v>
      </c>
      <c r="D73" s="30" t="str">
        <f>VLOOKUP(Tabel3[[#This Row],[P-nr]],'data Chauffeur'!A:F,3,FALSE)</f>
        <v>Khalil</v>
      </c>
      <c r="E73" s="30" t="str">
        <f>CONCATENATE(Tabel3[[#This Row],[P-nr]]," ",Tabel3[[#This Row],[Naam]]," ",Tabel3[[#This Row],[Voornaam]])</f>
        <v>40200 Shahriyari Khalil</v>
      </c>
      <c r="F73" s="30" t="str">
        <f>VLOOKUP(Tabel3[[#This Row],[P-nr]],'data Chauffeur'!A:F,6)</f>
        <v>Gent stad</v>
      </c>
      <c r="G73" s="30" t="str">
        <f>VLOOKUP(Tabel3[[#This Row],[P-nr]],'data Chauffeur'!A:F,4,FALSE)</f>
        <v>Dominique De Clercq</v>
      </c>
      <c r="H73" t="str">
        <f>VLOOKUP(Tabel3[[#This Row],[P-nr]],'data Chauffeur'!A:F,5,FALSE)</f>
        <v>RESF</v>
      </c>
      <c r="J73" s="8" t="s">
        <v>71</v>
      </c>
      <c r="K73" s="30" t="s">
        <v>124</v>
      </c>
      <c r="L73" s="37">
        <v>45821</v>
      </c>
      <c r="O73" t="s">
        <v>73</v>
      </c>
      <c r="P73" t="s">
        <v>69</v>
      </c>
      <c r="R73" s="2" t="s">
        <v>70</v>
      </c>
    </row>
    <row r="74" spans="1:18" x14ac:dyDescent="0.3">
      <c r="B74" s="48">
        <v>40294</v>
      </c>
      <c r="C74" s="30" t="str">
        <f>VLOOKUP(Tabel3[[#This Row],[P-nr]],'data Chauffeur'!A:F,2,FALSE)</f>
        <v>Khder</v>
      </c>
      <c r="D74" s="30" t="str">
        <f>VLOOKUP(Tabel3[[#This Row],[P-nr]],'data Chauffeur'!A:F,3,FALSE)</f>
        <v>Aram</v>
      </c>
      <c r="E74" s="30" t="str">
        <f>CONCATENATE(Tabel3[[#This Row],[P-nr]]," ",Tabel3[[#This Row],[Naam]]," ",Tabel3[[#This Row],[Voornaam]])</f>
        <v>40294 Khder Aram</v>
      </c>
      <c r="F74" s="30" t="str">
        <f>VLOOKUP(Tabel3[[#This Row],[P-nr]],'data Chauffeur'!A:F,6)</f>
        <v>Gent stad</v>
      </c>
      <c r="G74" s="30" t="str">
        <f>VLOOKUP(Tabel3[[#This Row],[P-nr]],'data Chauffeur'!A:F,4,FALSE)</f>
        <v>Christoff Rotty</v>
      </c>
      <c r="H74" t="str">
        <f>VLOOKUP(Tabel3[[#This Row],[P-nr]],'data Chauffeur'!A:F,5,FALSE)</f>
        <v>RESF</v>
      </c>
      <c r="J74" s="8" t="s">
        <v>71</v>
      </c>
      <c r="K74" s="30" t="s">
        <v>52</v>
      </c>
      <c r="L74" s="37">
        <v>45821</v>
      </c>
      <c r="M74" s="30" t="s">
        <v>72</v>
      </c>
      <c r="O74" t="s">
        <v>75</v>
      </c>
      <c r="R74" s="2" t="s">
        <v>70</v>
      </c>
    </row>
    <row r="75" spans="1:18" x14ac:dyDescent="0.3">
      <c r="A75" s="18"/>
      <c r="B75" s="48">
        <v>39712</v>
      </c>
      <c r="C75" s="30" t="str">
        <f>VLOOKUP(Tabel3[[#This Row],[P-nr]],'data Chauffeur'!A:F,2,FALSE)</f>
        <v>Repaj</v>
      </c>
      <c r="D75" s="30" t="str">
        <f>VLOOKUP(Tabel3[[#This Row],[P-nr]],'data Chauffeur'!A:F,3,FALSE)</f>
        <v>Ramazan</v>
      </c>
      <c r="E75" s="30" t="str">
        <f>CONCATENATE(Tabel3[[#This Row],[P-nr]]," ",Tabel3[[#This Row],[Naam]]," ",Tabel3[[#This Row],[Voornaam]])</f>
        <v>39712 Repaj Ramazan</v>
      </c>
      <c r="F75" s="30" t="str">
        <f>VLOOKUP(Tabel3[[#This Row],[P-nr]],'data Chauffeur'!A:F,6)</f>
        <v>Gent stad</v>
      </c>
      <c r="G75" s="30" t="str">
        <f>VLOOKUP(Tabel3[[#This Row],[P-nr]],'data Chauffeur'!A:F,4,FALSE)</f>
        <v>Bart Van Der Beken</v>
      </c>
      <c r="H75" t="str">
        <f>VLOOKUP(Tabel3[[#This Row],[P-nr]],'data Chauffeur'!A:F,5,FALSE)</f>
        <v>RESF</v>
      </c>
      <c r="K75" s="30" t="s">
        <v>52</v>
      </c>
      <c r="L75" s="37">
        <v>45821</v>
      </c>
      <c r="M75" s="30" t="s">
        <v>72</v>
      </c>
      <c r="N75" t="s">
        <v>74</v>
      </c>
      <c r="O75" t="s">
        <v>73</v>
      </c>
      <c r="R75" s="2" t="s">
        <v>70</v>
      </c>
    </row>
    <row r="76" spans="1:18" ht="15.6" x14ac:dyDescent="0.3">
      <c r="A76" s="23"/>
      <c r="B76" s="47">
        <v>29746</v>
      </c>
      <c r="C76" s="29" t="str">
        <f>VLOOKUP(Tabel3[[#This Row],[P-nr]],'data Chauffeur'!A:F,2,FALSE)</f>
        <v>Huyse</v>
      </c>
      <c r="D76" s="29" t="str">
        <f>VLOOKUP(Tabel3[[#This Row],[P-nr]],'data Chauffeur'!A:F,3,FALSE)</f>
        <v>Annicke</v>
      </c>
      <c r="E76" s="29" t="str">
        <f>CONCATENATE(Tabel3[[#This Row],[P-nr]]," ",Tabel3[[#This Row],[Naam]]," ",Tabel3[[#This Row],[Voornaam]])</f>
        <v>29746 Huyse Annicke</v>
      </c>
      <c r="F76" s="29" t="str">
        <f>VLOOKUP(Tabel3[[#This Row],[P-nr]],'data Chauffeur'!A:F,6)</f>
        <v>Gent stad</v>
      </c>
      <c r="G76" s="29" t="str">
        <f>VLOOKUP(Tabel3[[#This Row],[P-nr]],'data Chauffeur'!A:F,4,FALSE)</f>
        <v>Bart Van Der Beken</v>
      </c>
      <c r="H76" s="23" t="str">
        <f>VLOOKUP(Tabel3[[#This Row],[P-nr]],'data Chauffeur'!A:F,5,FALSE)</f>
        <v>B24</v>
      </c>
      <c r="I76" s="24" t="s">
        <v>51</v>
      </c>
      <c r="J76" s="25" t="s">
        <v>71</v>
      </c>
      <c r="K76" s="29" t="s">
        <v>52</v>
      </c>
      <c r="L76" s="38">
        <v>45824</v>
      </c>
      <c r="M76" s="29" t="s">
        <v>87</v>
      </c>
      <c r="N76" s="23" t="s">
        <v>38</v>
      </c>
      <c r="O76" s="23" t="s">
        <v>75</v>
      </c>
      <c r="P76" s="23" t="s">
        <v>69</v>
      </c>
      <c r="Q76" s="23"/>
      <c r="R76" s="23" t="s">
        <v>70</v>
      </c>
    </row>
    <row r="77" spans="1:18" x14ac:dyDescent="0.3">
      <c r="B77" s="48">
        <v>41520</v>
      </c>
      <c r="C77" s="30" t="str">
        <f>VLOOKUP(Tabel3[[#This Row],[P-nr]],'data Chauffeur'!A:F,2,FALSE)</f>
        <v>Smets</v>
      </c>
      <c r="D77" s="30" t="str">
        <f>VLOOKUP(Tabel3[[#This Row],[P-nr]],'data Chauffeur'!A:F,3,FALSE)</f>
        <v>Avery</v>
      </c>
      <c r="E77" s="30" t="str">
        <f>CONCATENATE(Tabel3[[#This Row],[P-nr]]," ",Tabel3[[#This Row],[Naam]]," ",Tabel3[[#This Row],[Voornaam]])</f>
        <v>41520 Smets Avery</v>
      </c>
      <c r="F77" s="30" t="str">
        <f>VLOOKUP(Tabel3[[#This Row],[P-nr]],'data Chauffeur'!A:F,6)</f>
        <v>Gent stad</v>
      </c>
      <c r="G77" s="30" t="str">
        <f>VLOOKUP(Tabel3[[#This Row],[P-nr]],'data Chauffeur'!A:F,4,FALSE)</f>
        <v>Christoff Rotty</v>
      </c>
      <c r="H77" t="str">
        <f>VLOOKUP(Tabel3[[#This Row],[P-nr]],'data Chauffeur'!A:F,5,FALSE)</f>
        <v>RESF</v>
      </c>
      <c r="J77" s="8" t="s">
        <v>71</v>
      </c>
      <c r="K77" s="30" t="s">
        <v>125</v>
      </c>
      <c r="L77" s="37">
        <v>45824</v>
      </c>
      <c r="O77" t="s">
        <v>68</v>
      </c>
      <c r="P77" t="s">
        <v>69</v>
      </c>
      <c r="R77" s="2" t="s">
        <v>70</v>
      </c>
    </row>
    <row r="78" spans="1:18" x14ac:dyDescent="0.3">
      <c r="B78" s="48">
        <v>40414</v>
      </c>
      <c r="C78" s="30" t="str">
        <f>VLOOKUP(Tabel3[[#This Row],[P-nr]],'data Chauffeur'!A:F,2,FALSE)</f>
        <v>Ennakaba</v>
      </c>
      <c r="D78" s="30" t="str">
        <f>VLOOKUP(Tabel3[[#This Row],[P-nr]],'data Chauffeur'!A:F,3,FALSE)</f>
        <v>Khaoula</v>
      </c>
      <c r="E78" s="30" t="str">
        <f>CONCATENATE(Tabel3[[#This Row],[P-nr]]," ",Tabel3[[#This Row],[Naam]]," ",Tabel3[[#This Row],[Voornaam]])</f>
        <v>40414 Ennakaba Khaoula</v>
      </c>
      <c r="F78" s="30" t="str">
        <f>VLOOKUP(Tabel3[[#This Row],[P-nr]],'data Chauffeur'!A:F,6)</f>
        <v>Gent stad</v>
      </c>
      <c r="G78" s="30" t="str">
        <f>VLOOKUP(Tabel3[[#This Row],[P-nr]],'data Chauffeur'!A:F,4,FALSE)</f>
        <v>Steven Storm</v>
      </c>
      <c r="H78" t="str">
        <f>VLOOKUP(Tabel3[[#This Row],[P-nr]],'data Chauffeur'!A:F,5,FALSE)</f>
        <v>RESF</v>
      </c>
      <c r="I78" s="8" t="s">
        <v>51</v>
      </c>
      <c r="J78" s="8" t="s">
        <v>71</v>
      </c>
      <c r="K78" s="30" t="s">
        <v>89</v>
      </c>
      <c r="L78" s="37">
        <v>45825</v>
      </c>
      <c r="M78" s="30" t="s">
        <v>126</v>
      </c>
      <c r="O78" t="s">
        <v>68</v>
      </c>
      <c r="P78" t="s">
        <v>69</v>
      </c>
      <c r="R78" s="2" t="s">
        <v>70</v>
      </c>
    </row>
    <row r="79" spans="1:18" x14ac:dyDescent="0.3">
      <c r="A79" s="18" t="s">
        <v>23</v>
      </c>
      <c r="B79" s="48">
        <v>39930</v>
      </c>
      <c r="C79" s="30" t="str">
        <f>VLOOKUP(Tabel3[[#This Row],[P-nr]],'data Chauffeur'!A:F,2,FALSE)</f>
        <v>Mirazai</v>
      </c>
      <c r="D79" s="30" t="str">
        <f>VLOOKUP(Tabel3[[#This Row],[P-nr]],'data Chauffeur'!A:F,3,FALSE)</f>
        <v>Rahmatullah</v>
      </c>
      <c r="E79" s="30" t="str">
        <f>CONCATENATE(Tabel3[[#This Row],[P-nr]]," ",Tabel3[[#This Row],[Naam]]," ",Tabel3[[#This Row],[Voornaam]])</f>
        <v>39930 Mirazai Rahmatullah</v>
      </c>
      <c r="F79" s="30" t="str">
        <f>VLOOKUP(Tabel3[[#This Row],[P-nr]],'data Chauffeur'!A:F,6)</f>
        <v>Gent stad</v>
      </c>
      <c r="G79" s="30" t="str">
        <f>VLOOKUP(Tabel3[[#This Row],[P-nr]],'data Chauffeur'!A:F,4,FALSE)</f>
        <v>Christoff Rotty</v>
      </c>
      <c r="H79" t="str">
        <f>VLOOKUP(Tabel3[[#This Row],[P-nr]],'data Chauffeur'!A:F,5,FALSE)</f>
        <v>RESF</v>
      </c>
      <c r="I79" s="8" t="s">
        <v>127</v>
      </c>
      <c r="J79" s="8" t="s">
        <v>71</v>
      </c>
      <c r="K79" s="30" t="s">
        <v>52</v>
      </c>
      <c r="L79" s="37">
        <v>45826</v>
      </c>
      <c r="M79" s="30" t="s">
        <v>96</v>
      </c>
      <c r="N79" t="s">
        <v>126</v>
      </c>
      <c r="O79" t="s">
        <v>75</v>
      </c>
      <c r="P79" t="s">
        <v>69</v>
      </c>
      <c r="R79" s="2" t="s">
        <v>70</v>
      </c>
    </row>
    <row r="80" spans="1:18" x14ac:dyDescent="0.3">
      <c r="A80" s="18"/>
      <c r="B80" s="48">
        <v>12173</v>
      </c>
      <c r="C80" s="30" t="str">
        <f>VLOOKUP(Tabel3[[#This Row],[P-nr]],'data Chauffeur'!A:F,2,FALSE)</f>
        <v>De Feyter</v>
      </c>
      <c r="D80" s="30" t="str">
        <f>VLOOKUP(Tabel3[[#This Row],[P-nr]],'data Chauffeur'!A:F,3,FALSE)</f>
        <v>David</v>
      </c>
      <c r="E80" s="30" t="str">
        <f>CONCATENATE(Tabel3[[#This Row],[P-nr]]," ",Tabel3[[#This Row],[Naam]]," ",Tabel3[[#This Row],[Voornaam]])</f>
        <v>12173 De Feyter David</v>
      </c>
      <c r="F80" s="30" t="e">
        <f>VLOOKUP(Tabel3[[#This Row],[P-nr]],'data Chauffeur'!A:F,6)</f>
        <v>#N/A</v>
      </c>
      <c r="G80" s="30" t="str">
        <f>VLOOKUP(Tabel3[[#This Row],[P-nr]],'data Chauffeur'!A:F,4,FALSE)</f>
        <v>Els Vanhoe</v>
      </c>
      <c r="H80" t="str">
        <f>VLOOKUP(Tabel3[[#This Row],[P-nr]],'data Chauffeur'!A:F,5,FALSE)</f>
        <v>SW05</v>
      </c>
      <c r="I80" s="8" t="s">
        <v>128</v>
      </c>
      <c r="J80" s="8" t="s">
        <v>71</v>
      </c>
      <c r="K80" s="30" t="s">
        <v>52</v>
      </c>
      <c r="L80" s="37">
        <v>45826</v>
      </c>
      <c r="O80" t="s">
        <v>68</v>
      </c>
      <c r="R80" s="2" t="s">
        <v>70</v>
      </c>
    </row>
    <row r="81" spans="1:18" x14ac:dyDescent="0.3">
      <c r="A81" s="18" t="s">
        <v>23</v>
      </c>
      <c r="B81" s="48">
        <v>39850</v>
      </c>
      <c r="C81" s="30" t="str">
        <f>VLOOKUP(Tabel3[[#This Row],[P-nr]],'data Chauffeur'!A:F,2,FALSE)</f>
        <v>Helleputte</v>
      </c>
      <c r="D81" s="30" t="str">
        <f>VLOOKUP(Tabel3[[#This Row],[P-nr]],'data Chauffeur'!A:F,3,FALSE)</f>
        <v>William</v>
      </c>
      <c r="E81" s="30" t="str">
        <f>CONCATENATE(Tabel3[[#This Row],[P-nr]]," ",Tabel3[[#This Row],[Naam]]," ",Tabel3[[#This Row],[Voornaam]])</f>
        <v>39850 Helleputte William</v>
      </c>
      <c r="F81" s="30" t="str">
        <f>VLOOKUP(Tabel3[[#This Row],[P-nr]],'data Chauffeur'!A:F,6)</f>
        <v>Gent stad</v>
      </c>
      <c r="G81" s="30" t="str">
        <f>VLOOKUP(Tabel3[[#This Row],[P-nr]],'data Chauffeur'!A:F,4,FALSE)</f>
        <v>Dominique De Clercq</v>
      </c>
      <c r="H81" t="str">
        <f>VLOOKUP(Tabel3[[#This Row],[P-nr]],'data Chauffeur'!A:F,5,FALSE)</f>
        <v>RESF</v>
      </c>
      <c r="I81" s="8" t="s">
        <v>34</v>
      </c>
      <c r="K81" s="30"/>
      <c r="L81" s="37">
        <v>45826</v>
      </c>
      <c r="O81" t="s">
        <v>75</v>
      </c>
      <c r="R81" s="2" t="s">
        <v>70</v>
      </c>
    </row>
    <row r="82" spans="1:18" x14ac:dyDescent="0.3">
      <c r="B82" s="48">
        <v>40745</v>
      </c>
      <c r="C82" s="30" t="str">
        <f>VLOOKUP(Tabel3[[#This Row],[P-nr]],'data Chauffeur'!A:F,2,FALSE)</f>
        <v>Ivanov</v>
      </c>
      <c r="D82" s="30" t="str">
        <f>VLOOKUP(Tabel3[[#This Row],[P-nr]],'data Chauffeur'!A:F,3,FALSE)</f>
        <v>Ivan</v>
      </c>
      <c r="E82" s="30" t="str">
        <f>CONCATENATE(Tabel3[[#This Row],[P-nr]]," ",Tabel3[[#This Row],[Naam]]," ",Tabel3[[#This Row],[Voornaam]])</f>
        <v>40745 Ivanov Ivan</v>
      </c>
      <c r="F82" s="30" t="str">
        <f>VLOOKUP(Tabel3[[#This Row],[P-nr]],'data Chauffeur'!A:F,6)</f>
        <v>Gent stad</v>
      </c>
      <c r="G82" s="30" t="str">
        <f>VLOOKUP(Tabel3[[#This Row],[P-nr]],'data Chauffeur'!A:F,4,FALSE)</f>
        <v>Bart Van Der Beken</v>
      </c>
      <c r="H82" t="str">
        <f>VLOOKUP(Tabel3[[#This Row],[P-nr]],'data Chauffeur'!A:F,5,FALSE)</f>
        <v>RESF</v>
      </c>
      <c r="K82" s="30"/>
      <c r="L82" s="37">
        <v>45826</v>
      </c>
      <c r="O82" t="s">
        <v>68</v>
      </c>
      <c r="P82" t="s">
        <v>69</v>
      </c>
      <c r="R82" s="2" t="s">
        <v>70</v>
      </c>
    </row>
    <row r="83" spans="1:18" x14ac:dyDescent="0.3">
      <c r="A83" s="18"/>
      <c r="B83" s="48">
        <v>38047</v>
      </c>
      <c r="C83" s="30" t="str">
        <f>VLOOKUP(Tabel3[[#This Row],[P-nr]],'data Chauffeur'!A:F,2,FALSE)</f>
        <v>Aljorof</v>
      </c>
      <c r="D83" s="30" t="str">
        <f>VLOOKUP(Tabel3[[#This Row],[P-nr]],'data Chauffeur'!A:F,3,FALSE)</f>
        <v>Marwan</v>
      </c>
      <c r="E83" s="30" t="str">
        <f>CONCATENATE(Tabel3[[#This Row],[P-nr]]," ",Tabel3[[#This Row],[Naam]]," ",Tabel3[[#This Row],[Voornaam]])</f>
        <v>38047 Aljorof Marwan</v>
      </c>
      <c r="F83" s="30" t="str">
        <f>VLOOKUP(Tabel3[[#This Row],[P-nr]],'data Chauffeur'!A:F,6)</f>
        <v>Gent stad</v>
      </c>
      <c r="G83" s="30" t="str">
        <f>VLOOKUP(Tabel3[[#This Row],[P-nr]],'data Chauffeur'!A:F,4,FALSE)</f>
        <v>Christoff Rotty</v>
      </c>
      <c r="H83" t="str">
        <f>VLOOKUP(Tabel3[[#This Row],[P-nr]],'data Chauffeur'!A:F,5,FALSE)</f>
        <v>RESF</v>
      </c>
      <c r="K83" s="30" t="s">
        <v>89</v>
      </c>
      <c r="L83" s="37">
        <v>45826</v>
      </c>
      <c r="O83" t="s">
        <v>73</v>
      </c>
      <c r="R83" s="2" t="s">
        <v>70</v>
      </c>
    </row>
    <row r="84" spans="1:18" x14ac:dyDescent="0.3">
      <c r="A84" s="18"/>
      <c r="B84" s="48">
        <v>31360</v>
      </c>
      <c r="C84" s="30" t="str">
        <f>VLOOKUP(Tabel3[[#This Row],[P-nr]],'data Chauffeur'!A:F,2,FALSE)</f>
        <v>Simsek</v>
      </c>
      <c r="D84" s="30" t="str">
        <f>VLOOKUP(Tabel3[[#This Row],[P-nr]],'data Chauffeur'!A:F,3,FALSE)</f>
        <v>Fatih</v>
      </c>
      <c r="E84" s="30" t="str">
        <f>CONCATENATE(Tabel3[[#This Row],[P-nr]]," ",Tabel3[[#This Row],[Naam]]," ",Tabel3[[#This Row],[Voornaam]])</f>
        <v>31360 Simsek Fatih</v>
      </c>
      <c r="F84" s="30" t="str">
        <f>VLOOKUP(Tabel3[[#This Row],[P-nr]],'data Chauffeur'!A:F,6)</f>
        <v>Gent stad</v>
      </c>
      <c r="G84" s="30" t="str">
        <f>VLOOKUP(Tabel3[[#This Row],[P-nr]],'data Chauffeur'!A:F,4,FALSE)</f>
        <v>Dominique De Clercq</v>
      </c>
      <c r="H84" t="str">
        <f>VLOOKUP(Tabel3[[#This Row],[P-nr]],'data Chauffeur'!A:F,5,FALSE)</f>
        <v>ML12</v>
      </c>
      <c r="K84" s="30">
        <v>17552</v>
      </c>
      <c r="L84" s="37">
        <v>45826</v>
      </c>
      <c r="M84" s="30" t="s">
        <v>72</v>
      </c>
      <c r="N84" t="s">
        <v>38</v>
      </c>
      <c r="O84" t="s">
        <v>73</v>
      </c>
      <c r="R84" s="2" t="s">
        <v>70</v>
      </c>
    </row>
    <row r="85" spans="1:18" x14ac:dyDescent="0.3">
      <c r="B85" s="48">
        <v>35220</v>
      </c>
      <c r="C85" s="33" t="str">
        <f>VLOOKUP(Tabel3[[#This Row],[P-nr]],'data Chauffeur'!A:F,2,FALSE)</f>
        <v>Akmese</v>
      </c>
      <c r="D85" s="30" t="str">
        <f>VLOOKUP(Tabel3[[#This Row],[P-nr]],'data Chauffeur'!A:F,3,FALSE)</f>
        <v>Ahmet</v>
      </c>
      <c r="E85" s="30" t="str">
        <f>CONCATENATE(Tabel3[[#This Row],[P-nr]]," ",Tabel3[[#This Row],[Naam]]," ",Tabel3[[#This Row],[Voornaam]])</f>
        <v>35220 Akmese Ahmet</v>
      </c>
      <c r="F85" s="30" t="str">
        <f>VLOOKUP(Tabel3[[#This Row],[P-nr]],'data Chauffeur'!A:F,6)</f>
        <v>Gent stad</v>
      </c>
      <c r="G85" s="30" t="str">
        <f>VLOOKUP(Tabel3[[#This Row],[P-nr]],'data Chauffeur'!A:F,4,FALSE)</f>
        <v>Lucie Vande Velde</v>
      </c>
      <c r="H85" t="str">
        <f>VLOOKUP(Tabel3[[#This Row],[P-nr]],'data Chauffeur'!A:F,5,FALSE)</f>
        <v>B09</v>
      </c>
      <c r="I85" s="8" t="s">
        <v>51</v>
      </c>
      <c r="J85" s="8" t="s">
        <v>71</v>
      </c>
      <c r="K85" s="30" t="s">
        <v>52</v>
      </c>
      <c r="L85" s="37">
        <v>45833</v>
      </c>
      <c r="O85" t="s">
        <v>75</v>
      </c>
      <c r="R85" s="2" t="s">
        <v>70</v>
      </c>
    </row>
    <row r="86" spans="1:18" x14ac:dyDescent="0.3">
      <c r="B86" s="48">
        <v>36627</v>
      </c>
      <c r="C86" s="33" t="str">
        <f>VLOOKUP(Tabel3[[#This Row],[P-nr]],'data Chauffeur'!A:F,2,FALSE)</f>
        <v>Dobbelaere</v>
      </c>
      <c r="D86" s="30" t="str">
        <f>VLOOKUP(Tabel3[[#This Row],[P-nr]],'data Chauffeur'!A:F,3,FALSE)</f>
        <v>David</v>
      </c>
      <c r="E86" s="30" t="str">
        <f>CONCATENATE(Tabel3[[#This Row],[P-nr]]," ",Tabel3[[#This Row],[Naam]]," ",Tabel3[[#This Row],[Voornaam]])</f>
        <v>36627 Dobbelaere David</v>
      </c>
      <c r="F86" s="30" t="str">
        <f>VLOOKUP(Tabel3[[#This Row],[P-nr]],'data Chauffeur'!A:F,6)</f>
        <v>Gent stad</v>
      </c>
      <c r="G86" s="30" t="str">
        <f>VLOOKUP(Tabel3[[#This Row],[P-nr]],'data Chauffeur'!A:F,4,FALSE)</f>
        <v>Els Dewulf</v>
      </c>
      <c r="H86" t="str">
        <f>VLOOKUP(Tabel3[[#This Row],[P-nr]],'data Chauffeur'!A:F,5,FALSE)</f>
        <v>B24</v>
      </c>
      <c r="I86" s="8" t="s">
        <v>51</v>
      </c>
      <c r="J86" s="8" t="s">
        <v>71</v>
      </c>
      <c r="K86" s="30" t="s">
        <v>52</v>
      </c>
      <c r="L86" s="37">
        <v>45833</v>
      </c>
      <c r="M86" s="30" t="s">
        <v>72</v>
      </c>
      <c r="O86" t="s">
        <v>73</v>
      </c>
      <c r="R86" s="2" t="s">
        <v>70</v>
      </c>
    </row>
    <row r="87" spans="1:18" x14ac:dyDescent="0.3">
      <c r="A87" s="18"/>
      <c r="B87" s="48">
        <v>39858</v>
      </c>
      <c r="C87" s="30" t="str">
        <f>VLOOKUP(Tabel3[[#This Row],[P-nr]],'data Chauffeur'!A:F,2,FALSE)</f>
        <v>Jacobs</v>
      </c>
      <c r="D87" s="30" t="str">
        <f>VLOOKUP(Tabel3[[#This Row],[P-nr]],'data Chauffeur'!A:F,3,FALSE)</f>
        <v>Elos</v>
      </c>
      <c r="E87" s="30" t="str">
        <f>CONCATENATE(Tabel3[[#This Row],[P-nr]]," ",Tabel3[[#This Row],[Naam]]," ",Tabel3[[#This Row],[Voornaam]])</f>
        <v>39858 Jacobs Elos</v>
      </c>
      <c r="F87" s="30" t="str">
        <f>VLOOKUP(Tabel3[[#This Row],[P-nr]],'data Chauffeur'!A:F,6)</f>
        <v>Gent stad</v>
      </c>
      <c r="G87" s="30" t="str">
        <f>VLOOKUP(Tabel3[[#This Row],[P-nr]],'data Chauffeur'!A:F,4,FALSE)</f>
        <v>Els Dewulf</v>
      </c>
      <c r="H87" t="str">
        <f>VLOOKUP(Tabel3[[#This Row],[P-nr]],'data Chauffeur'!A:F,5,FALSE)</f>
        <v>RESF</v>
      </c>
      <c r="I87" s="8" t="s">
        <v>51</v>
      </c>
      <c r="J87" s="8" t="s">
        <v>71</v>
      </c>
      <c r="K87" s="30" t="s">
        <v>117</v>
      </c>
      <c r="L87" s="37">
        <v>45838</v>
      </c>
      <c r="M87" s="30" t="s">
        <v>105</v>
      </c>
      <c r="N87" t="s">
        <v>129</v>
      </c>
      <c r="O87" t="s">
        <v>79</v>
      </c>
      <c r="P87" t="s">
        <v>23</v>
      </c>
      <c r="R87" s="2" t="s">
        <v>70</v>
      </c>
    </row>
    <row r="88" spans="1:18" x14ac:dyDescent="0.3">
      <c r="A88" s="18"/>
      <c r="B88" s="48">
        <v>41520</v>
      </c>
      <c r="C88" s="30" t="str">
        <f>VLOOKUP(Tabel3[[#This Row],[P-nr]],'data Chauffeur'!A:F,2,FALSE)</f>
        <v>Smets</v>
      </c>
      <c r="D88" s="30" t="str">
        <f>VLOOKUP(Tabel3[[#This Row],[P-nr]],'data Chauffeur'!A:F,3,FALSE)</f>
        <v>Avery</v>
      </c>
      <c r="E88" s="30" t="str">
        <f>CONCATENATE(Tabel3[[#This Row],[P-nr]]," ",Tabel3[[#This Row],[Naam]]," ",Tabel3[[#This Row],[Voornaam]])</f>
        <v>41520 Smets Avery</v>
      </c>
      <c r="F88" s="30" t="str">
        <f>VLOOKUP(Tabel3[[#This Row],[P-nr]],'data Chauffeur'!A:F,6)</f>
        <v>Gent stad</v>
      </c>
      <c r="G88" s="30" t="str">
        <f>VLOOKUP(Tabel3[[#This Row],[P-nr]],'data Chauffeur'!A:F,4,FALSE)</f>
        <v>Christoff Rotty</v>
      </c>
      <c r="H88" t="str">
        <f>VLOOKUP(Tabel3[[#This Row],[P-nr]],'data Chauffeur'!A:F,5,FALSE)</f>
        <v>RESF</v>
      </c>
      <c r="I88" s="8" t="s">
        <v>51</v>
      </c>
      <c r="J88" s="8" t="s">
        <v>71</v>
      </c>
      <c r="K88" s="30" t="s">
        <v>117</v>
      </c>
      <c r="L88" s="37">
        <v>45838</v>
      </c>
      <c r="M88" s="30" t="s">
        <v>110</v>
      </c>
      <c r="N88" t="s">
        <v>130</v>
      </c>
      <c r="O88" t="s">
        <v>75</v>
      </c>
      <c r="P88" t="s">
        <v>69</v>
      </c>
      <c r="R88" s="2" t="s">
        <v>70</v>
      </c>
    </row>
    <row r="89" spans="1:18" x14ac:dyDescent="0.3">
      <c r="B89" s="48">
        <v>17951</v>
      </c>
      <c r="C89" s="30" t="str">
        <f>VLOOKUP(Tabel3[[#This Row],[P-nr]],'data Chauffeur'!A:F,2,FALSE)</f>
        <v>Lega</v>
      </c>
      <c r="D89" s="30" t="str">
        <f>VLOOKUP(Tabel3[[#This Row],[P-nr]],'data Chauffeur'!A:F,3,FALSE)</f>
        <v>Claude</v>
      </c>
      <c r="E89" s="30" t="str">
        <f>CONCATENATE(Tabel3[[#This Row],[P-nr]]," ",Tabel3[[#This Row],[Naam]]," ",Tabel3[[#This Row],[Voornaam]])</f>
        <v>17951 Lega Claude</v>
      </c>
      <c r="F89" s="30" t="e">
        <f>VLOOKUP(Tabel3[[#This Row],[P-nr]],'data Chauffeur'!A:F,6)</f>
        <v>#N/A</v>
      </c>
      <c r="G89" s="30" t="str">
        <f>VLOOKUP(Tabel3[[#This Row],[P-nr]],'data Chauffeur'!A:F,4,FALSE)</f>
        <v>Bart Van Der Beken</v>
      </c>
      <c r="H89" t="str">
        <f>VLOOKUP(Tabel3[[#This Row],[P-nr]],'data Chauffeur'!A:F,5,FALSE)</f>
        <v>RESV</v>
      </c>
      <c r="I89" s="8" t="s">
        <v>51</v>
      </c>
      <c r="J89" s="8" t="s">
        <v>66</v>
      </c>
      <c r="K89" s="30" t="s">
        <v>131</v>
      </c>
      <c r="L89" s="37">
        <v>45838</v>
      </c>
      <c r="N89" s="10">
        <v>45838</v>
      </c>
      <c r="O89" t="s">
        <v>73</v>
      </c>
      <c r="R89" s="2" t="s">
        <v>70</v>
      </c>
    </row>
    <row r="90" spans="1:18" x14ac:dyDescent="0.3">
      <c r="B90" s="48">
        <v>20400</v>
      </c>
      <c r="C90" s="30" t="str">
        <f>VLOOKUP(Tabel3[[#This Row],[P-nr]],'data Chauffeur'!A:F,2,FALSE)</f>
        <v>Allan</v>
      </c>
      <c r="D90" s="30" t="str">
        <f>VLOOKUP(Tabel3[[#This Row],[P-nr]],'data Chauffeur'!A:F,3,FALSE)</f>
        <v>Kenneth</v>
      </c>
      <c r="E90" s="30" t="str">
        <f>CONCATENATE(Tabel3[[#This Row],[P-nr]]," ",Tabel3[[#This Row],[Naam]]," ",Tabel3[[#This Row],[Voornaam]])</f>
        <v>20400 Allan Kenneth</v>
      </c>
      <c r="F90" s="30" t="e">
        <f>VLOOKUP(Tabel3[[#This Row],[P-nr]],'data Chauffeur'!A:F,6)</f>
        <v>#N/A</v>
      </c>
      <c r="G90" s="30" t="str">
        <f>VLOOKUP(Tabel3[[#This Row],[P-nr]],'data Chauffeur'!A:F,4,FALSE)</f>
        <v>Dominique De Clercq</v>
      </c>
      <c r="H90" t="str">
        <f>VLOOKUP(Tabel3[[#This Row],[P-nr]],'data Chauffeur'!A:F,5,FALSE)</f>
        <v>RESV</v>
      </c>
      <c r="I90" s="8" t="s">
        <v>51</v>
      </c>
      <c r="J90" s="8" t="s">
        <v>66</v>
      </c>
      <c r="K90" s="30" t="s">
        <v>131</v>
      </c>
      <c r="L90" s="37">
        <v>45838</v>
      </c>
      <c r="N90" s="10"/>
      <c r="O90" t="s">
        <v>75</v>
      </c>
      <c r="R90" s="2" t="s">
        <v>70</v>
      </c>
    </row>
    <row r="91" spans="1:18" x14ac:dyDescent="0.3">
      <c r="B91" s="48">
        <v>36512</v>
      </c>
      <c r="C91" s="30" t="str">
        <f>VLOOKUP(Tabel3[[#This Row],[P-nr]],'data Chauffeur'!A:F,2,FALSE)</f>
        <v>Van Herreweghe</v>
      </c>
      <c r="D91" s="30" t="str">
        <f>VLOOKUP(Tabel3[[#This Row],[P-nr]],'data Chauffeur'!A:F,3,FALSE)</f>
        <v>Branco</v>
      </c>
      <c r="E91" s="30" t="str">
        <f>CONCATENATE(Tabel3[[#This Row],[P-nr]]," ",Tabel3[[#This Row],[Naam]]," ",Tabel3[[#This Row],[Voornaam]])</f>
        <v>36512 Van Herreweghe Branco</v>
      </c>
      <c r="F91" s="30" t="str">
        <f>VLOOKUP(Tabel3[[#This Row],[P-nr]],'data Chauffeur'!A:F,6)</f>
        <v>Gent stad</v>
      </c>
      <c r="G91" s="30" t="str">
        <f>VLOOKUP(Tabel3[[#This Row],[P-nr]],'data Chauffeur'!A:F,4,FALSE)</f>
        <v>Steven Storm</v>
      </c>
      <c r="H91" t="str">
        <f>VLOOKUP(Tabel3[[#This Row],[P-nr]],'data Chauffeur'!A:F,5,FALSE)</f>
        <v>G10</v>
      </c>
      <c r="I91" s="8" t="s">
        <v>46</v>
      </c>
      <c r="K91" s="30" t="s">
        <v>77</v>
      </c>
      <c r="L91" s="37">
        <v>45838</v>
      </c>
      <c r="M91" s="30" t="s">
        <v>72</v>
      </c>
      <c r="N91" s="10"/>
      <c r="O91" t="s">
        <v>75</v>
      </c>
      <c r="R91" s="2" t="s">
        <v>70</v>
      </c>
    </row>
    <row r="92" spans="1:18" x14ac:dyDescent="0.3">
      <c r="B92" s="48">
        <v>40138</v>
      </c>
      <c r="C92" s="30" t="str">
        <f>VLOOKUP(Tabel3[[#This Row],[P-nr]],'data Chauffeur'!A:F,2,FALSE)</f>
        <v>Moerman</v>
      </c>
      <c r="D92" s="30" t="str">
        <f>VLOOKUP(Tabel3[[#This Row],[P-nr]],'data Chauffeur'!A:F,3,FALSE)</f>
        <v>Tjimmy</v>
      </c>
      <c r="E92" s="30" t="str">
        <f>CONCATENATE(Tabel3[[#This Row],[P-nr]]," ",Tabel3[[#This Row],[Naam]]," ",Tabel3[[#This Row],[Voornaam]])</f>
        <v>40138 Moerman Tjimmy</v>
      </c>
      <c r="F92" s="30" t="str">
        <f>VLOOKUP(Tabel3[[#This Row],[P-nr]],'data Chauffeur'!A:F,6)</f>
        <v>Gent stad</v>
      </c>
      <c r="G92" s="30" t="str">
        <f>VLOOKUP(Tabel3[[#This Row],[P-nr]],'data Chauffeur'!A:F,4,FALSE)</f>
        <v>Christoff Rotty</v>
      </c>
      <c r="H92" t="str">
        <f>VLOOKUP(Tabel3[[#This Row],[P-nr]],'data Chauffeur'!A:F,5,FALSE)</f>
        <v>RESF</v>
      </c>
      <c r="I92" s="8" t="s">
        <v>27</v>
      </c>
      <c r="J92" s="8" t="s">
        <v>71</v>
      </c>
      <c r="K92" s="30" t="s">
        <v>77</v>
      </c>
      <c r="L92" s="37">
        <v>45838</v>
      </c>
      <c r="N92" s="10"/>
      <c r="O92" t="s">
        <v>75</v>
      </c>
      <c r="R92" s="2" t="s">
        <v>70</v>
      </c>
    </row>
    <row r="93" spans="1:18" x14ac:dyDescent="0.3">
      <c r="B93" s="48">
        <v>33965</v>
      </c>
      <c r="C93" s="30" t="e">
        <f>VLOOKUP(Tabel3[[#This Row],[P-nr]],'data Chauffeur'!A:F,2,FALSE)</f>
        <v>#N/A</v>
      </c>
      <c r="D93" s="30" t="e">
        <f>VLOOKUP(Tabel3[[#This Row],[P-nr]],'data Chauffeur'!A:F,3,FALSE)</f>
        <v>#N/A</v>
      </c>
      <c r="E93" s="30" t="e">
        <f>CONCATENATE(Tabel3[[#This Row],[P-nr]]," ",Tabel3[[#This Row],[Naam]]," ",Tabel3[[#This Row],[Voornaam]])</f>
        <v>#N/A</v>
      </c>
      <c r="F93" s="30" t="str">
        <f>VLOOKUP(Tabel3[[#This Row],[P-nr]],'data Chauffeur'!A:F,6)</f>
        <v>Gent stad</v>
      </c>
      <c r="G93" s="30" t="e">
        <f>VLOOKUP(Tabel3[[#This Row],[P-nr]],'data Chauffeur'!A:F,4,FALSE)</f>
        <v>#N/A</v>
      </c>
      <c r="H93" t="e">
        <f>VLOOKUP(Tabel3[[#This Row],[P-nr]],'data Chauffeur'!A:F,5,FALSE)</f>
        <v>#N/A</v>
      </c>
      <c r="I93" s="8" t="s">
        <v>132</v>
      </c>
      <c r="K93" s="30" t="s">
        <v>47</v>
      </c>
      <c r="L93" s="37">
        <v>45841</v>
      </c>
      <c r="M93" s="30" t="s">
        <v>72</v>
      </c>
      <c r="N93" t="s">
        <v>38</v>
      </c>
      <c r="O93" t="s">
        <v>73</v>
      </c>
      <c r="R93" s="2" t="s">
        <v>70</v>
      </c>
    </row>
    <row r="94" spans="1:18" x14ac:dyDescent="0.3">
      <c r="B94" s="48">
        <v>17566</v>
      </c>
      <c r="C94" s="30" t="str">
        <f>VLOOKUP(Tabel3[[#This Row],[P-nr]],'data Chauffeur'!A:F,2,FALSE)</f>
        <v>Praet</v>
      </c>
      <c r="D94" s="30" t="str">
        <f>VLOOKUP(Tabel3[[#This Row],[P-nr]],'data Chauffeur'!A:F,3,FALSE)</f>
        <v>Reginald</v>
      </c>
      <c r="E94" s="30" t="str">
        <f>CONCATENATE(Tabel3[[#This Row],[P-nr]]," ",Tabel3[[#This Row],[Naam]]," ",Tabel3[[#This Row],[Voornaam]])</f>
        <v>17566 Praet Reginald</v>
      </c>
      <c r="F94" s="30" t="e">
        <f>VLOOKUP(Tabel3[[#This Row],[P-nr]],'data Chauffeur'!A:F,6)</f>
        <v>#N/A</v>
      </c>
      <c r="G94" s="30" t="str">
        <f>VLOOKUP(Tabel3[[#This Row],[P-nr]],'data Chauffeur'!A:F,4,FALSE)</f>
        <v>Bart Van Der Beken</v>
      </c>
      <c r="H94" t="str">
        <f>VLOOKUP(Tabel3[[#This Row],[P-nr]],'data Chauffeur'!A:F,5,FALSE)</f>
        <v>T24</v>
      </c>
      <c r="I94" s="8" t="s">
        <v>51</v>
      </c>
      <c r="J94" s="8" t="s">
        <v>66</v>
      </c>
      <c r="K94" s="30" t="s">
        <v>67</v>
      </c>
      <c r="L94" s="37">
        <v>45841</v>
      </c>
      <c r="N94" s="10"/>
      <c r="O94" t="s">
        <v>75</v>
      </c>
      <c r="R94" s="2" t="s">
        <v>70</v>
      </c>
    </row>
    <row r="95" spans="1:18" x14ac:dyDescent="0.3">
      <c r="B95" s="48">
        <v>16897</v>
      </c>
      <c r="C95" s="30" t="str">
        <f>VLOOKUP(Tabel3[[#This Row],[P-nr]],'data Chauffeur'!A:F,2,FALSE)</f>
        <v>VandenDaele</v>
      </c>
      <c r="D95" s="30" t="str">
        <f>VLOOKUP(Tabel3[[#This Row],[P-nr]],'data Chauffeur'!A:F,3,FALSE)</f>
        <v>Andy</v>
      </c>
      <c r="E95" s="30" t="str">
        <f>CONCATENATE(Tabel3[[#This Row],[P-nr]]," ",Tabel3[[#This Row],[Naam]]," ",Tabel3[[#This Row],[Voornaam]])</f>
        <v>16897 VandenDaele Andy</v>
      </c>
      <c r="F95" s="30" t="e">
        <f>VLOOKUP(Tabel3[[#This Row],[P-nr]],'data Chauffeur'!A:F,6)</f>
        <v>#N/A</v>
      </c>
      <c r="G95" s="30" t="str">
        <f>VLOOKUP(Tabel3[[#This Row],[P-nr]],'data Chauffeur'!A:F,4,FALSE)</f>
        <v>Steven Storm</v>
      </c>
      <c r="H95" t="str">
        <f>VLOOKUP(Tabel3[[#This Row],[P-nr]],'data Chauffeur'!A:F,5,FALSE)</f>
        <v>T24</v>
      </c>
      <c r="I95" s="8" t="s">
        <v>51</v>
      </c>
      <c r="J95" s="8" t="s">
        <v>66</v>
      </c>
      <c r="K95" s="30" t="s">
        <v>67</v>
      </c>
      <c r="L95" s="37">
        <v>45841</v>
      </c>
      <c r="N95" s="10"/>
      <c r="O95" t="s">
        <v>75</v>
      </c>
      <c r="R95" s="2" t="s">
        <v>70</v>
      </c>
    </row>
    <row r="96" spans="1:18" x14ac:dyDescent="0.3">
      <c r="A96" s="18"/>
      <c r="B96" s="48">
        <v>39712</v>
      </c>
      <c r="C96" s="30" t="str">
        <f>VLOOKUP(Tabel3[[#This Row],[P-nr]],'data Chauffeur'!A:F,2,FALSE)</f>
        <v>Repaj</v>
      </c>
      <c r="D96" s="30" t="str">
        <f>VLOOKUP(Tabel3[[#This Row],[P-nr]],'data Chauffeur'!A:F,3,FALSE)</f>
        <v>Ramazan</v>
      </c>
      <c r="E96" s="30" t="str">
        <f>CONCATENATE(Tabel3[[#This Row],[P-nr]]," ",Tabel3[[#This Row],[Naam]]," ",Tabel3[[#This Row],[Voornaam]])</f>
        <v>39712 Repaj Ramazan</v>
      </c>
      <c r="F96" s="30" t="str">
        <f>VLOOKUP(Tabel3[[#This Row],[P-nr]],'data Chauffeur'!A:F,6)</f>
        <v>Gent stad</v>
      </c>
      <c r="G96" s="30" t="str">
        <f>VLOOKUP(Tabel3[[#This Row],[P-nr]],'data Chauffeur'!A:F,4,FALSE)</f>
        <v>Bart Van Der Beken</v>
      </c>
      <c r="H96" t="str">
        <f>VLOOKUP(Tabel3[[#This Row],[P-nr]],'data Chauffeur'!A:F,5,FALSE)</f>
        <v>RESF</v>
      </c>
      <c r="I96" s="8" t="s">
        <v>133</v>
      </c>
      <c r="J96" s="8" t="s">
        <v>71</v>
      </c>
      <c r="K96" s="30" t="s">
        <v>77</v>
      </c>
      <c r="L96" s="37">
        <v>45841</v>
      </c>
      <c r="N96" s="10"/>
      <c r="O96" t="s">
        <v>73</v>
      </c>
      <c r="R96" s="2" t="s">
        <v>70</v>
      </c>
    </row>
    <row r="97" spans="2:18" ht="28.8" x14ac:dyDescent="0.3">
      <c r="B97" s="48">
        <v>39660</v>
      </c>
      <c r="C97" s="30" t="str">
        <f>VLOOKUP(Tabel3[[#This Row],[P-nr]],'data Chauffeur'!A:F,2,FALSE)</f>
        <v>Lloyd</v>
      </c>
      <c r="D97" s="30" t="str">
        <f>VLOOKUP(Tabel3[[#This Row],[P-nr]],'data Chauffeur'!A:F,3,FALSE)</f>
        <v>Glenn</v>
      </c>
      <c r="E97" s="30" t="str">
        <f>CONCATENATE(Tabel3[[#This Row],[P-nr]]," ",Tabel3[[#This Row],[Naam]]," ",Tabel3[[#This Row],[Voornaam]])</f>
        <v>39660 Lloyd Glenn</v>
      </c>
      <c r="F97" s="30" t="str">
        <f>VLOOKUP(Tabel3[[#This Row],[P-nr]],'data Chauffeur'!A:F,6)</f>
        <v>Gent stad</v>
      </c>
      <c r="G97" s="30" t="str">
        <f>VLOOKUP(Tabel3[[#This Row],[P-nr]],'data Chauffeur'!A:F,4,FALSE)</f>
        <v>Bart Van Der Beken</v>
      </c>
      <c r="H97" t="str">
        <f>VLOOKUP(Tabel3[[#This Row],[P-nr]],'data Chauffeur'!A:F,5,FALSE)</f>
        <v>RESF</v>
      </c>
      <c r="I97" s="8" t="s">
        <v>134</v>
      </c>
      <c r="J97" s="8" t="s">
        <v>71</v>
      </c>
      <c r="K97" s="30" t="s">
        <v>135</v>
      </c>
      <c r="L97" s="37">
        <v>45842</v>
      </c>
      <c r="N97" s="10"/>
      <c r="O97" t="s">
        <v>75</v>
      </c>
      <c r="R97" s="2" t="s">
        <v>70</v>
      </c>
    </row>
    <row r="98" spans="2:18" x14ac:dyDescent="0.3">
      <c r="B98" s="48">
        <v>40939</v>
      </c>
      <c r="C98" s="30" t="str">
        <f>VLOOKUP(Tabel3[[#This Row],[P-nr]],'data Chauffeur'!A:F,2,FALSE)</f>
        <v>Cisse</v>
      </c>
      <c r="D98" s="30" t="str">
        <f>VLOOKUP(Tabel3[[#This Row],[P-nr]],'data Chauffeur'!A:F,3,FALSE)</f>
        <v>Sayon</v>
      </c>
      <c r="E98" s="30" t="str">
        <f>CONCATENATE(Tabel3[[#This Row],[P-nr]]," ",Tabel3[[#This Row],[Naam]]," ",Tabel3[[#This Row],[Voornaam]])</f>
        <v>40939 Cisse Sayon</v>
      </c>
      <c r="F98" s="30" t="str">
        <f>VLOOKUP(Tabel3[[#This Row],[P-nr]],'data Chauffeur'!A:F,6)</f>
        <v>Gent stad</v>
      </c>
      <c r="G98" s="30" t="str">
        <f>VLOOKUP(Tabel3[[#This Row],[P-nr]],'data Chauffeur'!A:F,4,FALSE)</f>
        <v>Kenneth De Rick</v>
      </c>
      <c r="H98" t="str">
        <f>VLOOKUP(Tabel3[[#This Row],[P-nr]],'data Chauffeur'!A:F,5,FALSE)</f>
        <v>RESF</v>
      </c>
      <c r="I98" s="8" t="s">
        <v>46</v>
      </c>
      <c r="J98" s="8" t="s">
        <v>71</v>
      </c>
      <c r="K98" s="30" t="s">
        <v>52</v>
      </c>
      <c r="L98" s="37">
        <v>45852</v>
      </c>
      <c r="M98" s="30" t="s">
        <v>91</v>
      </c>
      <c r="N98" s="10" t="s">
        <v>81</v>
      </c>
      <c r="O98" t="s">
        <v>73</v>
      </c>
      <c r="R98" s="2" t="s">
        <v>70</v>
      </c>
    </row>
    <row r="99" spans="2:18" x14ac:dyDescent="0.3">
      <c r="B99" s="48">
        <v>31731</v>
      </c>
      <c r="C99" s="30" t="str">
        <f>VLOOKUP(Tabel3[[#This Row],[P-nr]],'data Chauffeur'!A:F,2,FALSE)</f>
        <v>Dedapper</v>
      </c>
      <c r="D99" s="30" t="str">
        <f>VLOOKUP(Tabel3[[#This Row],[P-nr]],'data Chauffeur'!A:F,3,FALSE)</f>
        <v>Marijke</v>
      </c>
      <c r="E99" s="30" t="str">
        <f>CONCATENATE(Tabel3[[#This Row],[P-nr]]," ",Tabel3[[#This Row],[Naam]]," ",Tabel3[[#This Row],[Voornaam]])</f>
        <v>31731 Dedapper Marijke</v>
      </c>
      <c r="F99" s="30" t="str">
        <f>VLOOKUP(Tabel3[[#This Row],[P-nr]],'data Chauffeur'!A:F,6)</f>
        <v>Gent stad</v>
      </c>
      <c r="G99" s="30" t="str">
        <f>VLOOKUP(Tabel3[[#This Row],[P-nr]],'data Chauffeur'!A:F,4,FALSE)</f>
        <v>Els Vanhoe</v>
      </c>
      <c r="H99" t="str">
        <f>VLOOKUP(Tabel3[[#This Row],[P-nr]],'data Chauffeur'!A:F,5,FALSE)</f>
        <v>BO15</v>
      </c>
      <c r="I99" s="8" t="s">
        <v>46</v>
      </c>
      <c r="J99" s="8" t="s">
        <v>71</v>
      </c>
      <c r="K99" s="30" t="s">
        <v>52</v>
      </c>
      <c r="L99" s="37">
        <v>45852</v>
      </c>
      <c r="M99" s="30" t="s">
        <v>91</v>
      </c>
      <c r="N99" s="10" t="s">
        <v>81</v>
      </c>
      <c r="O99" t="s">
        <v>73</v>
      </c>
      <c r="R99" s="2" t="s">
        <v>70</v>
      </c>
    </row>
    <row r="100" spans="2:18" x14ac:dyDescent="0.3">
      <c r="B100" s="48">
        <v>16095</v>
      </c>
      <c r="C100" s="30" t="str">
        <f>VLOOKUP(Tabel3[[#This Row],[P-nr]],'data Chauffeur'!A:F,2,FALSE)</f>
        <v>Rouan</v>
      </c>
      <c r="D100" s="30" t="str">
        <f>VLOOKUP(Tabel3[[#This Row],[P-nr]],'data Chauffeur'!A:F,3,FALSE)</f>
        <v>Jeroen</v>
      </c>
      <c r="E100" s="30" t="str">
        <f>CONCATENATE(Tabel3[[#This Row],[P-nr]]," ",Tabel3[[#This Row],[Naam]]," ",Tabel3[[#This Row],[Voornaam]])</f>
        <v>16095 Rouan Jeroen</v>
      </c>
      <c r="F100" s="30" t="e">
        <f>VLOOKUP(Tabel3[[#This Row],[P-nr]],'data Chauffeur'!A:F,6)</f>
        <v>#N/A</v>
      </c>
      <c r="G100" s="30" t="str">
        <f>VLOOKUP(Tabel3[[#This Row],[P-nr]],'data Chauffeur'!A:F,4,FALSE)</f>
        <v>Kenneth De Rick</v>
      </c>
      <c r="H100" t="str">
        <f>VLOOKUP(Tabel3[[#This Row],[P-nr]],'data Chauffeur'!A:F,5,FALSE)</f>
        <v>M15</v>
      </c>
      <c r="I100" s="8" t="str">
        <f>I92</f>
        <v>ongevallen</v>
      </c>
      <c r="J100" s="8" t="s">
        <v>66</v>
      </c>
      <c r="K100" s="30" t="s">
        <v>67</v>
      </c>
      <c r="L100" s="37">
        <v>45854</v>
      </c>
      <c r="N100" s="10"/>
      <c r="O100" t="s">
        <v>68</v>
      </c>
      <c r="R100" s="2" t="s">
        <v>70</v>
      </c>
    </row>
    <row r="101" spans="2:18" x14ac:dyDescent="0.3">
      <c r="B101" s="48">
        <v>15282</v>
      </c>
      <c r="C101" s="30" t="str">
        <f>VLOOKUP(Tabel3[[#This Row],[P-nr]],'data Chauffeur'!A:F,2,FALSE)</f>
        <v>Marinx</v>
      </c>
      <c r="D101" s="30" t="str">
        <f>VLOOKUP(Tabel3[[#This Row],[P-nr]],'data Chauffeur'!A:F,3,FALSE)</f>
        <v>Kristoff</v>
      </c>
      <c r="E101" s="30" t="str">
        <f>CONCATENATE(Tabel3[[#This Row],[P-nr]]," ",Tabel3[[#This Row],[Naam]]," ",Tabel3[[#This Row],[Voornaam]])</f>
        <v>15282 Marinx Kristoff</v>
      </c>
      <c r="F101" s="30" t="e">
        <f>VLOOKUP(Tabel3[[#This Row],[P-nr]],'data Chauffeur'!A:F,6)</f>
        <v>#N/A</v>
      </c>
      <c r="G101" s="30" t="str">
        <f>VLOOKUP(Tabel3[[#This Row],[P-nr]],'data Chauffeur'!A:F,4,FALSE)</f>
        <v>Kenneth De Rick</v>
      </c>
      <c r="H101" t="str">
        <f>VLOOKUP(Tabel3[[#This Row],[P-nr]],'data Chauffeur'!A:F,5,FALSE)</f>
        <v>M15</v>
      </c>
      <c r="I101" s="8" t="str">
        <f>I100</f>
        <v>ongevallen</v>
      </c>
      <c r="J101" s="8" t="s">
        <v>66</v>
      </c>
      <c r="K101" s="30" t="s">
        <v>67</v>
      </c>
      <c r="L101" s="37">
        <v>45854</v>
      </c>
      <c r="N101" s="10"/>
      <c r="O101" t="s">
        <v>68</v>
      </c>
      <c r="R101" s="2" t="s">
        <v>70</v>
      </c>
    </row>
    <row r="102" spans="2:18" x14ac:dyDescent="0.3">
      <c r="B102" s="48">
        <v>16899</v>
      </c>
      <c r="C102" s="30" t="str">
        <f>VLOOKUP(Tabel3[[#This Row],[P-nr]],'data Chauffeur'!A:F,2,FALSE)</f>
        <v>Devriese</v>
      </c>
      <c r="D102" s="30" t="str">
        <f>VLOOKUP(Tabel3[[#This Row],[P-nr]],'data Chauffeur'!A:F,3,FALSE)</f>
        <v>Luc</v>
      </c>
      <c r="E102" s="30" t="str">
        <f>CONCATENATE(Tabel3[[#This Row],[P-nr]]," ",Tabel3[[#This Row],[Naam]]," ",Tabel3[[#This Row],[Voornaam]])</f>
        <v>16899 Devriese Luc</v>
      </c>
      <c r="F102" s="30" t="e">
        <f>VLOOKUP(Tabel3[[#This Row],[P-nr]],'data Chauffeur'!A:F,6)</f>
        <v>#N/A</v>
      </c>
      <c r="G102" s="30" t="str">
        <f>VLOOKUP(Tabel3[[#This Row],[P-nr]],'data Chauffeur'!A:F,4,FALSE)</f>
        <v>Steven Storm</v>
      </c>
      <c r="H102" t="str">
        <f>VLOOKUP(Tabel3[[#This Row],[P-nr]],'data Chauffeur'!A:F,5,FALSE)</f>
        <v>TW24</v>
      </c>
      <c r="I102" s="8" t="str">
        <f>I101</f>
        <v>ongevallen</v>
      </c>
      <c r="J102" s="8" t="s">
        <v>66</v>
      </c>
      <c r="K102" s="30" t="s">
        <v>131</v>
      </c>
      <c r="L102" s="37">
        <v>45855</v>
      </c>
      <c r="N102" s="10"/>
      <c r="O102" t="s">
        <v>68</v>
      </c>
      <c r="R102" s="2" t="s">
        <v>70</v>
      </c>
    </row>
    <row r="103" spans="2:18" x14ac:dyDescent="0.3">
      <c r="B103" s="48">
        <v>38740</v>
      </c>
      <c r="C103" s="30" t="str">
        <f>VLOOKUP(Tabel3[[#This Row],[P-nr]],'data Chauffeur'!A:F,2,FALSE)</f>
        <v>Meskens</v>
      </c>
      <c r="D103" s="30" t="str">
        <f>VLOOKUP(Tabel3[[#This Row],[P-nr]],'data Chauffeur'!A:F,3,FALSE)</f>
        <v>Anthony</v>
      </c>
      <c r="E103" s="30" t="str">
        <f>CONCATENATE(Tabel3[[#This Row],[P-nr]]," ",Tabel3[[#This Row],[Naam]]," ",Tabel3[[#This Row],[Voornaam]])</f>
        <v>38740 Meskens Anthony</v>
      </c>
      <c r="F103" s="30" t="str">
        <f>VLOOKUP(Tabel3[[#This Row],[P-nr]],'data Chauffeur'!A:F,6)</f>
        <v>Gent stad</v>
      </c>
      <c r="G103" s="30" t="str">
        <f>VLOOKUP(Tabel3[[#This Row],[P-nr]],'data Chauffeur'!A:F,4,FALSE)</f>
        <v>Christoff Rotty</v>
      </c>
      <c r="H103" t="str">
        <f>VLOOKUP(Tabel3[[#This Row],[P-nr]],'data Chauffeur'!A:F,5,FALSE)</f>
        <v>RESF</v>
      </c>
      <c r="I103" s="8" t="str">
        <f>I102</f>
        <v>ongevallen</v>
      </c>
      <c r="J103" s="8" t="s">
        <v>66</v>
      </c>
      <c r="K103" s="30" t="str">
        <f>K102</f>
        <v>25875 Debby Verstockt</v>
      </c>
      <c r="L103" s="37">
        <v>45855</v>
      </c>
      <c r="N103" s="10"/>
      <c r="O103" t="s">
        <v>68</v>
      </c>
      <c r="R103" s="2" t="s">
        <v>70</v>
      </c>
    </row>
    <row r="104" spans="2:18" x14ac:dyDescent="0.3">
      <c r="B104" s="48">
        <v>14261</v>
      </c>
      <c r="C104" s="30" t="str">
        <f>VLOOKUP(Tabel3[[#This Row],[P-nr]],'data Chauffeur'!A:F,2,FALSE)</f>
        <v>Vandaele</v>
      </c>
      <c r="D104" s="30" t="str">
        <f>VLOOKUP(Tabel3[[#This Row],[P-nr]],'data Chauffeur'!A:F,3,FALSE)</f>
        <v>Sofie</v>
      </c>
      <c r="E104" s="30" t="str">
        <f>CONCATENATE(Tabel3[[#This Row],[P-nr]]," ",Tabel3[[#This Row],[Naam]]," ",Tabel3[[#This Row],[Voornaam]])</f>
        <v>14261 Vandaele Sofie</v>
      </c>
      <c r="F104" s="30" t="e">
        <f>VLOOKUP(Tabel3[[#This Row],[P-nr]],'data Chauffeur'!A:F,6)</f>
        <v>#N/A</v>
      </c>
      <c r="G104" s="30" t="str">
        <f>VLOOKUP(Tabel3[[#This Row],[P-nr]],'data Chauffeur'!A:F,4,FALSE)</f>
        <v>Els Vanhoe</v>
      </c>
      <c r="H104" t="str">
        <f>VLOOKUP(Tabel3[[#This Row],[P-nr]],'data Chauffeur'!A:F,5,FALSE)</f>
        <v>TV12</v>
      </c>
      <c r="I104" s="8" t="str">
        <f>I103</f>
        <v>ongevallen</v>
      </c>
      <c r="J104" s="8" t="s">
        <v>66</v>
      </c>
      <c r="K104" s="30" t="str">
        <f>K103</f>
        <v>25875 Debby Verstockt</v>
      </c>
      <c r="L104" s="37">
        <v>45855</v>
      </c>
      <c r="N104" s="10"/>
      <c r="O104" t="s">
        <v>68</v>
      </c>
      <c r="R104" s="2" t="s">
        <v>70</v>
      </c>
    </row>
    <row r="105" spans="2:18" x14ac:dyDescent="0.3">
      <c r="B105" s="48">
        <v>41871</v>
      </c>
      <c r="C105" s="30" t="str">
        <f>VLOOKUP(Tabel3[[#This Row],[P-nr]],'data Chauffeur'!A:F,2,FALSE)</f>
        <v>Karanfil</v>
      </c>
      <c r="D105" s="30" t="str">
        <f>VLOOKUP(Tabel3[[#This Row],[P-nr]],'data Chauffeur'!A:F,3,FALSE)</f>
        <v>Ibrahim</v>
      </c>
      <c r="E105" s="30" t="str">
        <f>CONCATENATE(Tabel3[[#This Row],[P-nr]]," ",Tabel3[[#This Row],[Naam]]," ",Tabel3[[#This Row],[Voornaam]])</f>
        <v>41871 Karanfil Ibrahim</v>
      </c>
      <c r="F105" s="30" t="str">
        <f>VLOOKUP(Tabel3[[#This Row],[P-nr]],'data Chauffeur'!A:F,6)</f>
        <v>Gent stad</v>
      </c>
      <c r="G105" s="30" t="str">
        <f>VLOOKUP(Tabel3[[#This Row],[P-nr]],'data Chauffeur'!A:F,4,FALSE)</f>
        <v>Dominique De Clercq</v>
      </c>
      <c r="H105" t="str">
        <f>VLOOKUP(Tabel3[[#This Row],[P-nr]],'data Chauffeur'!A:F,5,FALSE)</f>
        <v>RESF</v>
      </c>
      <c r="I105" s="8" t="str">
        <f>I102</f>
        <v>ongevallen</v>
      </c>
      <c r="J105" s="8" t="s">
        <v>71</v>
      </c>
      <c r="K105" s="30" t="s">
        <v>77</v>
      </c>
      <c r="L105" s="37">
        <v>45855</v>
      </c>
      <c r="N105" s="10"/>
      <c r="O105" t="s">
        <v>75</v>
      </c>
      <c r="R105" s="2" t="s">
        <v>70</v>
      </c>
    </row>
    <row r="106" spans="2:18" x14ac:dyDescent="0.3">
      <c r="B106" s="48">
        <v>39654</v>
      </c>
      <c r="C106" s="30" t="str">
        <f>VLOOKUP(Tabel3[[#This Row],[P-nr]],'data Chauffeur'!A:F,2,FALSE)</f>
        <v>Camacho Encarnacion</v>
      </c>
      <c r="D106" s="30" t="str">
        <f>VLOOKUP(Tabel3[[#This Row],[P-nr]],'data Chauffeur'!A:F,3,FALSE)</f>
        <v>Lisandro Javier</v>
      </c>
      <c r="E106" s="30" t="str">
        <f>CONCATENATE(Tabel3[[#This Row],[P-nr]]," ",Tabel3[[#This Row],[Naam]]," ",Tabel3[[#This Row],[Voornaam]])</f>
        <v>39654 Camacho Encarnacion Lisandro Javier</v>
      </c>
      <c r="F106" s="30" t="str">
        <f>VLOOKUP(Tabel3[[#This Row],[P-nr]],'data Chauffeur'!A:F,6)</f>
        <v>Gent stad</v>
      </c>
      <c r="G106" s="30" t="str">
        <f>VLOOKUP(Tabel3[[#This Row],[P-nr]],'data Chauffeur'!A:F,4,FALSE)</f>
        <v>Kenneth De Rick</v>
      </c>
      <c r="H106" t="str">
        <f>VLOOKUP(Tabel3[[#This Row],[P-nr]],'data Chauffeur'!A:F,5,FALSE)</f>
        <v>RESF</v>
      </c>
      <c r="I106" s="8" t="str">
        <f>I105</f>
        <v>ongevallen</v>
      </c>
      <c r="J106" s="8" t="s">
        <v>71</v>
      </c>
      <c r="K106" s="30" t="str">
        <f>K105</f>
        <v>8538 Philippe Vandewalle</v>
      </c>
      <c r="L106" s="37">
        <v>45855</v>
      </c>
      <c r="N106" s="10"/>
      <c r="O106" t="s">
        <v>75</v>
      </c>
      <c r="R106" s="2" t="s">
        <v>70</v>
      </c>
    </row>
    <row r="107" spans="2:18" x14ac:dyDescent="0.3">
      <c r="B107" s="48">
        <v>33049</v>
      </c>
      <c r="C107" s="30" t="str">
        <f>VLOOKUP(Tabel3[[#This Row],[P-nr]],'data Chauffeur'!A:F,2,FALSE)</f>
        <v>Depaepe</v>
      </c>
      <c r="D107" s="30" t="str">
        <f>VLOOKUP(Tabel3[[#This Row],[P-nr]],'data Chauffeur'!A:F,3,FALSE)</f>
        <v>Dirk</v>
      </c>
      <c r="E107" s="30" t="str">
        <f>CONCATENATE(Tabel3[[#This Row],[P-nr]]," ",Tabel3[[#This Row],[Naam]]," ",Tabel3[[#This Row],[Voornaam]])</f>
        <v>33049 Depaepe Dirk</v>
      </c>
      <c r="F107" s="30" t="str">
        <f>VLOOKUP(Tabel3[[#This Row],[P-nr]],'data Chauffeur'!A:F,6)</f>
        <v>Gent stad</v>
      </c>
      <c r="G107" s="30" t="str">
        <f>VLOOKUP(Tabel3[[#This Row],[P-nr]],'data Chauffeur'!A:F,4,FALSE)</f>
        <v>Kenneth De Rick</v>
      </c>
      <c r="H107" t="str">
        <f>VLOOKUP(Tabel3[[#This Row],[P-nr]],'data Chauffeur'!A:F,5,FALSE)</f>
        <v>TO15</v>
      </c>
      <c r="I107" s="8" t="s">
        <v>51</v>
      </c>
      <c r="J107" s="8" t="s">
        <v>66</v>
      </c>
      <c r="K107" s="30" t="s">
        <v>131</v>
      </c>
      <c r="L107" s="37">
        <v>45856</v>
      </c>
      <c r="O107" t="s">
        <v>68</v>
      </c>
      <c r="R107" s="2" t="s">
        <v>70</v>
      </c>
    </row>
    <row r="108" spans="2:18" x14ac:dyDescent="0.3">
      <c r="B108" s="48">
        <v>32168</v>
      </c>
      <c r="C108" s="30" t="str">
        <f>VLOOKUP(Tabel3[[#This Row],[P-nr]],'data Chauffeur'!A:F,2,FALSE)</f>
        <v>Vranken</v>
      </c>
      <c r="D108" s="30" t="str">
        <f>VLOOKUP(Tabel3[[#This Row],[P-nr]],'data Chauffeur'!A:F,3,FALSE)</f>
        <v>Zulkifly</v>
      </c>
      <c r="E108" s="30" t="str">
        <f>CONCATENATE(Tabel3[[#This Row],[P-nr]]," ",Tabel3[[#This Row],[Naam]]," ",Tabel3[[#This Row],[Voornaam]])</f>
        <v>32168 Vranken Zulkifly</v>
      </c>
      <c r="F108" s="30" t="str">
        <f>VLOOKUP(Tabel3[[#This Row],[P-nr]],'data Chauffeur'!A:F,6)</f>
        <v>Gent stad</v>
      </c>
      <c r="G108" s="30" t="str">
        <f>VLOOKUP(Tabel3[[#This Row],[P-nr]],'data Chauffeur'!A:F,4,FALSE)</f>
        <v>Kenneth De Rick</v>
      </c>
      <c r="H108" t="str">
        <f>VLOOKUP(Tabel3[[#This Row],[P-nr]],'data Chauffeur'!A:F,5,FALSE)</f>
        <v>MW12</v>
      </c>
      <c r="I108" s="8" t="s">
        <v>51</v>
      </c>
      <c r="J108" s="8" t="s">
        <v>66</v>
      </c>
      <c r="K108" s="30" t="s">
        <v>131</v>
      </c>
      <c r="L108" s="37">
        <v>45857</v>
      </c>
      <c r="O108" t="s">
        <v>68</v>
      </c>
      <c r="R108" s="2" t="s">
        <v>70</v>
      </c>
    </row>
    <row r="109" spans="2:18" x14ac:dyDescent="0.3">
      <c r="B109" s="48">
        <v>40939</v>
      </c>
      <c r="C109" s="30" t="str">
        <f>VLOOKUP(Tabel3[[#This Row],[P-nr]],'data Chauffeur'!A:F,2,FALSE)</f>
        <v>Cisse</v>
      </c>
      <c r="D109" s="30" t="str">
        <f>VLOOKUP(Tabel3[[#This Row],[P-nr]],'data Chauffeur'!A:F,3,FALSE)</f>
        <v>Sayon</v>
      </c>
      <c r="E109" s="30" t="str">
        <f>CONCATENATE(Tabel3[[#This Row],[P-nr]]," ",Tabel3[[#This Row],[Naam]]," ",Tabel3[[#This Row],[Voornaam]])</f>
        <v>40939 Cisse Sayon</v>
      </c>
      <c r="F109" s="30" t="str">
        <f>VLOOKUP(Tabel3[[#This Row],[P-nr]],'data Chauffeur'!A:F,6)</f>
        <v>Gent stad</v>
      </c>
      <c r="G109" s="30" t="str">
        <f>VLOOKUP(Tabel3[[#This Row],[P-nr]],'data Chauffeur'!A:F,4,FALSE)</f>
        <v>Kenneth De Rick</v>
      </c>
      <c r="H109" t="str">
        <f>VLOOKUP(Tabel3[[#This Row],[P-nr]],'data Chauffeur'!A:F,5,FALSE)</f>
        <v>RESF</v>
      </c>
      <c r="I109" s="8" t="s">
        <v>51</v>
      </c>
      <c r="J109" s="8" t="s">
        <v>71</v>
      </c>
      <c r="K109" s="30" t="s">
        <v>89</v>
      </c>
      <c r="L109" s="37">
        <v>45866</v>
      </c>
      <c r="M109" s="30" t="s">
        <v>72</v>
      </c>
      <c r="N109" t="s">
        <v>38</v>
      </c>
      <c r="O109" t="s">
        <v>75</v>
      </c>
      <c r="R109" s="2" t="s">
        <v>70</v>
      </c>
    </row>
    <row r="110" spans="2:18" x14ac:dyDescent="0.3">
      <c r="B110" s="48">
        <v>40478</v>
      </c>
      <c r="C110" s="30" t="str">
        <f>VLOOKUP(Tabel3[[#This Row],[P-nr]],'data Chauffeur'!A:F,2,FALSE)</f>
        <v>Hashimi</v>
      </c>
      <c r="D110" s="30" t="str">
        <f>VLOOKUP(Tabel3[[#This Row],[P-nr]],'data Chauffeur'!A:F,3,FALSE)</f>
        <v>Ali Mir</v>
      </c>
      <c r="E110" s="30" t="str">
        <f>CONCATENATE(Tabel3[[#This Row],[P-nr]]," ",Tabel3[[#This Row],[Naam]]," ",Tabel3[[#This Row],[Voornaam]])</f>
        <v>40478 Hashimi Ali Mir</v>
      </c>
      <c r="F110" s="30" t="str">
        <f>VLOOKUP(Tabel3[[#This Row],[P-nr]],'data Chauffeur'!A:F,6)</f>
        <v>Gent stad</v>
      </c>
      <c r="G110" s="30" t="str">
        <f>VLOOKUP(Tabel3[[#This Row],[P-nr]],'data Chauffeur'!A:F,4,FALSE)</f>
        <v>Bart Van Der Beken</v>
      </c>
      <c r="H110" t="str">
        <f>VLOOKUP(Tabel3[[#This Row],[P-nr]],'data Chauffeur'!A:F,5,FALSE)</f>
        <v>RESF</v>
      </c>
      <c r="I110" s="8" t="s">
        <v>51</v>
      </c>
      <c r="J110" s="8" t="s">
        <v>71</v>
      </c>
      <c r="K110" s="30" t="s">
        <v>89</v>
      </c>
      <c r="L110" s="37">
        <v>45866</v>
      </c>
      <c r="M110" s="30" t="s">
        <v>72</v>
      </c>
      <c r="N110" t="s">
        <v>136</v>
      </c>
      <c r="O110" t="s">
        <v>73</v>
      </c>
      <c r="R110" s="2" t="s">
        <v>70</v>
      </c>
    </row>
    <row r="111" spans="2:18" x14ac:dyDescent="0.3">
      <c r="B111" s="48">
        <v>31165</v>
      </c>
      <c r="C111" s="30" t="str">
        <f>VLOOKUP(Tabel3[[#This Row],[P-nr]],'data Chauffeur'!A:F,2,FALSE)</f>
        <v>Govaerts</v>
      </c>
      <c r="D111" s="30" t="str">
        <f>VLOOKUP(Tabel3[[#This Row],[P-nr]],'data Chauffeur'!A:F,3,FALSE)</f>
        <v>Sandro</v>
      </c>
      <c r="E111" s="30" t="str">
        <f>CONCATENATE(Tabel3[[#This Row],[P-nr]]," ",Tabel3[[#This Row],[Naam]]," ",Tabel3[[#This Row],[Voornaam]])</f>
        <v>31165 Govaerts Sandro</v>
      </c>
      <c r="F111" s="30" t="str">
        <f>VLOOKUP(Tabel3[[#This Row],[P-nr]],'data Chauffeur'!A:F,6)</f>
        <v>Gent stad</v>
      </c>
      <c r="G111" s="30" t="str">
        <f>VLOOKUP(Tabel3[[#This Row],[P-nr]],'data Chauffeur'!A:F,4,FALSE)</f>
        <v>Lucie Vande Velde</v>
      </c>
      <c r="H111" t="str">
        <f>VLOOKUP(Tabel3[[#This Row],[P-nr]],'data Chauffeur'!A:F,5,FALSE)</f>
        <v>GW10</v>
      </c>
      <c r="I111" s="8" t="s">
        <v>51</v>
      </c>
      <c r="J111" s="8" t="s">
        <v>71</v>
      </c>
      <c r="K111" s="30" t="s">
        <v>89</v>
      </c>
      <c r="L111" s="37">
        <v>45866</v>
      </c>
      <c r="O111" t="s">
        <v>68</v>
      </c>
      <c r="R111" s="2" t="s">
        <v>70</v>
      </c>
    </row>
    <row r="112" spans="2:18" x14ac:dyDescent="0.3">
      <c r="B112" s="48">
        <v>31668</v>
      </c>
      <c r="C112" s="30" t="str">
        <f>VLOOKUP(Tabel3[[#This Row],[P-nr]],'data Chauffeur'!A:F,2,FALSE)</f>
        <v>Weemhof</v>
      </c>
      <c r="D112" s="30" t="str">
        <f>VLOOKUP(Tabel3[[#This Row],[P-nr]],'data Chauffeur'!A:F,3,FALSE)</f>
        <v>Maurice</v>
      </c>
      <c r="E112" s="30" t="str">
        <f>CONCATENATE(Tabel3[[#This Row],[P-nr]]," ",Tabel3[[#This Row],[Naam]]," ",Tabel3[[#This Row],[Voornaam]])</f>
        <v>31668 Weemhof Maurice</v>
      </c>
      <c r="F112" s="30" t="str">
        <f>VLOOKUP(Tabel3[[#This Row],[P-nr]],'data Chauffeur'!A:F,6)</f>
        <v>Gent stad</v>
      </c>
      <c r="G112" s="30" t="str">
        <f>VLOOKUP(Tabel3[[#This Row],[P-nr]],'data Chauffeur'!A:F,4,FALSE)</f>
        <v>Dominique De Clercq</v>
      </c>
      <c r="H112" t="str">
        <f>VLOOKUP(Tabel3[[#This Row],[P-nr]],'data Chauffeur'!A:F,5,FALSE)</f>
        <v>B24</v>
      </c>
      <c r="I112" s="8" t="s">
        <v>51</v>
      </c>
      <c r="J112" s="8" t="s">
        <v>71</v>
      </c>
      <c r="K112" s="30" t="s">
        <v>89</v>
      </c>
      <c r="L112" s="37">
        <v>45866</v>
      </c>
      <c r="O112" t="s">
        <v>68</v>
      </c>
      <c r="R112" s="2" t="s">
        <v>70</v>
      </c>
    </row>
    <row r="113" spans="1:20" x14ac:dyDescent="0.3">
      <c r="B113" s="48">
        <v>19087</v>
      </c>
      <c r="C113" s="30" t="str">
        <f>VLOOKUP(Tabel3[[#This Row],[P-nr]],'data Chauffeur'!A:F,2,FALSE)</f>
        <v>Deschepper</v>
      </c>
      <c r="D113" s="30" t="str">
        <f>VLOOKUP(Tabel3[[#This Row],[P-nr]],'data Chauffeur'!A:F,3,FALSE)</f>
        <v>Peter</v>
      </c>
      <c r="E113" s="30" t="str">
        <f>CONCATENATE(Tabel3[[#This Row],[P-nr]]," ",Tabel3[[#This Row],[Naam]]," ",Tabel3[[#This Row],[Voornaam]])</f>
        <v>19087 Deschepper Peter</v>
      </c>
      <c r="F113" s="30" t="e">
        <f>VLOOKUP(Tabel3[[#This Row],[P-nr]],'data Chauffeur'!A:F,6)</f>
        <v>#N/A</v>
      </c>
      <c r="G113" s="30" t="str">
        <f>VLOOKUP(Tabel3[[#This Row],[P-nr]],'data Chauffeur'!A:F,4,FALSE)</f>
        <v>Els Vanhoe</v>
      </c>
      <c r="H113" t="str">
        <f>VLOOKUP(Tabel3[[#This Row],[P-nr]],'data Chauffeur'!A:F,5,FALSE)</f>
        <v>BD12</v>
      </c>
      <c r="I113" s="8" t="s">
        <v>51</v>
      </c>
      <c r="K113" s="30" t="s">
        <v>89</v>
      </c>
      <c r="L113" s="37">
        <v>45866</v>
      </c>
      <c r="M113" s="30" t="s">
        <v>91</v>
      </c>
      <c r="O113" t="s">
        <v>68</v>
      </c>
      <c r="R113" s="2" t="s">
        <v>70</v>
      </c>
    </row>
    <row r="114" spans="1:20" x14ac:dyDescent="0.3">
      <c r="B114" s="48">
        <v>31118</v>
      </c>
      <c r="C114" s="30" t="str">
        <f>VLOOKUP(Tabel3[[#This Row],[P-nr]],'data Chauffeur'!A:F,2,FALSE)</f>
        <v>De Sutter</v>
      </c>
      <c r="D114" s="30" t="str">
        <f>VLOOKUP(Tabel3[[#This Row],[P-nr]],'data Chauffeur'!A:F,3,FALSE)</f>
        <v>Michiel</v>
      </c>
      <c r="E114" s="30" t="str">
        <f>CONCATENATE(Tabel3[[#This Row],[P-nr]]," ",Tabel3[[#This Row],[Naam]]," ",Tabel3[[#This Row],[Voornaam]])</f>
        <v>31118 De Sutter Michiel</v>
      </c>
      <c r="F114" s="30" t="str">
        <f>VLOOKUP(Tabel3[[#This Row],[P-nr]],'data Chauffeur'!A:F,6)</f>
        <v>Gent stad</v>
      </c>
      <c r="G114" s="30" t="str">
        <f>VLOOKUP(Tabel3[[#This Row],[P-nr]],'data Chauffeur'!A:F,4,FALSE)</f>
        <v>Els Dewulf</v>
      </c>
      <c r="H114" t="str">
        <f>VLOOKUP(Tabel3[[#This Row],[P-nr]],'data Chauffeur'!A:F,5,FALSE)</f>
        <v>GW10</v>
      </c>
      <c r="I114" s="8" t="s">
        <v>51</v>
      </c>
      <c r="J114" s="8" t="s">
        <v>71</v>
      </c>
      <c r="K114" s="30" t="s">
        <v>137</v>
      </c>
      <c r="L114" s="37">
        <v>45867</v>
      </c>
      <c r="N114" s="10"/>
      <c r="O114" t="s">
        <v>73</v>
      </c>
      <c r="R114" s="2" t="s">
        <v>70</v>
      </c>
    </row>
    <row r="115" spans="1:20" x14ac:dyDescent="0.3">
      <c r="B115" s="48">
        <v>17931</v>
      </c>
      <c r="C115" s="30" t="str">
        <f>VLOOKUP(Tabel3[[#This Row],[P-nr]],'data Chauffeur'!A:F,2,FALSE)</f>
        <v>Idrisi</v>
      </c>
      <c r="D115" s="30" t="str">
        <f>VLOOKUP(Tabel3[[#This Row],[P-nr]],'data Chauffeur'!A:F,3,FALSE)</f>
        <v>Hasana</v>
      </c>
      <c r="E115" s="30" t="str">
        <f>CONCATENATE(Tabel3[[#This Row],[P-nr]]," ",Tabel3[[#This Row],[Naam]]," ",Tabel3[[#This Row],[Voornaam]])</f>
        <v>17931 Idrisi Hasana</v>
      </c>
      <c r="F115" s="30" t="e">
        <f>VLOOKUP(Tabel3[[#This Row],[P-nr]],'data Chauffeur'!A:F,6)</f>
        <v>#N/A</v>
      </c>
      <c r="G115" s="30" t="str">
        <f>VLOOKUP(Tabel3[[#This Row],[P-nr]],'data Chauffeur'!A:F,4,FALSE)</f>
        <v>Els Dewulf</v>
      </c>
      <c r="H115" t="str">
        <f>VLOOKUP(Tabel3[[#This Row],[P-nr]],'data Chauffeur'!A:F,5,FALSE)</f>
        <v>TW24</v>
      </c>
      <c r="I115" s="8" t="s">
        <v>138</v>
      </c>
      <c r="J115" s="8" t="s">
        <v>66</v>
      </c>
      <c r="K115" s="30" t="s">
        <v>67</v>
      </c>
      <c r="L115" s="37">
        <v>45867</v>
      </c>
      <c r="N115" s="10"/>
      <c r="O115" t="s">
        <v>73</v>
      </c>
      <c r="R115" s="2" t="s">
        <v>70</v>
      </c>
    </row>
    <row r="116" spans="1:20" x14ac:dyDescent="0.3">
      <c r="B116" s="48">
        <v>9158</v>
      </c>
      <c r="C116" s="30" t="str">
        <f>VLOOKUP(Tabel3[[#This Row],[P-nr]],'data Chauffeur'!A:F,2,FALSE)</f>
        <v>De Weirdt</v>
      </c>
      <c r="D116" s="30" t="str">
        <f>VLOOKUP(Tabel3[[#This Row],[P-nr]],'data Chauffeur'!A:F,3,FALSE)</f>
        <v>Ronny</v>
      </c>
      <c r="E116" s="30" t="str">
        <f>CONCATENATE(Tabel3[[#This Row],[P-nr]]," ",Tabel3[[#This Row],[Naam]]," ",Tabel3[[#This Row],[Voornaam]])</f>
        <v>9158 De Weirdt Ronny</v>
      </c>
      <c r="F116" s="30" t="e">
        <f>VLOOKUP(Tabel3[[#This Row],[P-nr]],'data Chauffeur'!A:F,6)</f>
        <v>#N/A</v>
      </c>
      <c r="G116" s="30" t="str">
        <f>VLOOKUP(Tabel3[[#This Row],[P-nr]],'data Chauffeur'!A:F,4,FALSE)</f>
        <v>Steven Storm</v>
      </c>
      <c r="H116" t="str">
        <f>VLOOKUP(Tabel3[[#This Row],[P-nr]],'data Chauffeur'!A:F,5,FALSE)</f>
        <v>T24</v>
      </c>
      <c r="I116" s="8" t="s">
        <v>128</v>
      </c>
      <c r="J116" s="8" t="s">
        <v>66</v>
      </c>
      <c r="K116" s="30" t="s">
        <v>82</v>
      </c>
      <c r="L116" s="37">
        <v>45873</v>
      </c>
      <c r="O116" t="s">
        <v>68</v>
      </c>
      <c r="P116" t="s">
        <v>69</v>
      </c>
      <c r="R116" s="2" t="s">
        <v>70</v>
      </c>
    </row>
    <row r="117" spans="1:20" x14ac:dyDescent="0.3">
      <c r="B117" s="48">
        <v>28071</v>
      </c>
      <c r="C117" s="30" t="str">
        <f>VLOOKUP(Tabel3[[#This Row],[P-nr]],'data Chauffeur'!A:F,2,FALSE)</f>
        <v>Omari</v>
      </c>
      <c r="D117" s="30" t="str">
        <f>VLOOKUP(Tabel3[[#This Row],[P-nr]],'data Chauffeur'!A:F,3,FALSE)</f>
        <v>Said</v>
      </c>
      <c r="E117" s="30" t="str">
        <f>CONCATENATE(Tabel3[[#This Row],[P-nr]]," ",Tabel3[[#This Row],[Naam]]," ",Tabel3[[#This Row],[Voornaam]])</f>
        <v>28071 Omari Said</v>
      </c>
      <c r="F117" s="30" t="str">
        <f>VLOOKUP(Tabel3[[#This Row],[P-nr]],'data Chauffeur'!A:F,6)</f>
        <v>Gent stad</v>
      </c>
      <c r="G117" s="30" t="str">
        <f>VLOOKUP(Tabel3[[#This Row],[P-nr]],'data Chauffeur'!A:F,4,FALSE)</f>
        <v>Els Dewulf</v>
      </c>
      <c r="H117" t="str">
        <f>VLOOKUP(Tabel3[[#This Row],[P-nr]],'data Chauffeur'!A:F,5,FALSE)</f>
        <v>BD12</v>
      </c>
      <c r="I117" s="8" t="s">
        <v>51</v>
      </c>
      <c r="J117" s="8" t="s">
        <v>66</v>
      </c>
      <c r="K117" s="30" t="s">
        <v>82</v>
      </c>
      <c r="L117" s="37">
        <v>45873</v>
      </c>
      <c r="O117" t="s">
        <v>73</v>
      </c>
      <c r="P117" t="s">
        <v>69</v>
      </c>
      <c r="R117" s="2" t="s">
        <v>70</v>
      </c>
      <c r="S117" t="s">
        <v>69</v>
      </c>
    </row>
    <row r="118" spans="1:20" x14ac:dyDescent="0.3">
      <c r="B118" s="48">
        <v>27672</v>
      </c>
      <c r="C118" s="30" t="str">
        <f>VLOOKUP(Tabel3[[#This Row],[P-nr]],'data Chauffeur'!A:F,2,FALSE)</f>
        <v>Criel</v>
      </c>
      <c r="D118" s="30" t="str">
        <f>VLOOKUP(Tabel3[[#This Row],[P-nr]],'data Chauffeur'!A:F,3,FALSE)</f>
        <v>Veronique</v>
      </c>
      <c r="E118" s="30" t="str">
        <f>CONCATENATE(Tabel3[[#This Row],[P-nr]]," ",Tabel3[[#This Row],[Naam]]," ",Tabel3[[#This Row],[Voornaam]])</f>
        <v>27672 Criel Veronique</v>
      </c>
      <c r="F118" s="30" t="str">
        <f>VLOOKUP(Tabel3[[#This Row],[P-nr]],'data Chauffeur'!A:F,6)</f>
        <v>Gent stad</v>
      </c>
      <c r="G118" s="30" t="str">
        <f>VLOOKUP(Tabel3[[#This Row],[P-nr]],'data Chauffeur'!A:F,4,FALSE)</f>
        <v>Steven Storm</v>
      </c>
      <c r="H118" t="str">
        <f>VLOOKUP(Tabel3[[#This Row],[P-nr]],'data Chauffeur'!A:F,5,FALSE)</f>
        <v>RESV</v>
      </c>
      <c r="I118" s="8" t="s">
        <v>51</v>
      </c>
      <c r="J118" s="8" t="s">
        <v>66</v>
      </c>
      <c r="K118" s="30" t="s">
        <v>131</v>
      </c>
      <c r="L118" s="37">
        <v>45875</v>
      </c>
      <c r="O118" t="s">
        <v>68</v>
      </c>
      <c r="R118" s="2" t="s">
        <v>70</v>
      </c>
    </row>
    <row r="119" spans="1:20" x14ac:dyDescent="0.3">
      <c r="B119" s="48">
        <v>21382</v>
      </c>
      <c r="C119" s="30" t="str">
        <f>VLOOKUP(Tabel3[[#This Row],[P-nr]],'data Chauffeur'!A:F,2,FALSE)</f>
        <v>De Volder</v>
      </c>
      <c r="D119" s="30" t="str">
        <f>VLOOKUP(Tabel3[[#This Row],[P-nr]],'data Chauffeur'!A:F,3,FALSE)</f>
        <v>Marc</v>
      </c>
      <c r="E119" s="30" t="str">
        <f>CONCATENATE(Tabel3[[#This Row],[P-nr]]," ",Tabel3[[#This Row],[Naam]]," ",Tabel3[[#This Row],[Voornaam]])</f>
        <v>21382 De Volder Marc</v>
      </c>
      <c r="F119" s="30" t="e">
        <f>VLOOKUP(Tabel3[[#This Row],[P-nr]],'data Chauffeur'!A:F,6)</f>
        <v>#N/A</v>
      </c>
      <c r="G119" s="30" t="str">
        <f>VLOOKUP(Tabel3[[#This Row],[P-nr]],'data Chauffeur'!A:F,4,FALSE)</f>
        <v>Els Dewulf</v>
      </c>
      <c r="H119" t="str">
        <f>VLOOKUP(Tabel3[[#This Row],[P-nr]],'data Chauffeur'!A:F,5,FALSE)</f>
        <v>TW24</v>
      </c>
      <c r="I119" s="8" t="s">
        <v>51</v>
      </c>
      <c r="J119" s="8" t="s">
        <v>66</v>
      </c>
      <c r="K119" s="30" t="s">
        <v>131</v>
      </c>
      <c r="L119" s="37">
        <v>45875</v>
      </c>
      <c r="O119" t="s">
        <v>68</v>
      </c>
      <c r="R119" s="2" t="s">
        <v>70</v>
      </c>
    </row>
    <row r="120" spans="1:20" x14ac:dyDescent="0.3">
      <c r="B120" s="48">
        <v>21382</v>
      </c>
      <c r="C120" s="30" t="str">
        <f>VLOOKUP(Tabel3[[#This Row],[P-nr]],'data Chauffeur'!A:F,2,FALSE)</f>
        <v>De Volder</v>
      </c>
      <c r="D120" s="30" t="str">
        <f>VLOOKUP(Tabel3[[#This Row],[P-nr]],'data Chauffeur'!A:F,3,FALSE)</f>
        <v>Marc</v>
      </c>
      <c r="E120" s="30" t="str">
        <f>CONCATENATE(Tabel3[[#This Row],[P-nr]]," ",Tabel3[[#This Row],[Naam]]," ",Tabel3[[#This Row],[Voornaam]])</f>
        <v>21382 De Volder Marc</v>
      </c>
      <c r="F120" s="30" t="e">
        <f>VLOOKUP(Tabel3[[#This Row],[P-nr]],'data Chauffeur'!A:F,6)</f>
        <v>#N/A</v>
      </c>
      <c r="G120" s="30" t="str">
        <f>VLOOKUP(Tabel3[[#This Row],[P-nr]],'data Chauffeur'!A:F,4,FALSE)</f>
        <v>Els Dewulf</v>
      </c>
      <c r="H120" t="str">
        <f>VLOOKUP(Tabel3[[#This Row],[P-nr]],'data Chauffeur'!A:F,5,FALSE)</f>
        <v>TW24</v>
      </c>
      <c r="I120" s="8" t="s">
        <v>51</v>
      </c>
      <c r="J120" s="8" t="s">
        <v>66</v>
      </c>
      <c r="K120" s="30" t="s">
        <v>131</v>
      </c>
      <c r="L120" s="37">
        <v>45875</v>
      </c>
      <c r="M120" s="30" t="s">
        <v>91</v>
      </c>
      <c r="N120" t="s">
        <v>38</v>
      </c>
      <c r="O120" t="s">
        <v>79</v>
      </c>
      <c r="R120" s="2" t="s">
        <v>70</v>
      </c>
      <c r="S120" s="34"/>
      <c r="T120" s="35"/>
    </row>
    <row r="121" spans="1:20" x14ac:dyDescent="0.3">
      <c r="B121" s="48">
        <v>21507</v>
      </c>
      <c r="C121" s="30" t="str">
        <f>VLOOKUP(Tabel3[[#This Row],[P-nr]],'data Chauffeur'!A:F,2,FALSE)</f>
        <v>De Cooman</v>
      </c>
      <c r="D121" s="30" t="str">
        <f>VLOOKUP(Tabel3[[#This Row],[P-nr]],'data Chauffeur'!A:F,3,FALSE)</f>
        <v>Bart</v>
      </c>
      <c r="E121" s="30" t="str">
        <f>CONCATENATE(Tabel3[[#This Row],[P-nr]]," ",Tabel3[[#This Row],[Naam]]," ",Tabel3[[#This Row],[Voornaam]])</f>
        <v>21507 De Cooman Bart</v>
      </c>
      <c r="F121" s="30" t="str">
        <f>VLOOKUP(Tabel3[[#This Row],[P-nr]],'data Chauffeur'!A:F,6)</f>
        <v>Gent stad</v>
      </c>
      <c r="G121" s="30" t="str">
        <f>VLOOKUP(Tabel3[[#This Row],[P-nr]],'data Chauffeur'!A:F,4,FALSE)</f>
        <v>Kenneth De Rick</v>
      </c>
      <c r="H121" t="str">
        <f>VLOOKUP(Tabel3[[#This Row],[P-nr]],'data Chauffeur'!A:F,5,FALSE)</f>
        <v>M15</v>
      </c>
      <c r="I121" s="8" t="s">
        <v>51</v>
      </c>
      <c r="J121" s="8" t="s">
        <v>66</v>
      </c>
      <c r="K121" s="30" t="s">
        <v>131</v>
      </c>
      <c r="L121" s="37">
        <v>45875</v>
      </c>
      <c r="O121" t="s">
        <v>68</v>
      </c>
      <c r="R121" s="2" t="s">
        <v>70</v>
      </c>
      <c r="S121" t="s">
        <v>139</v>
      </c>
      <c r="T121" t="s">
        <v>140</v>
      </c>
    </row>
    <row r="122" spans="1:20" x14ac:dyDescent="0.3">
      <c r="B122" s="48">
        <v>8016</v>
      </c>
      <c r="C122" s="30" t="str">
        <f>VLOOKUP(Tabel3[[#This Row],[P-nr]],'data Chauffeur'!A:F,2,FALSE)</f>
        <v>Vinck</v>
      </c>
      <c r="D122" s="30" t="str">
        <f>VLOOKUP(Tabel3[[#This Row],[P-nr]],'data Chauffeur'!A:F,3,FALSE)</f>
        <v>Roland</v>
      </c>
      <c r="E122" s="30" t="str">
        <f>CONCATENATE(Tabel3[[#This Row],[P-nr]]," ",Tabel3[[#This Row],[Naam]]," ",Tabel3[[#This Row],[Voornaam]])</f>
        <v>8016 Vinck Roland</v>
      </c>
      <c r="F122" s="30" t="e">
        <f>VLOOKUP(Tabel3[[#This Row],[P-nr]],'data Chauffeur'!A:F,6)</f>
        <v>#N/A</v>
      </c>
      <c r="G122" s="30" t="str">
        <f>VLOOKUP(Tabel3[[#This Row],[P-nr]],'data Chauffeur'!A:F,4,FALSE)</f>
        <v>Dominique De Clercq</v>
      </c>
      <c r="H122" t="str">
        <f>VLOOKUP(Tabel3[[#This Row],[P-nr]],'data Chauffeur'!A:F,5,FALSE)</f>
        <v>TV12</v>
      </c>
      <c r="I122" s="8" t="s">
        <v>51</v>
      </c>
      <c r="J122" s="8" t="s">
        <v>66</v>
      </c>
      <c r="K122" s="30" t="s">
        <v>131</v>
      </c>
      <c r="L122" s="37">
        <v>45876</v>
      </c>
      <c r="O122" t="s">
        <v>68</v>
      </c>
      <c r="R122" s="2" t="s">
        <v>70</v>
      </c>
    </row>
    <row r="123" spans="1:20" x14ac:dyDescent="0.3">
      <c r="B123" s="48">
        <v>19810</v>
      </c>
      <c r="C123" s="30" t="str">
        <f>VLOOKUP(Tabel3[[#This Row],[P-nr]],'data Chauffeur'!A:F,2,FALSE)</f>
        <v>Willems</v>
      </c>
      <c r="D123" s="30" t="str">
        <f>VLOOKUP(Tabel3[[#This Row],[P-nr]],'data Chauffeur'!A:F,3,FALSE)</f>
        <v>Kristine</v>
      </c>
      <c r="E123" s="30" t="str">
        <f>CONCATENATE(Tabel3[[#This Row],[P-nr]]," ",Tabel3[[#This Row],[Naam]]," ",Tabel3[[#This Row],[Voornaam]])</f>
        <v>19810 Willems Kristine</v>
      </c>
      <c r="F123" s="30" t="e">
        <f>VLOOKUP(Tabel3[[#This Row],[P-nr]],'data Chauffeur'!A:F,6)</f>
        <v>#N/A</v>
      </c>
      <c r="G123" s="30" t="str">
        <f>VLOOKUP(Tabel3[[#This Row],[P-nr]],'data Chauffeur'!A:F,4,FALSE)</f>
        <v>Dominique De Clercq</v>
      </c>
      <c r="H123" t="str">
        <f>VLOOKUP(Tabel3[[#This Row],[P-nr]],'data Chauffeur'!A:F,5,FALSE)</f>
        <v>TV12</v>
      </c>
      <c r="I123" s="8" t="s">
        <v>51</v>
      </c>
      <c r="J123" s="8" t="s">
        <v>66</v>
      </c>
      <c r="K123" s="30" t="s">
        <v>131</v>
      </c>
      <c r="L123" s="37">
        <v>45876</v>
      </c>
      <c r="O123" t="s">
        <v>68</v>
      </c>
      <c r="R123" s="2" t="s">
        <v>70</v>
      </c>
    </row>
    <row r="124" spans="1:20" x14ac:dyDescent="0.3">
      <c r="B124" s="48">
        <v>12514</v>
      </c>
      <c r="C124" s="30" t="str">
        <f>VLOOKUP(Tabel3[[#This Row],[P-nr]],'data Chauffeur'!A:F,2,FALSE)</f>
        <v>De Smet</v>
      </c>
      <c r="D124" s="30" t="str">
        <f>VLOOKUP(Tabel3[[#This Row],[P-nr]],'data Chauffeur'!A:F,3,FALSE)</f>
        <v>Kenneth</v>
      </c>
      <c r="E124" s="30" t="str">
        <f>CONCATENATE(Tabel3[[#This Row],[P-nr]]," ",Tabel3[[#This Row],[Naam]]," ",Tabel3[[#This Row],[Voornaam]])</f>
        <v>12514 De Smet Kenneth</v>
      </c>
      <c r="F124" s="30" t="e">
        <f>VLOOKUP(Tabel3[[#This Row],[P-nr]],'data Chauffeur'!A:F,6)</f>
        <v>#N/A</v>
      </c>
      <c r="G124" s="30" t="str">
        <f>VLOOKUP(Tabel3[[#This Row],[P-nr]],'data Chauffeur'!A:F,4,FALSE)</f>
        <v>Lucie Vande Velde</v>
      </c>
      <c r="H124" t="str">
        <f>VLOOKUP(Tabel3[[#This Row],[P-nr]],'data Chauffeur'!A:F,5,FALSE)</f>
        <v>TR15</v>
      </c>
      <c r="I124" s="8" t="s">
        <v>51</v>
      </c>
      <c r="J124" s="8" t="s">
        <v>66</v>
      </c>
      <c r="K124" s="30" t="s">
        <v>131</v>
      </c>
      <c r="L124" s="37">
        <v>45876</v>
      </c>
      <c r="O124" t="s">
        <v>68</v>
      </c>
      <c r="R124" s="2" t="s">
        <v>70</v>
      </c>
    </row>
    <row r="125" spans="1:20" x14ac:dyDescent="0.3">
      <c r="B125" s="48">
        <v>41230</v>
      </c>
      <c r="C125" s="30" t="str">
        <f>VLOOKUP(Tabel3[[#This Row],[P-nr]],'data Chauffeur'!A:F,2,FALSE)</f>
        <v>De Witte</v>
      </c>
      <c r="D125" s="30" t="str">
        <f>VLOOKUP(Tabel3[[#This Row],[P-nr]],'data Chauffeur'!A:F,3,FALSE)</f>
        <v>Bart</v>
      </c>
      <c r="E125" s="30" t="str">
        <f>CONCATENATE(Tabel3[[#This Row],[P-nr]]," ",Tabel3[[#This Row],[Naam]]," ",Tabel3[[#This Row],[Voornaam]])</f>
        <v>41230 De Witte Bart</v>
      </c>
      <c r="F125" s="30" t="str">
        <f>VLOOKUP(Tabel3[[#This Row],[P-nr]],'data Chauffeur'!A:F,6)</f>
        <v>Gent stad</v>
      </c>
      <c r="G125" s="30" t="str">
        <f>VLOOKUP(Tabel3[[#This Row],[P-nr]],'data Chauffeur'!A:F,4,FALSE)</f>
        <v>Dominique De Clercq</v>
      </c>
      <c r="H125" t="str">
        <f>VLOOKUP(Tabel3[[#This Row],[P-nr]],'data Chauffeur'!A:F,5,FALSE)</f>
        <v>RESF</v>
      </c>
      <c r="I125" s="8" t="s">
        <v>51</v>
      </c>
      <c r="J125" s="8" t="s">
        <v>71</v>
      </c>
      <c r="K125" s="30" t="s">
        <v>89</v>
      </c>
      <c r="L125" s="37">
        <v>45876</v>
      </c>
      <c r="N125" t="s">
        <v>38</v>
      </c>
      <c r="O125" t="s">
        <v>68</v>
      </c>
      <c r="R125" s="2" t="s">
        <v>70</v>
      </c>
    </row>
    <row r="126" spans="1:20" x14ac:dyDescent="0.3">
      <c r="B126" s="48">
        <v>15218</v>
      </c>
      <c r="C126" s="30" t="str">
        <f>VLOOKUP(Tabel3[[#This Row],[P-nr]],'data Chauffeur'!A:F,2,FALSE)</f>
        <v>Ackermans</v>
      </c>
      <c r="D126" s="30" t="str">
        <f>VLOOKUP(Tabel3[[#This Row],[P-nr]],'data Chauffeur'!A:F,3,FALSE)</f>
        <v>Christian</v>
      </c>
      <c r="E126" s="30" t="str">
        <f>CONCATENATE(Tabel3[[#This Row],[P-nr]]," ",Tabel3[[#This Row],[Naam]]," ",Tabel3[[#This Row],[Voornaam]])</f>
        <v>15218 Ackermans Christian</v>
      </c>
      <c r="F126" s="30" t="e">
        <f>VLOOKUP(Tabel3[[#This Row],[P-nr]],'data Chauffeur'!A:F,6)</f>
        <v>#N/A</v>
      </c>
      <c r="G126" s="30" t="str">
        <f>VLOOKUP(Tabel3[[#This Row],[P-nr]],'data Chauffeur'!A:F,4,FALSE)</f>
        <v>Els Vanhoe</v>
      </c>
      <c r="H126" t="str">
        <f>VLOOKUP(Tabel3[[#This Row],[P-nr]],'data Chauffeur'!A:F,5,FALSE)</f>
        <v>BD12</v>
      </c>
      <c r="I126" s="8" t="s">
        <v>51</v>
      </c>
      <c r="K126" s="30" t="s">
        <v>89</v>
      </c>
      <c r="L126" s="37">
        <v>45876</v>
      </c>
      <c r="M126" s="30" t="s">
        <v>87</v>
      </c>
      <c r="N126" t="s">
        <v>141</v>
      </c>
      <c r="O126" t="s">
        <v>79</v>
      </c>
      <c r="R126" s="2" t="s">
        <v>70</v>
      </c>
    </row>
    <row r="127" spans="1:20" x14ac:dyDescent="0.3">
      <c r="B127" s="48">
        <v>40939</v>
      </c>
      <c r="C127" s="30" t="str">
        <f>VLOOKUP(Tabel3[[#This Row],[P-nr]],'data Chauffeur'!A:F,2,FALSE)</f>
        <v>Cisse</v>
      </c>
      <c r="D127" s="30" t="str">
        <f>VLOOKUP(Tabel3[[#This Row],[P-nr]],'data Chauffeur'!A:F,3,FALSE)</f>
        <v>Sayon</v>
      </c>
      <c r="E127" s="30" t="str">
        <f>CONCATENATE(Tabel3[[#This Row],[P-nr]]," ",Tabel3[[#This Row],[Naam]]," ",Tabel3[[#This Row],[Voornaam]])</f>
        <v>40939 Cisse Sayon</v>
      </c>
      <c r="F127" s="30" t="str">
        <f>VLOOKUP(Tabel3[[#This Row],[P-nr]],'data Chauffeur'!A:F,6)</f>
        <v>Gent stad</v>
      </c>
      <c r="G127" s="30" t="str">
        <f>VLOOKUP(Tabel3[[#This Row],[P-nr]],'data Chauffeur'!A:F,4,FALSE)</f>
        <v>Kenneth De Rick</v>
      </c>
      <c r="H127" t="str">
        <f>VLOOKUP(Tabel3[[#This Row],[P-nr]],'data Chauffeur'!A:F,5,FALSE)</f>
        <v>RESF</v>
      </c>
      <c r="I127" s="8" t="s">
        <v>51</v>
      </c>
      <c r="J127" s="8" t="s">
        <v>71</v>
      </c>
      <c r="K127" s="30" t="s">
        <v>142</v>
      </c>
      <c r="L127" s="37">
        <v>45877</v>
      </c>
      <c r="M127" s="30" t="s">
        <v>143</v>
      </c>
      <c r="N127" t="s">
        <v>144</v>
      </c>
      <c r="O127" t="s">
        <v>73</v>
      </c>
      <c r="R127" s="2" t="s">
        <v>70</v>
      </c>
    </row>
    <row r="128" spans="1:20" x14ac:dyDescent="0.3">
      <c r="A128" s="39"/>
      <c r="B128" s="48">
        <v>21581</v>
      </c>
      <c r="C128" s="30" t="str">
        <f>VLOOKUP(Tabel3[[#This Row],[P-nr]],'data Chauffeur'!A:F,2,FALSE)</f>
        <v>Vanderstraeten</v>
      </c>
      <c r="D128" s="30" t="str">
        <f>VLOOKUP(Tabel3[[#This Row],[P-nr]],'data Chauffeur'!A:F,3,FALSE)</f>
        <v>Franky</v>
      </c>
      <c r="E128" s="30" t="str">
        <f>CONCATENATE(Tabel3[[#This Row],[P-nr]]," ",Tabel3[[#This Row],[Naam]]," ",Tabel3[[#This Row],[Voornaam]])</f>
        <v>21581 Vanderstraeten Franky</v>
      </c>
      <c r="F128" s="30" t="s">
        <v>145</v>
      </c>
      <c r="G128" s="30" t="str">
        <f>VLOOKUP(Tabel3[[#This Row],[P-nr]],'data Chauffeur'!A:F,4,FALSE)</f>
        <v>Lucie Vande Velde</v>
      </c>
      <c r="H128" t="str">
        <f>VLOOKUP(Tabel3[[#This Row],[P-nr]],'data Chauffeur'!A:F,5,FALSE)</f>
        <v>G70</v>
      </c>
      <c r="I128" s="8" t="s">
        <v>51</v>
      </c>
      <c r="J128" s="8" t="s">
        <v>71</v>
      </c>
      <c r="K128" s="30" t="s">
        <v>142</v>
      </c>
      <c r="L128" s="37">
        <v>45881</v>
      </c>
      <c r="M128" s="30" t="s">
        <v>105</v>
      </c>
      <c r="O128" t="s">
        <v>75</v>
      </c>
      <c r="R128" s="2" t="s">
        <v>70</v>
      </c>
    </row>
    <row r="129" spans="1:19" x14ac:dyDescent="0.3">
      <c r="A129" s="40"/>
      <c r="B129" s="48">
        <v>16094</v>
      </c>
      <c r="C129" s="30" t="str">
        <f>VLOOKUP(Tabel3[[#This Row],[P-nr]],'data Chauffeur'!A:F,2,FALSE)</f>
        <v>Bracke</v>
      </c>
      <c r="D129" s="30" t="str">
        <f>VLOOKUP(Tabel3[[#This Row],[P-nr]],'data Chauffeur'!A:F,3,FALSE)</f>
        <v>Peter</v>
      </c>
      <c r="E129" s="30" t="str">
        <f>CONCATENATE(Tabel3[[#This Row],[P-nr]]," ",Tabel3[[#This Row],[Naam]]," ",Tabel3[[#This Row],[Voornaam]])</f>
        <v>16094 Bracke Peter</v>
      </c>
      <c r="F129" s="30" t="s">
        <v>145</v>
      </c>
      <c r="G129" s="30" t="str">
        <f>VLOOKUP(Tabel3[[#This Row],[P-nr]],'data Chauffeur'!A:F,4,FALSE)</f>
        <v>Kenneth De Rick</v>
      </c>
      <c r="H129" t="str">
        <f>VLOOKUP(Tabel3[[#This Row],[P-nr]],'data Chauffeur'!A:F,5,FALSE)</f>
        <v>G09</v>
      </c>
      <c r="I129" s="8" t="s">
        <v>51</v>
      </c>
      <c r="J129" s="8" t="s">
        <v>71</v>
      </c>
      <c r="K129" s="30" t="s">
        <v>142</v>
      </c>
      <c r="L129" s="37">
        <v>45881</v>
      </c>
      <c r="M129" s="30" t="s">
        <v>105</v>
      </c>
      <c r="O129" t="s">
        <v>75</v>
      </c>
      <c r="R129" s="2" t="s">
        <v>70</v>
      </c>
      <c r="S129" t="s">
        <v>69</v>
      </c>
    </row>
    <row r="130" spans="1:19" x14ac:dyDescent="0.3">
      <c r="A130" s="39"/>
      <c r="B130" s="48">
        <v>35862</v>
      </c>
      <c r="C130" s="30" t="str">
        <f>VLOOKUP(Tabel3[[#This Row],[P-nr]],'data Chauffeur'!A:F,2,FALSE)</f>
        <v>Van Damme</v>
      </c>
      <c r="D130" s="30" t="str">
        <f>VLOOKUP(Tabel3[[#This Row],[P-nr]],'data Chauffeur'!A:F,3,FALSE)</f>
        <v>Patrick</v>
      </c>
      <c r="E130" s="30" t="str">
        <f>CONCATENATE(Tabel3[[#This Row],[P-nr]]," ",Tabel3[[#This Row],[Naam]]," ",Tabel3[[#This Row],[Voornaam]])</f>
        <v>35862 Van Damme Patrick</v>
      </c>
      <c r="F130" s="30" t="s">
        <v>145</v>
      </c>
      <c r="G130" s="30" t="str">
        <f>VLOOKUP(Tabel3[[#This Row],[P-nr]],'data Chauffeur'!A:F,4,FALSE)</f>
        <v>Els Dewulf</v>
      </c>
      <c r="H130" t="str">
        <f>VLOOKUP(Tabel3[[#This Row],[P-nr]],'data Chauffeur'!A:F,5,FALSE)</f>
        <v>B09</v>
      </c>
      <c r="I130" s="8" t="s">
        <v>33</v>
      </c>
      <c r="J130" s="8" t="s">
        <v>71</v>
      </c>
      <c r="K130" s="30" t="s">
        <v>137</v>
      </c>
      <c r="L130" s="37">
        <v>45882</v>
      </c>
      <c r="O130" t="s">
        <v>68</v>
      </c>
      <c r="P130" t="s">
        <v>69</v>
      </c>
      <c r="R130" s="2" t="s">
        <v>70</v>
      </c>
    </row>
    <row r="131" spans="1:19" x14ac:dyDescent="0.3">
      <c r="B131" s="48">
        <v>40134</v>
      </c>
      <c r="C131" s="30" t="str">
        <f>VLOOKUP(Tabel3[[#This Row],[P-nr]],'data Chauffeur'!A:F,2,FALSE)</f>
        <v>Cardon</v>
      </c>
      <c r="D131" s="30" t="str">
        <f>VLOOKUP(Tabel3[[#This Row],[P-nr]],'data Chauffeur'!A:F,3,FALSE)</f>
        <v>Sharon</v>
      </c>
      <c r="E131" s="30" t="str">
        <f>CONCATENATE(Tabel3[[#This Row],[P-nr]]," ",Tabel3[[#This Row],[Naam]]," ",Tabel3[[#This Row],[Voornaam]])</f>
        <v>40134 Cardon Sharon</v>
      </c>
      <c r="F131" s="30" t="str">
        <f>VLOOKUP(Tabel3[[#This Row],[P-nr]],'data Chauffeur'!A:F,6)</f>
        <v>Gent stad</v>
      </c>
      <c r="G131" s="30" t="str">
        <f>VLOOKUP(Tabel3[[#This Row],[P-nr]],'data Chauffeur'!A:F,4,FALSE)</f>
        <v>Dominique De Clercq</v>
      </c>
      <c r="H131" t="str">
        <f>VLOOKUP(Tabel3[[#This Row],[P-nr]],'data Chauffeur'!A:F,5,FALSE)</f>
        <v>RESF</v>
      </c>
      <c r="I131" s="8" t="s">
        <v>33</v>
      </c>
      <c r="J131" s="8" t="s">
        <v>71</v>
      </c>
      <c r="K131" s="30" t="s">
        <v>137</v>
      </c>
      <c r="L131" s="37">
        <v>45882</v>
      </c>
      <c r="O131" t="s">
        <v>73</v>
      </c>
      <c r="P131" t="s">
        <v>69</v>
      </c>
      <c r="R131" s="2" t="s">
        <v>70</v>
      </c>
    </row>
    <row r="132" spans="1:19" ht="28.8" x14ac:dyDescent="0.3">
      <c r="A132" s="18"/>
      <c r="B132" s="48">
        <v>36635</v>
      </c>
      <c r="C132" s="30" t="str">
        <f>VLOOKUP(Tabel3[[#This Row],[P-nr]],'data Chauffeur'!A:F,2,FALSE)</f>
        <v>Fadel</v>
      </c>
      <c r="D132" s="30" t="str">
        <f>VLOOKUP(Tabel3[[#This Row],[P-nr]],'data Chauffeur'!A:F,3,FALSE)</f>
        <v>Husam</v>
      </c>
      <c r="E132" s="30" t="str">
        <f>CONCATENATE(Tabel3[[#This Row],[P-nr]]," ",Tabel3[[#This Row],[Naam]]," ",Tabel3[[#This Row],[Voornaam]])</f>
        <v>36635 Fadel Husam</v>
      </c>
      <c r="F132" s="30" t="str">
        <f>VLOOKUP(Tabel3[[#This Row],[P-nr]],'data Chauffeur'!A:F,6)</f>
        <v>Gent stad</v>
      </c>
      <c r="G132" s="30" t="str">
        <f>VLOOKUP(Tabel3[[#This Row],[P-nr]],'data Chauffeur'!A:F,4,FALSE)</f>
        <v>Kenneth De Rick</v>
      </c>
      <c r="H132" t="str">
        <f>VLOOKUP(Tabel3[[#This Row],[P-nr]],'data Chauffeur'!A:F,5,FALSE)</f>
        <v>RESF</v>
      </c>
      <c r="I132" s="8" t="s">
        <v>146</v>
      </c>
      <c r="J132" s="8" t="s">
        <v>71</v>
      </c>
      <c r="K132" s="30" t="s">
        <v>137</v>
      </c>
      <c r="L132" s="37">
        <v>45882</v>
      </c>
      <c r="M132" s="30" t="s">
        <v>72</v>
      </c>
      <c r="O132" t="s">
        <v>73</v>
      </c>
      <c r="P132" t="s">
        <v>69</v>
      </c>
      <c r="R132" s="2" t="s">
        <v>70</v>
      </c>
    </row>
    <row r="133" spans="1:19" x14ac:dyDescent="0.3">
      <c r="B133" s="48">
        <v>40278</v>
      </c>
      <c r="C133" s="30" t="str">
        <f>VLOOKUP(Tabel3[[#This Row],[P-nr]],'data Chauffeur'!A:F,2,FALSE)</f>
        <v>Ates</v>
      </c>
      <c r="D133" s="30" t="str">
        <f>VLOOKUP(Tabel3[[#This Row],[P-nr]],'data Chauffeur'!A:F,3,FALSE)</f>
        <v>Firat</v>
      </c>
      <c r="E133" s="30" t="str">
        <f>CONCATENATE(Tabel3[[#This Row],[P-nr]]," ",Tabel3[[#This Row],[Naam]]," ",Tabel3[[#This Row],[Voornaam]])</f>
        <v>40278 Ates Firat</v>
      </c>
      <c r="F133" s="30" t="str">
        <f>VLOOKUP(Tabel3[[#This Row],[P-nr]],'data Chauffeur'!A:F,6)</f>
        <v>Gent stad</v>
      </c>
      <c r="G133" s="30" t="str">
        <f>VLOOKUP(Tabel3[[#This Row],[P-nr]],'data Chauffeur'!A:F,4,FALSE)</f>
        <v>Christoff Rotty</v>
      </c>
      <c r="H133" t="str">
        <f>VLOOKUP(Tabel3[[#This Row],[P-nr]],'data Chauffeur'!A:F,5,FALSE)</f>
        <v>RESF</v>
      </c>
      <c r="I133" s="8" t="s">
        <v>33</v>
      </c>
      <c r="J133" s="8" t="s">
        <v>71</v>
      </c>
      <c r="K133" s="30" t="s">
        <v>52</v>
      </c>
      <c r="L133" s="37">
        <v>45888</v>
      </c>
      <c r="O133" t="s">
        <v>75</v>
      </c>
      <c r="P133" t="s">
        <v>69</v>
      </c>
      <c r="R133" s="2" t="s">
        <v>70</v>
      </c>
    </row>
    <row r="134" spans="1:19" x14ac:dyDescent="0.3">
      <c r="B134" s="48">
        <v>26792</v>
      </c>
      <c r="C134" s="30" t="str">
        <f>VLOOKUP(Tabel3[[#This Row],[P-nr]],'data Chauffeur'!A:F,2,FALSE)</f>
        <v>Ong</v>
      </c>
      <c r="D134" s="30" t="str">
        <f>VLOOKUP(Tabel3[[#This Row],[P-nr]],'data Chauffeur'!A:F,3,FALSE)</f>
        <v>Geok Hong</v>
      </c>
      <c r="E134" s="30" t="str">
        <f>CONCATENATE(Tabel3[[#This Row],[P-nr]]," ",Tabel3[[#This Row],[Naam]]," ",Tabel3[[#This Row],[Voornaam]])</f>
        <v>26792 Ong Geok Hong</v>
      </c>
      <c r="F134" s="30" t="str">
        <f>VLOOKUP(Tabel3[[#This Row],[P-nr]],'data Chauffeur'!A:F,6)</f>
        <v>Gent stad</v>
      </c>
      <c r="G134" s="30" t="str">
        <f>VLOOKUP(Tabel3[[#This Row],[P-nr]],'data Chauffeur'!A:F,4,FALSE)</f>
        <v>Lucie Vande Velde</v>
      </c>
      <c r="H134" t="str">
        <f>VLOOKUP(Tabel3[[#This Row],[P-nr]],'data Chauffeur'!A:F,5,FALSE)</f>
        <v>BD12</v>
      </c>
      <c r="I134" s="8" t="s">
        <v>51</v>
      </c>
      <c r="J134" s="8" t="s">
        <v>71</v>
      </c>
      <c r="K134" s="30" t="s">
        <v>52</v>
      </c>
      <c r="L134" s="37">
        <v>45891</v>
      </c>
      <c r="M134" s="30" t="s">
        <v>96</v>
      </c>
      <c r="O134" t="s">
        <v>73</v>
      </c>
      <c r="R134" s="2" t="s">
        <v>70</v>
      </c>
    </row>
    <row r="135" spans="1:19" x14ac:dyDescent="0.3">
      <c r="B135" s="48">
        <v>31150</v>
      </c>
      <c r="C135" s="30" t="str">
        <f>VLOOKUP(Tabel3[[#This Row],[P-nr]],'data Chauffeur'!A:F,2,FALSE)</f>
        <v>Oueslati</v>
      </c>
      <c r="D135" s="30" t="str">
        <f>VLOOKUP(Tabel3[[#This Row],[P-nr]],'data Chauffeur'!A:F,3,FALSE)</f>
        <v>Mohamed Ali</v>
      </c>
      <c r="E135" s="30" t="str">
        <f>CONCATENATE(Tabel3[[#This Row],[P-nr]]," ",Tabel3[[#This Row],[Naam]]," ",Tabel3[[#This Row],[Voornaam]])</f>
        <v>31150 Oueslati Mohamed Ali</v>
      </c>
      <c r="F135" s="30" t="str">
        <f>VLOOKUP(Tabel3[[#This Row],[P-nr]],'data Chauffeur'!A:F,6)</f>
        <v>Gent stad</v>
      </c>
      <c r="G135" s="30" t="str">
        <f>VLOOKUP(Tabel3[[#This Row],[P-nr]],'data Chauffeur'!A:F,4,FALSE)</f>
        <v>Kenneth De Rick</v>
      </c>
      <c r="H135" t="str">
        <f>VLOOKUP(Tabel3[[#This Row],[P-nr]],'data Chauffeur'!A:F,5,FALSE)</f>
        <v>GW09</v>
      </c>
      <c r="I135" s="8" t="s">
        <v>147</v>
      </c>
      <c r="J135" s="8" t="s">
        <v>71</v>
      </c>
      <c r="K135" s="30" t="s">
        <v>52</v>
      </c>
      <c r="L135" s="37">
        <v>45891</v>
      </c>
      <c r="M135" s="30" t="s">
        <v>96</v>
      </c>
      <c r="N135" t="s">
        <v>136</v>
      </c>
      <c r="O135" t="s">
        <v>73</v>
      </c>
      <c r="R135" s="2" t="s">
        <v>70</v>
      </c>
    </row>
    <row r="136" spans="1:19" x14ac:dyDescent="0.3">
      <c r="B136" s="48">
        <v>36512</v>
      </c>
      <c r="C136" s="30" t="str">
        <f>VLOOKUP(Tabel3[[#This Row],[P-nr]],'data Chauffeur'!A:F,2,FALSE)</f>
        <v>Van Herreweghe</v>
      </c>
      <c r="D136" s="30" t="str">
        <f>VLOOKUP(Tabel3[[#This Row],[P-nr]],'data Chauffeur'!A:F,3,FALSE)</f>
        <v>Branco</v>
      </c>
      <c r="E136" s="30" t="str">
        <f>CONCATENATE(Tabel3[[#This Row],[P-nr]]," ",Tabel3[[#This Row],[Naam]]," ",Tabel3[[#This Row],[Voornaam]])</f>
        <v>36512 Van Herreweghe Branco</v>
      </c>
      <c r="F136" s="30" t="str">
        <f>VLOOKUP(Tabel3[[#This Row],[P-nr]],'data Chauffeur'!A:F,6)</f>
        <v>Gent stad</v>
      </c>
      <c r="G136" s="30" t="str">
        <f>VLOOKUP(Tabel3[[#This Row],[P-nr]],'data Chauffeur'!A:F,4,FALSE)</f>
        <v>Steven Storm</v>
      </c>
      <c r="H136" t="str">
        <f>VLOOKUP(Tabel3[[#This Row],[P-nr]],'data Chauffeur'!A:F,5,FALSE)</f>
        <v>G10</v>
      </c>
      <c r="I136" s="8" t="s">
        <v>33</v>
      </c>
      <c r="K136" s="30" t="s">
        <v>52</v>
      </c>
      <c r="L136" s="37">
        <v>45891</v>
      </c>
      <c r="M136" s="30" t="s">
        <v>72</v>
      </c>
      <c r="N136" t="s">
        <v>148</v>
      </c>
      <c r="O136" t="s">
        <v>75</v>
      </c>
      <c r="R136" s="2" t="s">
        <v>70</v>
      </c>
    </row>
    <row r="137" spans="1:19" x14ac:dyDescent="0.3">
      <c r="A137" s="18"/>
      <c r="B137" s="48">
        <v>41091</v>
      </c>
      <c r="C137" s="30" t="str">
        <f>VLOOKUP(Tabel3[[#This Row],[P-nr]],'data Chauffeur'!A:F,2,FALSE)</f>
        <v>Yavas</v>
      </c>
      <c r="D137" s="30" t="str">
        <f>VLOOKUP(Tabel3[[#This Row],[P-nr]],'data Chauffeur'!A:F,3,FALSE)</f>
        <v>Talha</v>
      </c>
      <c r="E137" s="30" t="str">
        <f>CONCATENATE(Tabel3[[#This Row],[P-nr]]," ",Tabel3[[#This Row],[Naam]]," ",Tabel3[[#This Row],[Voornaam]])</f>
        <v>41091 Yavas Talha</v>
      </c>
      <c r="F137" s="30" t="str">
        <f>VLOOKUP(Tabel3[[#This Row],[P-nr]],'data Chauffeur'!A:F,6)</f>
        <v>Gent stad</v>
      </c>
      <c r="G137" s="30" t="str">
        <f>VLOOKUP(Tabel3[[#This Row],[P-nr]],'data Chauffeur'!A:F,4,FALSE)</f>
        <v>Dominique De Clercq</v>
      </c>
      <c r="H137" t="str">
        <f>VLOOKUP(Tabel3[[#This Row],[P-nr]],'data Chauffeur'!A:F,5,FALSE)</f>
        <v>RESF</v>
      </c>
      <c r="I137" s="8" t="s">
        <v>51</v>
      </c>
      <c r="J137" s="8" t="s">
        <v>71</v>
      </c>
      <c r="K137" s="30" t="s">
        <v>135</v>
      </c>
      <c r="L137" s="37">
        <v>45895</v>
      </c>
      <c r="O137" t="s">
        <v>68</v>
      </c>
      <c r="P137" t="s">
        <v>69</v>
      </c>
      <c r="R137" s="2" t="s">
        <v>70</v>
      </c>
    </row>
    <row r="138" spans="1:19" x14ac:dyDescent="0.3">
      <c r="B138" s="48">
        <v>35419</v>
      </c>
      <c r="C138" s="30" t="str">
        <f>VLOOKUP(Tabel3[[#This Row],[P-nr]],'data Chauffeur'!A:F,2,FALSE)</f>
        <v>Vermeir</v>
      </c>
      <c r="D138" s="30" t="str">
        <f>VLOOKUP(Tabel3[[#This Row],[P-nr]],'data Chauffeur'!A:F,3,FALSE)</f>
        <v>Davy</v>
      </c>
      <c r="E138" s="30" t="str">
        <f>CONCATENATE(Tabel3[[#This Row],[P-nr]]," ",Tabel3[[#This Row],[Naam]]," ",Tabel3[[#This Row],[Voornaam]])</f>
        <v>35419 Vermeir Davy</v>
      </c>
      <c r="F138" s="30" t="str">
        <f>VLOOKUP(Tabel3[[#This Row],[P-nr]],'data Chauffeur'!A:F,6)</f>
        <v>Gent stad</v>
      </c>
      <c r="G138" s="30" t="str">
        <f>VLOOKUP(Tabel3[[#This Row],[P-nr]],'data Chauffeur'!A:F,4,FALSE)</f>
        <v>Lucie Vande Velde</v>
      </c>
      <c r="H138" t="str">
        <f>VLOOKUP(Tabel3[[#This Row],[P-nr]],'data Chauffeur'!A:F,5,FALSE)</f>
        <v>GW10</v>
      </c>
      <c r="I138" s="8" t="s">
        <v>51</v>
      </c>
      <c r="J138" s="8" t="s">
        <v>71</v>
      </c>
      <c r="K138" s="30" t="s">
        <v>135</v>
      </c>
      <c r="L138" s="37">
        <v>45895</v>
      </c>
      <c r="O138" t="s">
        <v>68</v>
      </c>
      <c r="P138" t="s">
        <v>69</v>
      </c>
      <c r="R138" s="2" t="s">
        <v>70</v>
      </c>
    </row>
    <row r="139" spans="1:19" x14ac:dyDescent="0.3">
      <c r="B139" s="48">
        <v>34019</v>
      </c>
      <c r="C139" s="30" t="str">
        <f>VLOOKUP(Tabel3[[#This Row],[P-nr]],'data Chauffeur'!A:F,2,FALSE)</f>
        <v>Hoste</v>
      </c>
      <c r="D139" s="30" t="str">
        <f>VLOOKUP(Tabel3[[#This Row],[P-nr]],'data Chauffeur'!A:F,3,FALSE)</f>
        <v>Tom</v>
      </c>
      <c r="E139" s="30" t="str">
        <f>CONCATENATE(Tabel3[[#This Row],[P-nr]]," ",Tabel3[[#This Row],[Naam]]," ",Tabel3[[#This Row],[Voornaam]])</f>
        <v>34019 Hoste Tom</v>
      </c>
      <c r="F139" s="30" t="str">
        <f>VLOOKUP(Tabel3[[#This Row],[P-nr]],'data Chauffeur'!A:F,6)</f>
        <v>Gent stad</v>
      </c>
      <c r="G139" s="30" t="str">
        <f>VLOOKUP(Tabel3[[#This Row],[P-nr]],'data Chauffeur'!A:F,4,FALSE)</f>
        <v>Christoff Rotty</v>
      </c>
      <c r="H139" t="str">
        <f>VLOOKUP(Tabel3[[#This Row],[P-nr]],'data Chauffeur'!A:F,5,FALSE)</f>
        <v>S05</v>
      </c>
      <c r="I139" s="8" t="s">
        <v>51</v>
      </c>
      <c r="J139" s="8" t="s">
        <v>71</v>
      </c>
      <c r="K139" s="30" t="s">
        <v>135</v>
      </c>
      <c r="L139" s="37">
        <v>45895</v>
      </c>
      <c r="O139" t="s">
        <v>68</v>
      </c>
      <c r="P139" t="s">
        <v>69</v>
      </c>
      <c r="R139" s="2" t="s">
        <v>70</v>
      </c>
    </row>
    <row r="140" spans="1:19" x14ac:dyDescent="0.3">
      <c r="B140" s="48">
        <v>36626</v>
      </c>
      <c r="C140" s="30" t="str">
        <f>VLOOKUP(Tabel3[[#This Row],[P-nr]],'data Chauffeur'!A:F,2,FALSE)</f>
        <v>Kartal</v>
      </c>
      <c r="D140" s="30" t="str">
        <f>VLOOKUP(Tabel3[[#This Row],[P-nr]],'data Chauffeur'!A:F,3,FALSE)</f>
        <v>Kadir</v>
      </c>
      <c r="E140" s="30" t="str">
        <f>CONCATENATE(Tabel3[[#This Row],[P-nr]]," ",Tabel3[[#This Row],[Naam]]," ",Tabel3[[#This Row],[Voornaam]])</f>
        <v>36626 Kartal Kadir</v>
      </c>
      <c r="F140" s="30" t="str">
        <f>VLOOKUP(Tabel3[[#This Row],[P-nr]],'data Chauffeur'!A:F,6)</f>
        <v>Gent stad</v>
      </c>
      <c r="G140" s="30" t="str">
        <f>VLOOKUP(Tabel3[[#This Row],[P-nr]],'data Chauffeur'!A:F,4,FALSE)</f>
        <v>Els Dewulf</v>
      </c>
      <c r="H140" t="str">
        <f>VLOOKUP(Tabel3[[#This Row],[P-nr]],'data Chauffeur'!A:F,5,FALSE)</f>
        <v>BR15</v>
      </c>
      <c r="I140" s="8" t="s">
        <v>46</v>
      </c>
      <c r="J140" s="8" t="s">
        <v>71</v>
      </c>
      <c r="K140" s="30" t="s">
        <v>52</v>
      </c>
      <c r="L140" s="37">
        <v>45901</v>
      </c>
      <c r="M140" s="30" t="s">
        <v>91</v>
      </c>
      <c r="N140" t="s">
        <v>126</v>
      </c>
      <c r="O140" t="s">
        <v>75</v>
      </c>
      <c r="R140" s="2" t="s">
        <v>70</v>
      </c>
    </row>
    <row r="141" spans="1:19" ht="28.8" x14ac:dyDescent="0.3">
      <c r="A141" s="18"/>
      <c r="B141" s="48">
        <v>36625</v>
      </c>
      <c r="C141" s="30" t="str">
        <f>VLOOKUP(Tabel3[[#This Row],[P-nr]],'data Chauffeur'!A:F,2,FALSE)</f>
        <v>Carion</v>
      </c>
      <c r="D141" s="30" t="str">
        <f>VLOOKUP(Tabel3[[#This Row],[P-nr]],'data Chauffeur'!A:F,3,FALSE)</f>
        <v>Rojet</v>
      </c>
      <c r="E141" s="30" t="str">
        <f>CONCATENATE(Tabel3[[#This Row],[P-nr]]," ",Tabel3[[#This Row],[Naam]]," ",Tabel3[[#This Row],[Voornaam]])</f>
        <v>36625 Carion Rojet</v>
      </c>
      <c r="F141" s="30" t="str">
        <f>VLOOKUP(Tabel3[[#This Row],[P-nr]],'data Chauffeur'!A:F,6)</f>
        <v>Gent stad</v>
      </c>
      <c r="G141" s="30" t="str">
        <f>VLOOKUP(Tabel3[[#This Row],[P-nr]],'data Chauffeur'!A:F,4,FALSE)</f>
        <v>Kenneth De Rick</v>
      </c>
      <c r="H141" t="str">
        <f>VLOOKUP(Tabel3[[#This Row],[P-nr]],'data Chauffeur'!A:F,5,FALSE)</f>
        <v>BR15</v>
      </c>
      <c r="I141" s="8" t="s">
        <v>51</v>
      </c>
      <c r="J141" s="8" t="s">
        <v>71</v>
      </c>
      <c r="K141" s="30" t="s">
        <v>77</v>
      </c>
      <c r="L141" s="37">
        <v>45909</v>
      </c>
      <c r="M141" s="46" t="s">
        <v>149</v>
      </c>
      <c r="N141" t="s">
        <v>96</v>
      </c>
      <c r="O141" t="s">
        <v>79</v>
      </c>
      <c r="P141" t="s">
        <v>23</v>
      </c>
      <c r="Q141" t="s">
        <v>69</v>
      </c>
      <c r="R141" s="2" t="s">
        <v>70</v>
      </c>
    </row>
    <row r="142" spans="1:19" x14ac:dyDescent="0.3">
      <c r="B142" s="48">
        <v>39673</v>
      </c>
      <c r="C142" s="30" t="str">
        <f>VLOOKUP(Tabel3[[#This Row],[P-nr]],'data Chauffeur'!A:F,2,FALSE)</f>
        <v>Steurbaut</v>
      </c>
      <c r="D142" s="30" t="str">
        <f>VLOOKUP(Tabel3[[#This Row],[P-nr]],'data Chauffeur'!A:F,3,FALSE)</f>
        <v>Henri</v>
      </c>
      <c r="E142" s="30" t="str">
        <f>CONCATENATE(Tabel3[[#This Row],[P-nr]]," ",Tabel3[[#This Row],[Naam]]," ",Tabel3[[#This Row],[Voornaam]])</f>
        <v>39673 Steurbaut Henri</v>
      </c>
      <c r="F142" s="30" t="str">
        <f>VLOOKUP(Tabel3[[#This Row],[P-nr]],'data Chauffeur'!A:F,6)</f>
        <v>Gent stad</v>
      </c>
      <c r="G142" s="30" t="str">
        <f>VLOOKUP(Tabel3[[#This Row],[P-nr]],'data Chauffeur'!A:F,4,FALSE)</f>
        <v>Els Vanhoe</v>
      </c>
      <c r="H142" t="str">
        <f>VLOOKUP(Tabel3[[#This Row],[P-nr]],'data Chauffeur'!A:F,5,FALSE)</f>
        <v>RESF</v>
      </c>
      <c r="I142" s="8" t="s">
        <v>33</v>
      </c>
      <c r="J142" s="8" t="s">
        <v>71</v>
      </c>
      <c r="K142" s="30" t="s">
        <v>52</v>
      </c>
      <c r="L142" s="37">
        <v>45922</v>
      </c>
      <c r="O142" t="s">
        <v>68</v>
      </c>
      <c r="R142" s="2" t="s">
        <v>70</v>
      </c>
    </row>
    <row r="143" spans="1:19" x14ac:dyDescent="0.3">
      <c r="A143" s="18"/>
      <c r="B143" s="48">
        <v>31668</v>
      </c>
      <c r="C143" s="30" t="str">
        <f>VLOOKUP(Tabel3[[#This Row],[P-nr]],'data Chauffeur'!A:F,2,FALSE)</f>
        <v>Weemhof</v>
      </c>
      <c r="D143" s="30" t="str">
        <f>VLOOKUP(Tabel3[[#This Row],[P-nr]],'data Chauffeur'!A:F,3,FALSE)</f>
        <v>Maurice</v>
      </c>
      <c r="E143" s="30" t="str">
        <f>CONCATENATE(Tabel3[[#This Row],[P-nr]]," ",Tabel3[[#This Row],[Naam]]," ",Tabel3[[#This Row],[Voornaam]])</f>
        <v>31668 Weemhof Maurice</v>
      </c>
      <c r="F143" s="30" t="str">
        <f>VLOOKUP(Tabel3[[#This Row],[P-nr]],'data Chauffeur'!A:F,6)</f>
        <v>Gent stad</v>
      </c>
      <c r="G143" s="30" t="str">
        <f>VLOOKUP(Tabel3[[#This Row],[P-nr]],'data Chauffeur'!A:F,4,FALSE)</f>
        <v>Dominique De Clercq</v>
      </c>
      <c r="H143" t="str">
        <f>VLOOKUP(Tabel3[[#This Row],[P-nr]],'data Chauffeur'!A:F,5,FALSE)</f>
        <v>B24</v>
      </c>
      <c r="I143" s="8" t="s">
        <v>34</v>
      </c>
      <c r="J143" s="8" t="s">
        <v>71</v>
      </c>
      <c r="K143" s="30" t="s">
        <v>52</v>
      </c>
      <c r="L143" s="37">
        <v>45922</v>
      </c>
      <c r="M143" s="30" t="s">
        <v>72</v>
      </c>
      <c r="N143" t="s">
        <v>38</v>
      </c>
      <c r="O143" t="s">
        <v>79</v>
      </c>
      <c r="R143" s="2" t="s">
        <v>70</v>
      </c>
    </row>
    <row r="144" spans="1:19" ht="43.2" x14ac:dyDescent="0.3">
      <c r="B144" s="48">
        <v>21581</v>
      </c>
      <c r="C144" s="30" t="str">
        <f>VLOOKUP(Tabel3[[#This Row],[P-nr]],'data Chauffeur'!A:F,2,FALSE)</f>
        <v>Vanderstraeten</v>
      </c>
      <c r="D144" s="30" t="str">
        <f>VLOOKUP(Tabel3[[#This Row],[P-nr]],'data Chauffeur'!A:F,3,FALSE)</f>
        <v>Franky</v>
      </c>
      <c r="E144" s="30" t="str">
        <f>CONCATENATE(Tabel3[[#This Row],[P-nr]]," ",Tabel3[[#This Row],[Naam]]," ",Tabel3[[#This Row],[Voornaam]])</f>
        <v>21581 Vanderstraeten Franky</v>
      </c>
      <c r="F144" s="30" t="str">
        <f>VLOOKUP(Tabel3[[#This Row],[P-nr]],'data Chauffeur'!A:F,6)</f>
        <v>Gent stad</v>
      </c>
      <c r="G144" s="30" t="str">
        <f>VLOOKUP(Tabel3[[#This Row],[P-nr]],'data Chauffeur'!A:F,4,FALSE)</f>
        <v>Lucie Vande Velde</v>
      </c>
      <c r="H144" t="str">
        <f>VLOOKUP(Tabel3[[#This Row],[P-nr]],'data Chauffeur'!A:F,5,FALSE)</f>
        <v>G70</v>
      </c>
      <c r="I144" s="8" t="s">
        <v>150</v>
      </c>
      <c r="J144" s="8" t="s">
        <v>71</v>
      </c>
      <c r="K144" s="30" t="s">
        <v>52</v>
      </c>
      <c r="L144" s="37">
        <v>45922</v>
      </c>
      <c r="M144" s="30" t="s">
        <v>72</v>
      </c>
      <c r="N144" t="s">
        <v>38</v>
      </c>
      <c r="O144" t="s">
        <v>73</v>
      </c>
      <c r="R144" s="2" t="s">
        <v>70</v>
      </c>
    </row>
    <row r="145" spans="1:18" x14ac:dyDescent="0.3">
      <c r="A145" s="18"/>
      <c r="B145" s="48">
        <v>31668</v>
      </c>
      <c r="C145" s="30" t="str">
        <f>VLOOKUP(Tabel3[[#This Row],[P-nr]],'data Chauffeur'!A:F,2,FALSE)</f>
        <v>Weemhof</v>
      </c>
      <c r="D145" s="30" t="str">
        <f>VLOOKUP(Tabel3[[#This Row],[P-nr]],'data Chauffeur'!A:F,3,FALSE)</f>
        <v>Maurice</v>
      </c>
      <c r="E145" s="30" t="str">
        <f>CONCATENATE(Tabel3[[#This Row],[P-nr]]," ",Tabel3[[#This Row],[Naam]]," ",Tabel3[[#This Row],[Voornaam]])</f>
        <v>31668 Weemhof Maurice</v>
      </c>
      <c r="F145" s="30" t="str">
        <f>VLOOKUP(Tabel3[[#This Row],[P-nr]],'data Chauffeur'!A:F,6)</f>
        <v>Gent stad</v>
      </c>
      <c r="G145" s="30" t="str">
        <f>VLOOKUP(Tabel3[[#This Row],[P-nr]],'data Chauffeur'!A:F,4,FALSE)</f>
        <v>Dominique De Clercq</v>
      </c>
      <c r="H145" t="str">
        <f>VLOOKUP(Tabel3[[#This Row],[P-nr]],'data Chauffeur'!A:F,5,FALSE)</f>
        <v>B24</v>
      </c>
      <c r="I145" s="8" t="s">
        <v>151</v>
      </c>
      <c r="J145" s="8" t="s">
        <v>71</v>
      </c>
      <c r="K145" s="30" t="s">
        <v>52</v>
      </c>
      <c r="L145" s="37">
        <v>45922</v>
      </c>
      <c r="M145" s="30" t="s">
        <v>72</v>
      </c>
      <c r="N145" t="s">
        <v>152</v>
      </c>
      <c r="O145" t="s">
        <v>73</v>
      </c>
      <c r="R145" s="2" t="s">
        <v>70</v>
      </c>
    </row>
    <row r="146" spans="1:18" x14ac:dyDescent="0.3">
      <c r="A146" s="18"/>
      <c r="B146" s="48">
        <v>15220</v>
      </c>
      <c r="C146" s="30" t="str">
        <f>VLOOKUP(Tabel3[[#This Row],[P-nr]],'data Chauffeur'!A:F,2,FALSE)</f>
        <v>Dejonghe</v>
      </c>
      <c r="D146" s="30" t="str">
        <f>VLOOKUP(Tabel3[[#This Row],[P-nr]],'data Chauffeur'!A:F,3,FALSE)</f>
        <v>Katleen</v>
      </c>
      <c r="E146" s="30" t="str">
        <f>CONCATENATE(Tabel3[[#This Row],[P-nr]]," ",Tabel3[[#This Row],[Naam]]," ",Tabel3[[#This Row],[Voornaam]])</f>
        <v>15220 Dejonghe Katleen</v>
      </c>
      <c r="F146" s="30" t="e">
        <f>VLOOKUP(Tabel3[[#This Row],[P-nr]],'data Chauffeur'!A:F,6)</f>
        <v>#N/A</v>
      </c>
      <c r="G146" s="30" t="str">
        <f>VLOOKUP(Tabel3[[#This Row],[P-nr]],'data Chauffeur'!A:F,4,FALSE)</f>
        <v>Dominique De Clercq</v>
      </c>
      <c r="H146" t="str">
        <f>VLOOKUP(Tabel3[[#This Row],[P-nr]],'data Chauffeur'!A:F,5,FALSE)</f>
        <v>TD12</v>
      </c>
      <c r="I146" s="8" t="s">
        <v>153</v>
      </c>
      <c r="J146" s="8" t="s">
        <v>66</v>
      </c>
      <c r="K146" s="30" t="s">
        <v>67</v>
      </c>
      <c r="L146" s="37">
        <v>45925</v>
      </c>
      <c r="M146" s="30" t="s">
        <v>91</v>
      </c>
      <c r="N146" t="s">
        <v>154</v>
      </c>
      <c r="O146" t="s">
        <v>79</v>
      </c>
      <c r="P146" t="s">
        <v>23</v>
      </c>
      <c r="R146" s="2" t="s">
        <v>70</v>
      </c>
    </row>
    <row r="147" spans="1:18" x14ac:dyDescent="0.3">
      <c r="B147" s="48">
        <v>38555</v>
      </c>
      <c r="C147" s="30" t="str">
        <f>VLOOKUP(Tabel3[[#This Row],[P-nr]],'data Chauffeur'!A:F,2,FALSE)</f>
        <v>Almohammad</v>
      </c>
      <c r="D147" s="30" t="str">
        <f>VLOOKUP(Tabel3[[#This Row],[P-nr]],'data Chauffeur'!A:F,3,FALSE)</f>
        <v>Malek</v>
      </c>
      <c r="E147" s="30" t="str">
        <f>CONCATENATE(Tabel3[[#This Row],[P-nr]]," ",Tabel3[[#This Row],[Naam]]," ",Tabel3[[#This Row],[Voornaam]])</f>
        <v>38555 Almohammad Malek</v>
      </c>
      <c r="F147" s="30" t="str">
        <f>VLOOKUP(Tabel3[[#This Row],[P-nr]],'data Chauffeur'!A:F,6)</f>
        <v>Gent stad</v>
      </c>
      <c r="G147" s="30" t="str">
        <f>VLOOKUP(Tabel3[[#This Row],[P-nr]],'data Chauffeur'!A:F,4,FALSE)</f>
        <v>Els Vanhoe</v>
      </c>
      <c r="H147" t="str">
        <f>VLOOKUP(Tabel3[[#This Row],[P-nr]],'data Chauffeur'!A:F,5,FALSE)</f>
        <v>B09</v>
      </c>
      <c r="I147" s="8" t="s">
        <v>51</v>
      </c>
      <c r="J147" s="8" t="s">
        <v>66</v>
      </c>
      <c r="K147" s="30" t="s">
        <v>67</v>
      </c>
      <c r="L147" s="37">
        <v>45925</v>
      </c>
      <c r="O147" t="s">
        <v>68</v>
      </c>
      <c r="R147" s="2" t="s">
        <v>70</v>
      </c>
    </row>
    <row r="148" spans="1:18" x14ac:dyDescent="0.3">
      <c r="B148" s="48">
        <v>8792</v>
      </c>
      <c r="C148" s="30" t="str">
        <f>VLOOKUP(Tabel3[[#This Row],[P-nr]],'data Chauffeur'!A:F,2,FALSE)</f>
        <v>VandenDaele</v>
      </c>
      <c r="D148" s="30" t="str">
        <f>VLOOKUP(Tabel3[[#This Row],[P-nr]],'data Chauffeur'!A:F,3,FALSE)</f>
        <v>Dave</v>
      </c>
      <c r="E148" s="30" t="str">
        <f>CONCATENATE(Tabel3[[#This Row],[P-nr]]," ",Tabel3[[#This Row],[Naam]]," ",Tabel3[[#This Row],[Voornaam]])</f>
        <v>8792 VandenDaele Dave</v>
      </c>
      <c r="F148" s="30" t="e">
        <f>VLOOKUP(Tabel3[[#This Row],[P-nr]],'data Chauffeur'!A:F,6)</f>
        <v>#N/A</v>
      </c>
      <c r="G148" s="30" t="str">
        <f>VLOOKUP(Tabel3[[#This Row],[P-nr]],'data Chauffeur'!A:F,4,FALSE)</f>
        <v>Bart Van Der Beken</v>
      </c>
      <c r="H148" t="str">
        <f>VLOOKUP(Tabel3[[#This Row],[P-nr]],'data Chauffeur'!A:F,5,FALSE)</f>
        <v>T24</v>
      </c>
      <c r="I148" s="8" t="s">
        <v>51</v>
      </c>
      <c r="J148" s="8" t="s">
        <v>66</v>
      </c>
      <c r="K148" s="30" t="s">
        <v>67</v>
      </c>
      <c r="L148" s="37">
        <v>45925</v>
      </c>
      <c r="O148" t="s">
        <v>68</v>
      </c>
      <c r="R148" s="2" t="s">
        <v>70</v>
      </c>
    </row>
    <row r="149" spans="1:18" x14ac:dyDescent="0.3">
      <c r="B149" s="48">
        <v>8918</v>
      </c>
      <c r="C149" s="30" t="str">
        <f>VLOOKUP(Tabel3[[#This Row],[P-nr]],'data Chauffeur'!A:F,2,FALSE)</f>
        <v>De Graeve</v>
      </c>
      <c r="D149" s="30" t="str">
        <f>VLOOKUP(Tabel3[[#This Row],[P-nr]],'data Chauffeur'!A:F,3,FALSE)</f>
        <v>Marc</v>
      </c>
      <c r="E149" s="30" t="str">
        <f>CONCATENATE(Tabel3[[#This Row],[P-nr]]," ",Tabel3[[#This Row],[Naam]]," ",Tabel3[[#This Row],[Voornaam]])</f>
        <v>8918 De Graeve Marc</v>
      </c>
      <c r="F149" s="30" t="e">
        <f>VLOOKUP(Tabel3[[#This Row],[P-nr]],'data Chauffeur'!A:F,6)</f>
        <v>#N/A</v>
      </c>
      <c r="G149" s="30" t="str">
        <f>VLOOKUP(Tabel3[[#This Row],[P-nr]],'data Chauffeur'!A:F,4,FALSE)</f>
        <v>Kenneth De Rick</v>
      </c>
      <c r="H149" t="str">
        <f>VLOOKUP(Tabel3[[#This Row],[P-nr]],'data Chauffeur'!A:F,5,FALSE)</f>
        <v>M15</v>
      </c>
      <c r="I149" s="8" t="s">
        <v>51</v>
      </c>
      <c r="J149" s="8" t="s">
        <v>66</v>
      </c>
      <c r="K149" s="30" t="s">
        <v>67</v>
      </c>
      <c r="L149" s="37">
        <v>45925</v>
      </c>
      <c r="M149" s="30" t="s">
        <v>91</v>
      </c>
      <c r="N149" t="s">
        <v>38</v>
      </c>
      <c r="O149" t="s">
        <v>73</v>
      </c>
      <c r="R149" s="2" t="s">
        <v>70</v>
      </c>
    </row>
    <row r="150" spans="1:18" x14ac:dyDescent="0.3">
      <c r="B150" s="48">
        <v>8016</v>
      </c>
      <c r="C150" s="30" t="str">
        <f>VLOOKUP(Tabel3[[#This Row],[P-nr]],'data Chauffeur'!A:F,2,FALSE)</f>
        <v>Vinck</v>
      </c>
      <c r="D150" s="30" t="str">
        <f>VLOOKUP(Tabel3[[#This Row],[P-nr]],'data Chauffeur'!A:F,3,FALSE)</f>
        <v>Roland</v>
      </c>
      <c r="E150" s="30" t="str">
        <f>CONCATENATE(Tabel3[[#This Row],[P-nr]]," ",Tabel3[[#This Row],[Naam]]," ",Tabel3[[#This Row],[Voornaam]])</f>
        <v>8016 Vinck Roland</v>
      </c>
      <c r="F150" s="30" t="e">
        <f>VLOOKUP(Tabel3[[#This Row],[P-nr]],'data Chauffeur'!A:F,6)</f>
        <v>#N/A</v>
      </c>
      <c r="G150" s="30" t="str">
        <f>VLOOKUP(Tabel3[[#This Row],[P-nr]],'data Chauffeur'!A:F,4,FALSE)</f>
        <v>Dominique De Clercq</v>
      </c>
      <c r="H150" t="str">
        <f>VLOOKUP(Tabel3[[#This Row],[P-nr]],'data Chauffeur'!A:F,5,FALSE)</f>
        <v>TV12</v>
      </c>
      <c r="I150" s="8" t="s">
        <v>51</v>
      </c>
      <c r="J150" s="8" t="s">
        <v>66</v>
      </c>
      <c r="K150" s="30" t="s">
        <v>67</v>
      </c>
      <c r="L150" s="37">
        <v>45925</v>
      </c>
      <c r="M150" s="30" t="s">
        <v>91</v>
      </c>
      <c r="N150" t="s">
        <v>38</v>
      </c>
      <c r="O150" t="s">
        <v>73</v>
      </c>
      <c r="R150" s="2" t="s">
        <v>70</v>
      </c>
    </row>
    <row r="151" spans="1:18" x14ac:dyDescent="0.3">
      <c r="B151" s="48">
        <v>41671</v>
      </c>
      <c r="C151" s="30" t="str">
        <f>VLOOKUP(Tabel3[[#This Row],[P-nr]],'data Chauffeur'!A:F,2,FALSE)</f>
        <v>Hasan</v>
      </c>
      <c r="D151" s="30" t="str">
        <f>VLOOKUP(Tabel3[[#This Row],[P-nr]],'data Chauffeur'!A:F,3,FALSE)</f>
        <v>Salem</v>
      </c>
      <c r="E151" s="30" t="str">
        <f>CONCATENATE(Tabel3[[#This Row],[P-nr]]," ",Tabel3[[#This Row],[Naam]]," ",Tabel3[[#This Row],[Voornaam]])</f>
        <v>41671 Hasan Salem</v>
      </c>
      <c r="F151" s="30" t="str">
        <f>VLOOKUP(Tabel3[[#This Row],[P-nr]],'data Chauffeur'!A:F,6)</f>
        <v>Gent stad</v>
      </c>
      <c r="G151" s="30" t="str">
        <f>VLOOKUP(Tabel3[[#This Row],[P-nr]],'data Chauffeur'!A:F,4,FALSE)</f>
        <v>Bart Van Der Beken</v>
      </c>
      <c r="H151" t="str">
        <f>VLOOKUP(Tabel3[[#This Row],[P-nr]],'data Chauffeur'!A:F,5,FALSE)</f>
        <v>RESF</v>
      </c>
      <c r="I151" s="8" t="str">
        <f>I150</f>
        <v>spontane coaching</v>
      </c>
      <c r="J151" s="8" t="s">
        <v>71</v>
      </c>
      <c r="K151" s="30" t="s">
        <v>77</v>
      </c>
      <c r="L151" s="37">
        <v>45925</v>
      </c>
      <c r="M151" s="30" t="s">
        <v>96</v>
      </c>
      <c r="O151" t="s">
        <v>75</v>
      </c>
      <c r="R151" s="2" t="s">
        <v>70</v>
      </c>
    </row>
    <row r="152" spans="1:18" x14ac:dyDescent="0.3">
      <c r="B152" s="48">
        <v>37496</v>
      </c>
      <c r="C152" s="30" t="str">
        <f>VLOOKUP(Tabel3[[#This Row],[P-nr]],'data Chauffeur'!A:F,2,FALSE)</f>
        <v>Oosterlinck</v>
      </c>
      <c r="D152" s="30" t="str">
        <f>VLOOKUP(Tabel3[[#This Row],[P-nr]],'data Chauffeur'!A:F,3,FALSE)</f>
        <v>Willy</v>
      </c>
      <c r="E152" s="30" t="str">
        <f>CONCATENATE(Tabel3[[#This Row],[P-nr]]," ",Tabel3[[#This Row],[Naam]]," ",Tabel3[[#This Row],[Voornaam]])</f>
        <v>37496 Oosterlinck Willy</v>
      </c>
      <c r="F152" s="30" t="str">
        <f>VLOOKUP(Tabel3[[#This Row],[P-nr]],'data Chauffeur'!A:F,6)</f>
        <v>Gent stad</v>
      </c>
      <c r="G152" s="30" t="str">
        <f>VLOOKUP(Tabel3[[#This Row],[P-nr]],'data Chauffeur'!A:F,4,FALSE)</f>
        <v>Dominique De Clercq</v>
      </c>
      <c r="H152" t="str">
        <f>VLOOKUP(Tabel3[[#This Row],[P-nr]],'data Chauffeur'!A:F,5,FALSE)</f>
        <v>MW12</v>
      </c>
      <c r="I152" s="8" t="s">
        <v>33</v>
      </c>
      <c r="J152" s="8" t="s">
        <v>71</v>
      </c>
      <c r="K152" s="30" t="s">
        <v>77</v>
      </c>
      <c r="L152" s="37">
        <v>45925</v>
      </c>
      <c r="M152" s="30" t="s">
        <v>87</v>
      </c>
      <c r="O152" t="s">
        <v>73</v>
      </c>
      <c r="R152" s="2" t="s">
        <v>70</v>
      </c>
    </row>
    <row r="153" spans="1:18" x14ac:dyDescent="0.3">
      <c r="B153" s="48">
        <v>41874</v>
      </c>
      <c r="C153" s="30" t="str">
        <f>VLOOKUP(Tabel3[[#This Row],[P-nr]],'data Chauffeur'!A:F,2,FALSE)</f>
        <v>Dobbeleire</v>
      </c>
      <c r="D153" s="30" t="str">
        <f>VLOOKUP(Tabel3[[#This Row],[P-nr]],'data Chauffeur'!A:F,3,FALSE)</f>
        <v>Bruno</v>
      </c>
      <c r="E153" s="30" t="str">
        <f>CONCATENATE(Tabel3[[#This Row],[P-nr]]," ",Tabel3[[#This Row],[Naam]]," ",Tabel3[[#This Row],[Voornaam]])</f>
        <v>41874 Dobbeleire Bruno</v>
      </c>
      <c r="F153" s="30" t="str">
        <f>VLOOKUP(Tabel3[[#This Row],[P-nr]],'data Chauffeur'!A:F,6)</f>
        <v>Gent stad</v>
      </c>
      <c r="G153" s="30" t="str">
        <f>VLOOKUP(Tabel3[[#This Row],[P-nr]],'data Chauffeur'!A:F,4,FALSE)</f>
        <v>Dominique De Clercq</v>
      </c>
      <c r="H153" t="str">
        <f>VLOOKUP(Tabel3[[#This Row],[P-nr]],'data Chauffeur'!A:F,5,FALSE)</f>
        <v>RESF</v>
      </c>
      <c r="I153" s="8" t="s">
        <v>33</v>
      </c>
      <c r="J153" s="8" t="s">
        <v>71</v>
      </c>
      <c r="K153" s="30" t="s">
        <v>77</v>
      </c>
      <c r="L153" s="37">
        <v>45925</v>
      </c>
      <c r="O153" t="s">
        <v>75</v>
      </c>
      <c r="R153" s="2" t="s">
        <v>70</v>
      </c>
    </row>
    <row r="154" spans="1:18" x14ac:dyDescent="0.3">
      <c r="A154" s="18"/>
      <c r="B154" s="48">
        <v>23790</v>
      </c>
      <c r="C154" s="30" t="str">
        <f>VLOOKUP(Tabel3[[#This Row],[P-nr]],'data Chauffeur'!A:F,2,FALSE)</f>
        <v>Adiyil</v>
      </c>
      <c r="D154" s="30" t="str">
        <f>VLOOKUP(Tabel3[[#This Row],[P-nr]],'data Chauffeur'!A:F,3,FALSE)</f>
        <v>Attila</v>
      </c>
      <c r="E154" s="30" t="str">
        <f>CONCATENATE(Tabel3[[#This Row],[P-nr]]," ",Tabel3[[#This Row],[Naam]]," ",Tabel3[[#This Row],[Voornaam]])</f>
        <v>23790 Adiyil Attila</v>
      </c>
      <c r="F154" s="30" t="str">
        <f>VLOOKUP(Tabel3[[#This Row],[P-nr]],'data Chauffeur'!A:F,6)</f>
        <v>Gent stad</v>
      </c>
      <c r="G154" s="30" t="str">
        <f>VLOOKUP(Tabel3[[#This Row],[P-nr]],'data Chauffeur'!A:F,4,FALSE)</f>
        <v>Dominique De Clercq</v>
      </c>
      <c r="H154" t="str">
        <f>VLOOKUP(Tabel3[[#This Row],[P-nr]],'data Chauffeur'!A:F,5,FALSE)</f>
        <v>M15</v>
      </c>
      <c r="I154" s="8" t="str">
        <f>I153</f>
        <v>schadegevallen</v>
      </c>
      <c r="J154" s="8" t="s">
        <v>71</v>
      </c>
      <c r="K154" s="30" t="s">
        <v>52</v>
      </c>
      <c r="L154" s="37">
        <v>45931</v>
      </c>
      <c r="M154" s="30" t="s">
        <v>72</v>
      </c>
      <c r="O154" t="s">
        <v>73</v>
      </c>
      <c r="R154" s="2" t="s">
        <v>70</v>
      </c>
    </row>
    <row r="155" spans="1:18" x14ac:dyDescent="0.3">
      <c r="B155" s="48">
        <v>39715</v>
      </c>
      <c r="C155" s="30" t="str">
        <f>VLOOKUP(Tabel3[[#This Row],[P-nr]],'data Chauffeur'!A:F,2,FALSE)</f>
        <v>El Khayat</v>
      </c>
      <c r="D155" s="30" t="str">
        <f>VLOOKUP(Tabel3[[#This Row],[P-nr]],'data Chauffeur'!A:F,3,FALSE)</f>
        <v>Jamal</v>
      </c>
      <c r="E155" s="30" t="str">
        <f>CONCATENATE(Tabel3[[#This Row],[P-nr]]," ",Tabel3[[#This Row],[Naam]]," ",Tabel3[[#This Row],[Voornaam]])</f>
        <v>39715 El Khayat Jamal</v>
      </c>
      <c r="F155" s="30" t="str">
        <f>VLOOKUP(Tabel3[[#This Row],[P-nr]],'data Chauffeur'!A:F,6)</f>
        <v>Gent stad</v>
      </c>
      <c r="G155" s="30" t="str">
        <f>VLOOKUP(Tabel3[[#This Row],[P-nr]],'data Chauffeur'!A:F,4,FALSE)</f>
        <v>Kenneth De Rick</v>
      </c>
      <c r="H155" t="str">
        <f>VLOOKUP(Tabel3[[#This Row],[P-nr]],'data Chauffeur'!A:F,5,FALSE)</f>
        <v>RESF</v>
      </c>
      <c r="I155" s="8" t="s">
        <v>51</v>
      </c>
      <c r="J155" s="8" t="s">
        <v>71</v>
      </c>
      <c r="K155" s="30" t="s">
        <v>52</v>
      </c>
      <c r="L155" s="37">
        <v>45932</v>
      </c>
      <c r="O155" t="s">
        <v>68</v>
      </c>
      <c r="P155" t="s">
        <v>69</v>
      </c>
      <c r="R155" s="2" t="s">
        <v>70</v>
      </c>
    </row>
    <row r="156" spans="1:18" x14ac:dyDescent="0.3">
      <c r="B156" s="48">
        <v>23481</v>
      </c>
      <c r="C156" s="30" t="str">
        <f>VLOOKUP(Tabel3[[#This Row],[P-nr]],'data Chauffeur'!A:F,2,FALSE)</f>
        <v>Kerman</v>
      </c>
      <c r="D156" s="30" t="str">
        <f>VLOOKUP(Tabel3[[#This Row],[P-nr]],'data Chauffeur'!A:F,3,FALSE)</f>
        <v>Riza</v>
      </c>
      <c r="E156" s="30" t="str">
        <f>CONCATENATE(Tabel3[[#This Row],[P-nr]]," ",Tabel3[[#This Row],[Naam]]," ",Tabel3[[#This Row],[Voornaam]])</f>
        <v>23481 Kerman Riza</v>
      </c>
      <c r="F156" s="30" t="str">
        <f>VLOOKUP(Tabel3[[#This Row],[P-nr]],'data Chauffeur'!A:F,6)</f>
        <v>Gent stad</v>
      </c>
      <c r="G156" s="30" t="str">
        <f>VLOOKUP(Tabel3[[#This Row],[P-nr]],'data Chauffeur'!A:F,4,FALSE)</f>
        <v>Bart Van Der Beken</v>
      </c>
      <c r="H156" t="str">
        <f>VLOOKUP(Tabel3[[#This Row],[P-nr]],'data Chauffeur'!A:F,5,FALSE)</f>
        <v>G09</v>
      </c>
      <c r="I156" s="8" t="str">
        <f>I155</f>
        <v>spontane coaching</v>
      </c>
      <c r="J156" s="8" t="str">
        <f>J155</f>
        <v>bus</v>
      </c>
      <c r="K156" s="30" t="str">
        <f>K155</f>
        <v>20608 Joeri Mestdag</v>
      </c>
      <c r="L156" s="37">
        <v>45932</v>
      </c>
      <c r="M156" s="30" t="s">
        <v>72</v>
      </c>
      <c r="O156" t="s">
        <v>75</v>
      </c>
      <c r="P156" t="s">
        <v>69</v>
      </c>
      <c r="R156" s="2" t="s">
        <v>70</v>
      </c>
    </row>
    <row r="157" spans="1:18" x14ac:dyDescent="0.3">
      <c r="B157" s="48">
        <v>39985</v>
      </c>
      <c r="C157" s="30" t="str">
        <f>VLOOKUP(Tabel3[[#This Row],[P-nr]],'data Chauffeur'!A:F,2,FALSE)</f>
        <v>Mattan</v>
      </c>
      <c r="D157" s="30" t="str">
        <f>VLOOKUP(Tabel3[[#This Row],[P-nr]],'data Chauffeur'!A:F,3,FALSE)</f>
        <v>Maaren</v>
      </c>
      <c r="E157" s="30" t="str">
        <f>CONCATENATE(Tabel3[[#This Row],[P-nr]]," ",Tabel3[[#This Row],[Naam]]," ",Tabel3[[#This Row],[Voornaam]])</f>
        <v>39985 Mattan Maaren</v>
      </c>
      <c r="F157" s="30" t="str">
        <f>VLOOKUP(Tabel3[[#This Row],[P-nr]],'data Chauffeur'!A:F,6)</f>
        <v>Gent stad</v>
      </c>
      <c r="G157" s="30" t="str">
        <f>VLOOKUP(Tabel3[[#This Row],[P-nr]],'data Chauffeur'!A:F,4,FALSE)</f>
        <v>Christoff Rotty</v>
      </c>
      <c r="H157" t="str">
        <f>VLOOKUP(Tabel3[[#This Row],[P-nr]],'data Chauffeur'!A:F,5,FALSE)</f>
        <v>RESF</v>
      </c>
      <c r="I157" s="8" t="str">
        <f>I156</f>
        <v>spontane coaching</v>
      </c>
      <c r="J157" s="8" t="s">
        <v>66</v>
      </c>
      <c r="K157" s="30" t="s">
        <v>67</v>
      </c>
      <c r="L157" s="37">
        <v>45936</v>
      </c>
      <c r="O157" t="s">
        <v>68</v>
      </c>
      <c r="R157" s="2" t="s">
        <v>70</v>
      </c>
    </row>
    <row r="158" spans="1:18" x14ac:dyDescent="0.3">
      <c r="B158" s="48">
        <v>38634</v>
      </c>
      <c r="C158" s="30" t="str">
        <f>VLOOKUP(Tabel3[[#This Row],[P-nr]],'data Chauffeur'!A:F,2,FALSE)</f>
        <v>Asskale</v>
      </c>
      <c r="D158" s="30" t="str">
        <f>VLOOKUP(Tabel3[[#This Row],[P-nr]],'data Chauffeur'!A:F,3,FALSE)</f>
        <v>Zouhir</v>
      </c>
      <c r="E158" s="30" t="str">
        <f>CONCATENATE(Tabel3[[#This Row],[P-nr]]," ",Tabel3[[#This Row],[Naam]]," ",Tabel3[[#This Row],[Voornaam]])</f>
        <v>38634 Asskale Zouhir</v>
      </c>
      <c r="F158" s="30" t="str">
        <f>VLOOKUP(Tabel3[[#This Row],[P-nr]],'data Chauffeur'!A:F,6)</f>
        <v>Gent stad</v>
      </c>
      <c r="G158" s="30" t="str">
        <f>VLOOKUP(Tabel3[[#This Row],[P-nr]],'data Chauffeur'!A:F,4,FALSE)</f>
        <v>Bart Van Der Beken</v>
      </c>
      <c r="H158" t="str">
        <f>VLOOKUP(Tabel3[[#This Row],[P-nr]],'data Chauffeur'!A:F,5,FALSE)</f>
        <v>RESF</v>
      </c>
      <c r="I158" s="8" t="str">
        <f>I157</f>
        <v>spontane coaching</v>
      </c>
      <c r="J158" s="8" t="s">
        <v>66</v>
      </c>
      <c r="K158" s="30" t="s">
        <v>67</v>
      </c>
      <c r="L158" s="37">
        <v>45936</v>
      </c>
      <c r="O158" t="s">
        <v>75</v>
      </c>
      <c r="R158" s="2" t="s">
        <v>70</v>
      </c>
    </row>
    <row r="159" spans="1:18" x14ac:dyDescent="0.3">
      <c r="B159" s="48">
        <v>33551</v>
      </c>
      <c r="C159" s="30" t="str">
        <f>VLOOKUP(Tabel3[[#This Row],[P-nr]],'data Chauffeur'!A:F,2,FALSE)</f>
        <v>Dekens</v>
      </c>
      <c r="D159" s="30" t="str">
        <f>VLOOKUP(Tabel3[[#This Row],[P-nr]],'data Chauffeur'!A:F,3,FALSE)</f>
        <v>Andy</v>
      </c>
      <c r="E159" s="30" t="str">
        <f>CONCATENATE(Tabel3[[#This Row],[P-nr]]," ",Tabel3[[#This Row],[Naam]]," ",Tabel3[[#This Row],[Voornaam]])</f>
        <v>33551 Dekens Andy</v>
      </c>
      <c r="F159" s="30" t="str">
        <f>VLOOKUP(Tabel3[[#This Row],[P-nr]],'data Chauffeur'!A:F,6)</f>
        <v>Gent stad</v>
      </c>
      <c r="G159" s="30" t="str">
        <f>VLOOKUP(Tabel3[[#This Row],[P-nr]],'data Chauffeur'!A:F,4,FALSE)</f>
        <v>Els Vanhoe</v>
      </c>
      <c r="H159" t="str">
        <f>VLOOKUP(Tabel3[[#This Row],[P-nr]],'data Chauffeur'!A:F,5,FALSE)</f>
        <v>RESF</v>
      </c>
      <c r="I159" s="8" t="str">
        <f>I158</f>
        <v>spontane coaching</v>
      </c>
      <c r="J159" s="8" t="s">
        <v>66</v>
      </c>
      <c r="K159" s="30" t="s">
        <v>67</v>
      </c>
      <c r="L159" s="37">
        <v>45936</v>
      </c>
      <c r="O159" t="s">
        <v>68</v>
      </c>
      <c r="R159" s="2" t="s">
        <v>70</v>
      </c>
    </row>
    <row r="160" spans="1:18" x14ac:dyDescent="0.3">
      <c r="B160" s="48">
        <v>39014</v>
      </c>
      <c r="C160" s="30" t="str">
        <f>VLOOKUP(Tabel3[[#This Row],[P-nr]],'data Chauffeur'!A:F,2,FALSE)</f>
        <v>Genbrugge</v>
      </c>
      <c r="D160" s="30" t="str">
        <f>VLOOKUP(Tabel3[[#This Row],[P-nr]],'data Chauffeur'!A:F,3,FALSE)</f>
        <v>Kyllian</v>
      </c>
      <c r="E160" s="30" t="str">
        <f>CONCATENATE(Tabel3[[#This Row],[P-nr]]," ",Tabel3[[#This Row],[Naam]]," ",Tabel3[[#This Row],[Voornaam]])</f>
        <v>39014 Genbrugge Kyllian</v>
      </c>
      <c r="F160" s="30" t="str">
        <f>VLOOKUP(Tabel3[[#This Row],[P-nr]],'data Chauffeur'!A:F,6)</f>
        <v>Gent stad</v>
      </c>
      <c r="G160" s="30" t="str">
        <f>VLOOKUP(Tabel3[[#This Row],[P-nr]],'data Chauffeur'!A:F,4,FALSE)</f>
        <v>Bart Van Der Beken</v>
      </c>
      <c r="H160" t="str">
        <f>VLOOKUP(Tabel3[[#This Row],[P-nr]],'data Chauffeur'!A:F,5,FALSE)</f>
        <v>BR15</v>
      </c>
      <c r="I160" s="8" t="s">
        <v>33</v>
      </c>
      <c r="J160" s="8" t="s">
        <v>71</v>
      </c>
      <c r="K160" s="30" t="s">
        <v>77</v>
      </c>
      <c r="L160" s="37">
        <v>45936</v>
      </c>
      <c r="O160" t="s">
        <v>75</v>
      </c>
      <c r="R160" s="2" t="s">
        <v>70</v>
      </c>
    </row>
    <row r="161" spans="1:18" x14ac:dyDescent="0.3">
      <c r="B161" s="48">
        <v>14425</v>
      </c>
      <c r="C161" s="30" t="str">
        <f>VLOOKUP(Tabel3[[#This Row],[P-nr]],'data Chauffeur'!A:F,2,FALSE)</f>
        <v>Vandaele</v>
      </c>
      <c r="D161" s="30" t="str">
        <f>VLOOKUP(Tabel3[[#This Row],[P-nr]],'data Chauffeur'!A:F,3,FALSE)</f>
        <v>Thibaut</v>
      </c>
      <c r="E161" s="30" t="str">
        <f>CONCATENATE(Tabel3[[#This Row],[P-nr]]," ",Tabel3[[#This Row],[Naam]]," ",Tabel3[[#This Row],[Voornaam]])</f>
        <v>14425 Vandaele Thibaut</v>
      </c>
      <c r="F161" s="30" t="e">
        <f>VLOOKUP(Tabel3[[#This Row],[P-nr]],'data Chauffeur'!A:F,6)</f>
        <v>#N/A</v>
      </c>
      <c r="G161" s="30" t="str">
        <f>VLOOKUP(Tabel3[[#This Row],[P-nr]],'data Chauffeur'!A:F,4,FALSE)</f>
        <v>Bart Van Der Beken</v>
      </c>
      <c r="H161" t="str">
        <f>VLOOKUP(Tabel3[[#This Row],[P-nr]],'data Chauffeur'!A:F,5,FALSE)</f>
        <v>TR15</v>
      </c>
      <c r="I161" s="8" t="str">
        <f t="shared" ref="I161:K162" si="0">I160</f>
        <v>schadegevallen</v>
      </c>
      <c r="J161" s="8" t="str">
        <f t="shared" si="0"/>
        <v>bus</v>
      </c>
      <c r="K161" s="30" t="str">
        <f t="shared" si="0"/>
        <v>8538 Philippe Vandewalle</v>
      </c>
      <c r="L161" s="37">
        <v>45937</v>
      </c>
      <c r="M161" s="30" t="s">
        <v>91</v>
      </c>
      <c r="N161" t="s">
        <v>38</v>
      </c>
      <c r="O161" t="s">
        <v>73</v>
      </c>
      <c r="R161" s="2" t="s">
        <v>70</v>
      </c>
    </row>
    <row r="162" spans="1:18" x14ac:dyDescent="0.3">
      <c r="B162" s="48">
        <v>6092</v>
      </c>
      <c r="C162" s="30" t="str">
        <f>VLOOKUP(Tabel3[[#This Row],[P-nr]],'data Chauffeur'!A:F,2,FALSE)</f>
        <v>Boone</v>
      </c>
      <c r="D162" s="30" t="str">
        <f>VLOOKUP(Tabel3[[#This Row],[P-nr]],'data Chauffeur'!A:F,3,FALSE)</f>
        <v>Pascal</v>
      </c>
      <c r="E162" s="30" t="str">
        <f>CONCATENATE(Tabel3[[#This Row],[P-nr]]," ",Tabel3[[#This Row],[Naam]]," ",Tabel3[[#This Row],[Voornaam]])</f>
        <v>6092 Boone Pascal</v>
      </c>
      <c r="F162" s="30" t="e">
        <f>VLOOKUP(Tabel3[[#This Row],[P-nr]],'data Chauffeur'!A:F,6)</f>
        <v>#N/A</v>
      </c>
      <c r="G162" s="30" t="str">
        <f>VLOOKUP(Tabel3[[#This Row],[P-nr]],'data Chauffeur'!A:F,4,FALSE)</f>
        <v>Steven Storm</v>
      </c>
      <c r="H162" t="str">
        <f>VLOOKUP(Tabel3[[#This Row],[P-nr]],'data Chauffeur'!A:F,5,FALSE)</f>
        <v>TD12</v>
      </c>
      <c r="I162" s="8" t="str">
        <f t="shared" si="0"/>
        <v>schadegevallen</v>
      </c>
      <c r="J162" s="8" t="str">
        <f t="shared" si="0"/>
        <v>bus</v>
      </c>
      <c r="K162" s="30" t="str">
        <f t="shared" si="0"/>
        <v>8538 Philippe Vandewalle</v>
      </c>
      <c r="L162" s="37">
        <v>45937</v>
      </c>
      <c r="O162" t="s">
        <v>75</v>
      </c>
      <c r="R162" s="2" t="s">
        <v>70</v>
      </c>
    </row>
    <row r="163" spans="1:18" x14ac:dyDescent="0.3">
      <c r="B163" s="48">
        <v>36354</v>
      </c>
      <c r="C163" s="30" t="str">
        <f>VLOOKUP(Tabel3[[#This Row],[P-nr]],'data Chauffeur'!A:F,2,FALSE)</f>
        <v>El Aaddam</v>
      </c>
      <c r="D163" s="30" t="str">
        <f>VLOOKUP(Tabel3[[#This Row],[P-nr]],'data Chauffeur'!A:F,3,FALSE)</f>
        <v>Hodayfa</v>
      </c>
      <c r="E163" s="30" t="str">
        <f>CONCATENATE(Tabel3[[#This Row],[P-nr]]," ",Tabel3[[#This Row],[Naam]]," ",Tabel3[[#This Row],[Voornaam]])</f>
        <v>36354 El Aaddam Hodayfa</v>
      </c>
      <c r="F163" s="30" t="str">
        <f>VLOOKUP(Tabel3[[#This Row],[P-nr]],'data Chauffeur'!A:F,6)</f>
        <v>Gent stad</v>
      </c>
      <c r="G163" s="30" t="str">
        <f>VLOOKUP(Tabel3[[#This Row],[P-nr]],'data Chauffeur'!A:F,4,FALSE)</f>
        <v>Els Vanhoe</v>
      </c>
      <c r="H163" t="str">
        <f>VLOOKUP(Tabel3[[#This Row],[P-nr]],'data Chauffeur'!A:F,5,FALSE)</f>
        <v>RESF</v>
      </c>
      <c r="I163" s="8" t="s">
        <v>21</v>
      </c>
      <c r="J163" s="8" t="s">
        <v>71</v>
      </c>
      <c r="K163" s="30" t="s">
        <v>52</v>
      </c>
      <c r="L163" s="37">
        <v>45938</v>
      </c>
      <c r="M163" s="30" t="s">
        <v>96</v>
      </c>
      <c r="N163" t="s">
        <v>108</v>
      </c>
      <c r="O163" t="s">
        <v>73</v>
      </c>
      <c r="P163" t="s">
        <v>69</v>
      </c>
      <c r="R163" s="2" t="s">
        <v>70</v>
      </c>
    </row>
    <row r="164" spans="1:18" x14ac:dyDescent="0.3">
      <c r="B164" s="48">
        <v>39779</v>
      </c>
      <c r="C164" s="30" t="str">
        <f>VLOOKUP(Tabel3[[#This Row],[P-nr]],'data Chauffeur'!A:F,2,FALSE)</f>
        <v>Avci</v>
      </c>
      <c r="D164" s="30" t="str">
        <f>VLOOKUP(Tabel3[[#This Row],[P-nr]],'data Chauffeur'!A:F,3,FALSE)</f>
        <v>Muhammet Abdullah</v>
      </c>
      <c r="E164" s="30" t="str">
        <f>CONCATENATE(Tabel3[[#This Row],[P-nr]]," ",Tabel3[[#This Row],[Naam]]," ",Tabel3[[#This Row],[Voornaam]])</f>
        <v>39779 Avci Muhammet Abdullah</v>
      </c>
      <c r="F164" s="30" t="str">
        <f>VLOOKUP(Tabel3[[#This Row],[P-nr]],'data Chauffeur'!A:F,6)</f>
        <v>Gent stad</v>
      </c>
      <c r="G164" s="30" t="str">
        <f>VLOOKUP(Tabel3[[#This Row],[P-nr]],'data Chauffeur'!A:F,4,FALSE)</f>
        <v>Bart Van Der Beken</v>
      </c>
      <c r="H164" t="str">
        <f>VLOOKUP(Tabel3[[#This Row],[P-nr]],'data Chauffeur'!A:F,5,FALSE)</f>
        <v>RESF</v>
      </c>
      <c r="I164" s="8" t="s">
        <v>155</v>
      </c>
      <c r="J164" s="8" t="s">
        <v>71</v>
      </c>
      <c r="K164" s="30" t="s">
        <v>52</v>
      </c>
      <c r="L164" s="37">
        <v>45938</v>
      </c>
      <c r="M164" s="30" t="s">
        <v>91</v>
      </c>
      <c r="O164" t="s">
        <v>75</v>
      </c>
      <c r="P164" t="s">
        <v>69</v>
      </c>
      <c r="R164" s="2" t="s">
        <v>70</v>
      </c>
    </row>
    <row r="165" spans="1:18" x14ac:dyDescent="0.3">
      <c r="B165" s="48">
        <v>36635</v>
      </c>
      <c r="C165" s="30" t="str">
        <f>VLOOKUP(Tabel3[[#This Row],[P-nr]],'data Chauffeur'!A:F,2,FALSE)</f>
        <v>Fadel</v>
      </c>
      <c r="D165" s="30" t="str">
        <f>VLOOKUP(Tabel3[[#This Row],[P-nr]],'data Chauffeur'!A:F,3,FALSE)</f>
        <v>Husam</v>
      </c>
      <c r="E165" s="30" t="str">
        <f>CONCATENATE(Tabel3[[#This Row],[P-nr]]," ",Tabel3[[#This Row],[Naam]]," ",Tabel3[[#This Row],[Voornaam]])</f>
        <v>36635 Fadel Husam</v>
      </c>
      <c r="F165" s="30" t="str">
        <f>VLOOKUP(Tabel3[[#This Row],[P-nr]],'data Chauffeur'!A:F,6)</f>
        <v>Gent stad</v>
      </c>
      <c r="G165" s="30" t="str">
        <f>VLOOKUP(Tabel3[[#This Row],[P-nr]],'data Chauffeur'!A:F,4,FALSE)</f>
        <v>Kenneth De Rick</v>
      </c>
      <c r="H165" t="str">
        <f>VLOOKUP(Tabel3[[#This Row],[P-nr]],'data Chauffeur'!A:F,5,FALSE)</f>
        <v>RESF</v>
      </c>
      <c r="J165" s="8" t="s">
        <v>71</v>
      </c>
      <c r="K165" s="30" t="s">
        <v>94</v>
      </c>
      <c r="L165" s="37">
        <v>45938</v>
      </c>
      <c r="O165" t="s">
        <v>68</v>
      </c>
      <c r="P165" t="s">
        <v>69</v>
      </c>
      <c r="R165" s="2" t="s">
        <v>70</v>
      </c>
    </row>
    <row r="166" spans="1:18" x14ac:dyDescent="0.3">
      <c r="B166" s="48">
        <v>37222</v>
      </c>
      <c r="C166" s="30" t="str">
        <f>VLOOKUP(Tabel3[[#This Row],[P-nr]],'data Chauffeur'!A:F,2,FALSE)</f>
        <v>Blondeel</v>
      </c>
      <c r="D166" s="30" t="str">
        <f>VLOOKUP(Tabel3[[#This Row],[P-nr]],'data Chauffeur'!A:F,3,FALSE)</f>
        <v>Dominique</v>
      </c>
      <c r="E166" s="30" t="str">
        <f>CONCATENATE(Tabel3[[#This Row],[P-nr]]," ",Tabel3[[#This Row],[Naam]]," ",Tabel3[[#This Row],[Voornaam]])</f>
        <v>37222 Blondeel Dominique</v>
      </c>
      <c r="F166" s="30" t="str">
        <f>VLOOKUP(Tabel3[[#This Row],[P-nr]],'data Chauffeur'!A:F,6)</f>
        <v>Gent stad</v>
      </c>
      <c r="G166" s="30" t="str">
        <f>VLOOKUP(Tabel3[[#This Row],[P-nr]],'data Chauffeur'!A:F,4,FALSE)</f>
        <v>Lucie Vande Velde</v>
      </c>
      <c r="H166" t="str">
        <f>VLOOKUP(Tabel3[[#This Row],[P-nr]],'data Chauffeur'!A:F,5,FALSE)</f>
        <v>RESF</v>
      </c>
      <c r="J166" s="8" t="s">
        <v>71</v>
      </c>
      <c r="K166" s="30" t="s">
        <v>94</v>
      </c>
      <c r="L166" s="37">
        <v>45938</v>
      </c>
      <c r="O166" t="s">
        <v>68</v>
      </c>
      <c r="P166" t="s">
        <v>69</v>
      </c>
      <c r="R166" s="2" t="s">
        <v>70</v>
      </c>
    </row>
    <row r="167" spans="1:18" x14ac:dyDescent="0.3">
      <c r="B167" s="48">
        <v>35419</v>
      </c>
      <c r="C167" s="30" t="str">
        <f>VLOOKUP(Tabel3[[#This Row],[P-nr]],'data Chauffeur'!A:F,2,FALSE)</f>
        <v>Vermeir</v>
      </c>
      <c r="D167" s="30" t="str">
        <f>VLOOKUP(Tabel3[[#This Row],[P-nr]],'data Chauffeur'!A:F,3,FALSE)</f>
        <v>Davy</v>
      </c>
      <c r="E167" s="30" t="str">
        <f>CONCATENATE(Tabel3[[#This Row],[P-nr]]," ",Tabel3[[#This Row],[Naam]]," ",Tabel3[[#This Row],[Voornaam]])</f>
        <v>35419 Vermeir Davy</v>
      </c>
      <c r="F167" s="30" t="str">
        <f>VLOOKUP(Tabel3[[#This Row],[P-nr]],'data Chauffeur'!A:F,6)</f>
        <v>Gent stad</v>
      </c>
      <c r="G167" s="30" t="str">
        <f>VLOOKUP(Tabel3[[#This Row],[P-nr]],'data Chauffeur'!A:F,4,FALSE)</f>
        <v>Lucie Vande Velde</v>
      </c>
      <c r="H167" t="str">
        <f>VLOOKUP(Tabel3[[#This Row],[P-nr]],'data Chauffeur'!A:F,5,FALSE)</f>
        <v>GW10</v>
      </c>
      <c r="I167" s="8" t="s">
        <v>51</v>
      </c>
      <c r="J167" s="8" t="s">
        <v>71</v>
      </c>
      <c r="K167" s="30" t="s">
        <v>52</v>
      </c>
      <c r="L167" s="37">
        <v>45939</v>
      </c>
      <c r="M167" s="30" t="s">
        <v>105</v>
      </c>
      <c r="O167" t="s">
        <v>75</v>
      </c>
      <c r="R167" s="2" t="s">
        <v>70</v>
      </c>
    </row>
    <row r="168" spans="1:18" x14ac:dyDescent="0.3">
      <c r="B168" s="48">
        <v>41092</v>
      </c>
      <c r="C168" s="30" t="str">
        <f>VLOOKUP(Tabel3[[#This Row],[P-nr]],'data Chauffeur'!A:F,2,FALSE)</f>
        <v>De Keyser</v>
      </c>
      <c r="D168" s="30" t="str">
        <f>VLOOKUP(Tabel3[[#This Row],[P-nr]],'data Chauffeur'!A:F,3,FALSE)</f>
        <v>Dorien</v>
      </c>
      <c r="E168" s="30" t="str">
        <f>CONCATENATE(Tabel3[[#This Row],[P-nr]]," ",Tabel3[[#This Row],[Naam]]," ",Tabel3[[#This Row],[Voornaam]])</f>
        <v>41092 De Keyser Dorien</v>
      </c>
      <c r="F168" s="30" t="str">
        <f>VLOOKUP(Tabel3[[#This Row],[P-nr]],'data Chauffeur'!A:F,6)</f>
        <v>Gent stad</v>
      </c>
      <c r="G168" s="30" t="str">
        <f>VLOOKUP(Tabel3[[#This Row],[P-nr]],'data Chauffeur'!A:F,4,FALSE)</f>
        <v>Dominique De Clercq</v>
      </c>
      <c r="H168" t="str">
        <f>VLOOKUP(Tabel3[[#This Row],[P-nr]],'data Chauffeur'!A:F,5,FALSE)</f>
        <v>RESF</v>
      </c>
      <c r="I168" s="8" t="str">
        <f>I167</f>
        <v>spontane coaching</v>
      </c>
      <c r="J168" s="8" t="str">
        <f>J167</f>
        <v>bus</v>
      </c>
      <c r="K168" s="30" t="str">
        <f>K167</f>
        <v>20608 Joeri Mestdag</v>
      </c>
      <c r="L168" s="37">
        <v>45939</v>
      </c>
      <c r="M168" s="30" t="s">
        <v>105</v>
      </c>
      <c r="O168" t="s">
        <v>75</v>
      </c>
      <c r="R168" s="2" t="s">
        <v>70</v>
      </c>
    </row>
    <row r="169" spans="1:18" x14ac:dyDescent="0.3">
      <c r="B169" s="48">
        <v>41064</v>
      </c>
      <c r="C169" s="30" t="str">
        <f>VLOOKUP(Tabel3[[#This Row],[P-nr]],'data Chauffeur'!A:F,2,FALSE)</f>
        <v>Ardic</v>
      </c>
      <c r="D169" s="30" t="str">
        <f>VLOOKUP(Tabel3[[#This Row],[P-nr]],'data Chauffeur'!A:F,3,FALSE)</f>
        <v>Atilla</v>
      </c>
      <c r="E169" s="30" t="str">
        <f>CONCATENATE(Tabel3[[#This Row],[P-nr]]," ",Tabel3[[#This Row],[Naam]]," ",Tabel3[[#This Row],[Voornaam]])</f>
        <v>41064 Ardic Atilla</v>
      </c>
      <c r="F169" s="30" t="str">
        <f>VLOOKUP(Tabel3[[#This Row],[P-nr]],'data Chauffeur'!A:F,6)</f>
        <v>Gent stad</v>
      </c>
      <c r="G169" s="30" t="str">
        <f>VLOOKUP(Tabel3[[#This Row],[P-nr]],'data Chauffeur'!A:F,4,FALSE)</f>
        <v>Dominique De Clercq</v>
      </c>
      <c r="H169" t="str">
        <f>VLOOKUP(Tabel3[[#This Row],[P-nr]],'data Chauffeur'!A:F,5,FALSE)</f>
        <v>RESF</v>
      </c>
      <c r="I169" s="8" t="s">
        <v>33</v>
      </c>
      <c r="J169" s="8" t="s">
        <v>71</v>
      </c>
      <c r="K169" s="30" t="str">
        <f>K168</f>
        <v>20608 Joeri Mestdag</v>
      </c>
      <c r="L169" s="37">
        <v>45939</v>
      </c>
      <c r="M169" s="30" t="s">
        <v>72</v>
      </c>
      <c r="N169" t="s">
        <v>156</v>
      </c>
      <c r="O169" t="s">
        <v>79</v>
      </c>
      <c r="R169" s="2" t="s">
        <v>70</v>
      </c>
    </row>
    <row r="170" spans="1:18" x14ac:dyDescent="0.3">
      <c r="B170" s="48">
        <v>40859</v>
      </c>
      <c r="C170" s="30" t="str">
        <f>VLOOKUP(Tabel3[[#This Row],[P-nr]],'data Chauffeur'!A:F,2,FALSE)</f>
        <v>Yagoub</v>
      </c>
      <c r="D170" s="30" t="str">
        <f>VLOOKUP(Tabel3[[#This Row],[P-nr]],'data Chauffeur'!A:F,3,FALSE)</f>
        <v>Abdelali</v>
      </c>
      <c r="E170" s="30" t="str">
        <f>CONCATENATE(Tabel3[[#This Row],[P-nr]]," ",Tabel3[[#This Row],[Naam]]," ",Tabel3[[#This Row],[Voornaam]])</f>
        <v>40859 Yagoub Abdelali</v>
      </c>
      <c r="F170" s="30" t="str">
        <f>VLOOKUP(Tabel3[[#This Row],[P-nr]],'data Chauffeur'!A:F,6)</f>
        <v>Gent stad</v>
      </c>
      <c r="G170" s="30" t="str">
        <f>VLOOKUP(Tabel3[[#This Row],[P-nr]],'data Chauffeur'!A:F,4,FALSE)</f>
        <v>Els Vanhoe</v>
      </c>
      <c r="H170" t="str">
        <f>VLOOKUP(Tabel3[[#This Row],[P-nr]],'data Chauffeur'!A:F,5,FALSE)</f>
        <v>RESF</v>
      </c>
      <c r="I170" s="8" t="str">
        <f>I169</f>
        <v>schadegevallen</v>
      </c>
      <c r="J170" s="8" t="str">
        <f>J169</f>
        <v>bus</v>
      </c>
      <c r="K170" s="30" t="str">
        <f>K169</f>
        <v>20608 Joeri Mestdag</v>
      </c>
      <c r="L170" s="37">
        <f>L169</f>
        <v>45939</v>
      </c>
      <c r="M170" s="30" t="s">
        <v>72</v>
      </c>
      <c r="N170" t="s">
        <v>38</v>
      </c>
      <c r="O170" t="s">
        <v>73</v>
      </c>
      <c r="R170" s="2" t="s">
        <v>70</v>
      </c>
    </row>
    <row r="171" spans="1:18" x14ac:dyDescent="0.3">
      <c r="B171" s="48">
        <v>11508</v>
      </c>
      <c r="C171" s="30" t="str">
        <f>VLOOKUP(Tabel3[[#This Row],[P-nr]],'data Chauffeur'!A:F,2,FALSE)</f>
        <v>Beeckman</v>
      </c>
      <c r="D171" s="30" t="str">
        <f>VLOOKUP(Tabel3[[#This Row],[P-nr]],'data Chauffeur'!A:F,3,FALSE)</f>
        <v>Nico</v>
      </c>
      <c r="E171" s="30" t="str">
        <f>CONCATENATE(Tabel3[[#This Row],[P-nr]]," ",Tabel3[[#This Row],[Naam]]," ",Tabel3[[#This Row],[Voornaam]])</f>
        <v>11508 Beeckman Nico</v>
      </c>
      <c r="F171" s="30" t="e">
        <f>VLOOKUP(Tabel3[[#This Row],[P-nr]],'data Chauffeur'!A:F,6)</f>
        <v>#N/A</v>
      </c>
      <c r="G171" s="30" t="str">
        <f>VLOOKUP(Tabel3[[#This Row],[P-nr]],'data Chauffeur'!A:F,4,FALSE)</f>
        <v>Lucie Vande Velde</v>
      </c>
      <c r="H171" t="str">
        <f>VLOOKUP(Tabel3[[#This Row],[P-nr]],'data Chauffeur'!A:F,5,FALSE)</f>
        <v>SW05</v>
      </c>
      <c r="I171" s="8" t="s">
        <v>51</v>
      </c>
      <c r="J171" s="8" t="s">
        <v>71</v>
      </c>
      <c r="K171" s="30" t="s">
        <v>101</v>
      </c>
      <c r="L171" s="37">
        <v>45791</v>
      </c>
      <c r="O171" t="s">
        <v>68</v>
      </c>
      <c r="P171" t="s">
        <v>69</v>
      </c>
      <c r="R171" s="2" t="s">
        <v>70</v>
      </c>
    </row>
    <row r="172" spans="1:18" ht="15.6" x14ac:dyDescent="0.3">
      <c r="A172" s="23"/>
      <c r="B172" s="47">
        <v>41101</v>
      </c>
      <c r="C172" s="29" t="str">
        <f>VLOOKUP(Tabel3[[#This Row],[P-nr]],'data Chauffeur'!A:F,2,FALSE)</f>
        <v>Shah</v>
      </c>
      <c r="D172" s="29" t="str">
        <f>VLOOKUP(Tabel3[[#This Row],[P-nr]],'data Chauffeur'!A:F,3,FALSE)</f>
        <v>Sekandar</v>
      </c>
      <c r="E172" s="29" t="str">
        <f>CONCATENATE(Tabel3[[#This Row],[P-nr]]," ",Tabel3[[#This Row],[Naam]]," ",Tabel3[[#This Row],[Voornaam]])</f>
        <v>41101 Shah Sekandar</v>
      </c>
      <c r="F172" s="29" t="str">
        <f>VLOOKUP(Tabel3[[#This Row],[P-nr]],'data Chauffeur'!A:F,6)</f>
        <v>Gent stad</v>
      </c>
      <c r="G172" s="29" t="str">
        <f>VLOOKUP(Tabel3[[#This Row],[P-nr]],'data Chauffeur'!A:F,4,FALSE)</f>
        <v>Dominique De Clercq</v>
      </c>
      <c r="H172" s="23" t="str">
        <f>VLOOKUP(Tabel3[[#This Row],[P-nr]],'data Chauffeur'!A:F,5,FALSE)</f>
        <v>RESF</v>
      </c>
      <c r="I172" s="24" t="s">
        <v>34</v>
      </c>
      <c r="J172" s="25" t="s">
        <v>71</v>
      </c>
      <c r="K172" s="29" t="s">
        <v>52</v>
      </c>
      <c r="L172" s="38">
        <v>45749</v>
      </c>
      <c r="M172" s="29" t="s">
        <v>157</v>
      </c>
      <c r="N172" s="23"/>
      <c r="O172" s="23" t="s">
        <v>75</v>
      </c>
      <c r="P172" s="23" t="s">
        <v>69</v>
      </c>
      <c r="Q172" s="23"/>
      <c r="R172" s="2" t="s">
        <v>70</v>
      </c>
    </row>
    <row r="173" spans="1:18" ht="15.6" x14ac:dyDescent="0.3">
      <c r="A173" s="23"/>
      <c r="B173" s="47">
        <v>35709</v>
      </c>
      <c r="C173" s="29" t="str">
        <f>VLOOKUP(Tabel3[[#This Row],[P-nr]],'data Chauffeur'!A:F,2,FALSE)</f>
        <v>El Gasmi</v>
      </c>
      <c r="D173" s="29" t="str">
        <f>VLOOKUP(Tabel3[[#This Row],[P-nr]],'data Chauffeur'!A:F,3,FALSE)</f>
        <v>Sami</v>
      </c>
      <c r="E173" s="29" t="str">
        <f>CONCATENATE(Tabel3[[#This Row],[P-nr]]," ",Tabel3[[#This Row],[Naam]]," ",Tabel3[[#This Row],[Voornaam]])</f>
        <v>35709 El Gasmi Sami</v>
      </c>
      <c r="F173" s="29" t="str">
        <f>VLOOKUP(Tabel3[[#This Row],[P-nr]],'data Chauffeur'!A:F,6)</f>
        <v>Gent stad</v>
      </c>
      <c r="G173" s="29" t="str">
        <f>VLOOKUP(Tabel3[[#This Row],[P-nr]],'data Chauffeur'!A:F,4,FALSE)</f>
        <v>Els Vanhoe</v>
      </c>
      <c r="H173" s="23" t="str">
        <f>VLOOKUP(Tabel3[[#This Row],[P-nr]],'data Chauffeur'!A:F,5,FALSE)</f>
        <v>BN24</v>
      </c>
      <c r="I173" s="24"/>
      <c r="J173" s="25" t="s">
        <v>71</v>
      </c>
      <c r="K173" s="29" t="s">
        <v>94</v>
      </c>
      <c r="L173" s="38">
        <v>45737</v>
      </c>
      <c r="M173" s="29"/>
      <c r="N173" s="23"/>
      <c r="O173" s="23" t="s">
        <v>68</v>
      </c>
      <c r="P173" s="23" t="s">
        <v>69</v>
      </c>
      <c r="Q173" s="23"/>
      <c r="R173" s="2" t="s">
        <v>70</v>
      </c>
    </row>
    <row r="174" spans="1:18" ht="15.6" x14ac:dyDescent="0.3">
      <c r="A174" s="23"/>
      <c r="B174" s="47">
        <v>35379</v>
      </c>
      <c r="C174" s="29" t="str">
        <f>VLOOKUP(Tabel3[[#This Row],[P-nr]],'data Chauffeur'!A:F,2,FALSE)</f>
        <v>Engels</v>
      </c>
      <c r="D174" s="29" t="str">
        <f>VLOOKUP(Tabel3[[#This Row],[P-nr]],'data Chauffeur'!A:F,3,FALSE)</f>
        <v>Sam</v>
      </c>
      <c r="E174" s="29" t="str">
        <f>CONCATENATE(Tabel3[[#This Row],[P-nr]]," ",Tabel3[[#This Row],[Naam]]," ",Tabel3[[#This Row],[Voornaam]])</f>
        <v>35379 Engels Sam</v>
      </c>
      <c r="F174" s="29" t="str">
        <f>VLOOKUP(Tabel3[[#This Row],[P-nr]],'data Chauffeur'!A:F,6)</f>
        <v>Gent stad</v>
      </c>
      <c r="G174" s="29" t="str">
        <f>VLOOKUP(Tabel3[[#This Row],[P-nr]],'data Chauffeur'!A:F,4,FALSE)</f>
        <v>Els Vanhoe</v>
      </c>
      <c r="H174" s="23" t="str">
        <f>VLOOKUP(Tabel3[[#This Row],[P-nr]],'data Chauffeur'!A:F,5,FALSE)</f>
        <v>BR15</v>
      </c>
      <c r="I174" s="24"/>
      <c r="J174" s="25" t="s">
        <v>71</v>
      </c>
      <c r="K174" s="29" t="s">
        <v>94</v>
      </c>
      <c r="L174" s="38">
        <v>45736</v>
      </c>
      <c r="M174" s="29"/>
      <c r="N174" s="23"/>
      <c r="O174" s="23" t="s">
        <v>68</v>
      </c>
      <c r="P174" s="23"/>
      <c r="Q174" s="23"/>
      <c r="R174" s="2" t="s">
        <v>70</v>
      </c>
    </row>
    <row r="175" spans="1:18" ht="15.6" x14ac:dyDescent="0.3">
      <c r="A175" s="23"/>
      <c r="B175" s="47">
        <v>40223</v>
      </c>
      <c r="C175" s="29" t="e">
        <f>VLOOKUP(Tabel3[[#This Row],[P-nr]],'data Chauffeur'!A:F,2,FALSE)</f>
        <v>#N/A</v>
      </c>
      <c r="D175" s="29" t="e">
        <f>VLOOKUP(Tabel3[[#This Row],[P-nr]],'data Chauffeur'!A:F,3,FALSE)</f>
        <v>#N/A</v>
      </c>
      <c r="E175" s="29" t="e">
        <f>CONCATENATE(Tabel3[[#This Row],[P-nr]]," ",Tabel3[[#This Row],[Naam]]," ",Tabel3[[#This Row],[Voornaam]])</f>
        <v>#N/A</v>
      </c>
      <c r="F175" s="29" t="str">
        <f>VLOOKUP(Tabel3[[#This Row],[P-nr]],'data Chauffeur'!A:F,6)</f>
        <v>Gent stad</v>
      </c>
      <c r="G175" s="29" t="e">
        <f>VLOOKUP(Tabel3[[#This Row],[P-nr]],'data Chauffeur'!A:F,4,FALSE)</f>
        <v>#N/A</v>
      </c>
      <c r="H175" s="23" t="e">
        <f>VLOOKUP(Tabel3[[#This Row],[P-nr]],'data Chauffeur'!A:F,5,FALSE)</f>
        <v>#N/A</v>
      </c>
      <c r="I175" s="24"/>
      <c r="J175" s="25"/>
      <c r="K175" s="29"/>
      <c r="L175" s="38" t="s">
        <v>158</v>
      </c>
      <c r="M175" s="29"/>
      <c r="N175" s="23"/>
      <c r="O175" s="23" t="s">
        <v>75</v>
      </c>
      <c r="P175" s="23"/>
      <c r="Q175" s="23"/>
      <c r="R175" s="23"/>
    </row>
    <row r="176" spans="1:18" ht="15.6" x14ac:dyDescent="0.3">
      <c r="A176" s="23" t="s">
        <v>23</v>
      </c>
      <c r="B176" s="47">
        <v>39930</v>
      </c>
      <c r="C176" s="29" t="str">
        <f>VLOOKUP(Tabel3[[#This Row],[P-nr]],'data Chauffeur'!A:F,2,FALSE)</f>
        <v>Mirazai</v>
      </c>
      <c r="D176" s="29" t="str">
        <f>VLOOKUP(Tabel3[[#This Row],[P-nr]],'data Chauffeur'!A:F,3,FALSE)</f>
        <v>Rahmatullah</v>
      </c>
      <c r="E176" s="29" t="str">
        <f>CONCATENATE(Tabel3[[#This Row],[P-nr]]," ",Tabel3[[#This Row],[Naam]]," ",Tabel3[[#This Row],[Voornaam]])</f>
        <v>39930 Mirazai Rahmatullah</v>
      </c>
      <c r="F176" s="29" t="str">
        <f>VLOOKUP(Tabel3[[#This Row],[P-nr]],'data Chauffeur'!A:F,6)</f>
        <v>Gent stad</v>
      </c>
      <c r="G176" s="29" t="str">
        <f>VLOOKUP(Tabel3[[#This Row],[P-nr]],'data Chauffeur'!A:F,4,FALSE)</f>
        <v>Christoff Rotty</v>
      </c>
      <c r="H176" s="23" t="str">
        <f>VLOOKUP(Tabel3[[#This Row],[P-nr]],'data Chauffeur'!A:F,5,FALSE)</f>
        <v>RESF</v>
      </c>
      <c r="I176" s="24" t="s">
        <v>38</v>
      </c>
      <c r="J176" s="25" t="s">
        <v>71</v>
      </c>
      <c r="K176" s="29" t="s">
        <v>94</v>
      </c>
      <c r="L176" s="38">
        <v>45825</v>
      </c>
      <c r="M176" s="30" t="s">
        <v>105</v>
      </c>
      <c r="N176" s="23" t="s">
        <v>72</v>
      </c>
      <c r="O176" s="23" t="s">
        <v>98</v>
      </c>
      <c r="P176" s="23" t="s">
        <v>23</v>
      </c>
      <c r="Q176" s="23" t="s">
        <v>69</v>
      </c>
      <c r="R176" s="23" t="s">
        <v>70</v>
      </c>
    </row>
    <row r="177" spans="1:18" ht="15.6" x14ac:dyDescent="0.3">
      <c r="A177" s="23"/>
      <c r="B177" s="47">
        <v>38807</v>
      </c>
      <c r="C177" s="29" t="str">
        <f>VLOOKUP(Tabel3[[#This Row],[P-nr]],'data Chauffeur'!A:F,2,FALSE)</f>
        <v>Dossche</v>
      </c>
      <c r="D177" s="29" t="str">
        <f>VLOOKUP(Tabel3[[#This Row],[P-nr]],'data Chauffeur'!A:F,3,FALSE)</f>
        <v>Caroline</v>
      </c>
      <c r="E177" s="29" t="str">
        <f>CONCATENATE(Tabel3[[#This Row],[P-nr]]," ",Tabel3[[#This Row],[Naam]]," ",Tabel3[[#This Row],[Voornaam]])</f>
        <v>38807 Dossche Caroline</v>
      </c>
      <c r="F177" s="29" t="str">
        <f>VLOOKUP(Tabel3[[#This Row],[P-nr]],'data Chauffeur'!A:F,6)</f>
        <v>Gent stad</v>
      </c>
      <c r="G177" s="29" t="str">
        <f>VLOOKUP(Tabel3[[#This Row],[P-nr]],'data Chauffeur'!A:F,4,FALSE)</f>
        <v>Christoff Rotty</v>
      </c>
      <c r="H177" s="23" t="str">
        <f>VLOOKUP(Tabel3[[#This Row],[P-nr]],'data Chauffeur'!A:F,5,FALSE)</f>
        <v>RESF</v>
      </c>
      <c r="I177" s="24"/>
      <c r="J177" s="25" t="s">
        <v>71</v>
      </c>
      <c r="K177" s="29" t="s">
        <v>94</v>
      </c>
      <c r="L177" s="38">
        <v>45755</v>
      </c>
      <c r="M177" s="29"/>
      <c r="N177" s="23"/>
      <c r="O177" s="23" t="s">
        <v>68</v>
      </c>
      <c r="P177" s="23"/>
      <c r="Q177" s="23"/>
      <c r="R177" s="23" t="s">
        <v>70</v>
      </c>
    </row>
    <row r="178" spans="1:18" ht="15.6" x14ac:dyDescent="0.3">
      <c r="A178" s="23"/>
      <c r="B178" s="47">
        <v>25873</v>
      </c>
      <c r="C178" s="29" t="str">
        <f>VLOOKUP(Tabel3[[#This Row],[P-nr]],'data Chauffeur'!A:F,2,FALSE)</f>
        <v>Kazakbiyev</v>
      </c>
      <c r="D178" s="29" t="str">
        <f>VLOOKUP(Tabel3[[#This Row],[P-nr]],'data Chauffeur'!A:F,3,FALSE)</f>
        <v>Osman</v>
      </c>
      <c r="E178" s="29" t="str">
        <f>CONCATENATE(Tabel3[[#This Row],[P-nr]]," ",Tabel3[[#This Row],[Naam]]," ",Tabel3[[#This Row],[Voornaam]])</f>
        <v>25873 Kazakbiyev Osman</v>
      </c>
      <c r="F178" s="29" t="str">
        <f>VLOOKUP(Tabel3[[#This Row],[P-nr]],'data Chauffeur'!A:F,6)</f>
        <v>Gent stad</v>
      </c>
      <c r="G178" s="29" t="str">
        <f>VLOOKUP(Tabel3[[#This Row],[P-nr]],'data Chauffeur'!A:F,4,FALSE)</f>
        <v>Els Vanhoe</v>
      </c>
      <c r="H178" s="23" t="str">
        <f>VLOOKUP(Tabel3[[#This Row],[P-nr]],'data Chauffeur'!A:F,5,FALSE)</f>
        <v>BD12</v>
      </c>
      <c r="I178" s="24"/>
      <c r="J178" s="25" t="s">
        <v>71</v>
      </c>
      <c r="K178" s="29" t="s">
        <v>94</v>
      </c>
      <c r="L178" s="38">
        <v>45755</v>
      </c>
      <c r="M178" s="29"/>
      <c r="N178" s="23"/>
      <c r="O178" s="23" t="s">
        <v>75</v>
      </c>
      <c r="P178" s="23"/>
      <c r="Q178" s="23"/>
      <c r="R178" s="23" t="s">
        <v>70</v>
      </c>
    </row>
    <row r="179" spans="1:18" ht="15.6" x14ac:dyDescent="0.3">
      <c r="A179" s="23"/>
      <c r="B179" s="47">
        <v>41162</v>
      </c>
      <c r="C179" s="29" t="str">
        <f>VLOOKUP(Tabel3[[#This Row],[P-nr]],'data Chauffeur'!A:F,2,FALSE)</f>
        <v>Hoeckman</v>
      </c>
      <c r="D179" s="29" t="str">
        <f>VLOOKUP(Tabel3[[#This Row],[P-nr]],'data Chauffeur'!A:F,3,FALSE)</f>
        <v>Jeroen</v>
      </c>
      <c r="E179" s="29" t="str">
        <f>CONCATENATE(Tabel3[[#This Row],[P-nr]]," ",Tabel3[[#This Row],[Naam]]," ",Tabel3[[#This Row],[Voornaam]])</f>
        <v>41162 Hoeckman Jeroen</v>
      </c>
      <c r="F179" s="29" t="str">
        <f>VLOOKUP(Tabel3[[#This Row],[P-nr]],'data Chauffeur'!A:F,6)</f>
        <v>Gent stad</v>
      </c>
      <c r="G179" s="29" t="str">
        <f>VLOOKUP(Tabel3[[#This Row],[P-nr]],'data Chauffeur'!A:F,4,FALSE)</f>
        <v>Dominique De Clercq</v>
      </c>
      <c r="H179" s="23" t="str">
        <f>VLOOKUP(Tabel3[[#This Row],[P-nr]],'data Chauffeur'!A:F,5,FALSE)</f>
        <v>RESF</v>
      </c>
      <c r="I179" s="24" t="s">
        <v>46</v>
      </c>
      <c r="J179" s="25" t="s">
        <v>71</v>
      </c>
      <c r="K179" s="29"/>
      <c r="L179" s="38">
        <v>45968</v>
      </c>
      <c r="M179" s="29"/>
      <c r="N179" s="23"/>
      <c r="O179" s="23" t="s">
        <v>75</v>
      </c>
      <c r="P179" s="23"/>
      <c r="Q179" s="23"/>
      <c r="R179" s="23" t="s">
        <v>70</v>
      </c>
    </row>
    <row r="180" spans="1:18" ht="15.6" x14ac:dyDescent="0.3">
      <c r="A180" s="23"/>
      <c r="B180" s="47">
        <v>41092</v>
      </c>
      <c r="C180" s="29" t="str">
        <f>VLOOKUP(Tabel3[[#This Row],[P-nr]],'data Chauffeur'!A:F,2,FALSE)</f>
        <v>De Keyser</v>
      </c>
      <c r="D180" s="29" t="str">
        <f>VLOOKUP(Tabel3[[#This Row],[P-nr]],'data Chauffeur'!A:F,3,FALSE)</f>
        <v>Dorien</v>
      </c>
      <c r="E180" s="29" t="str">
        <f>CONCATENATE(Tabel3[[#This Row],[P-nr]]," ",Tabel3[[#This Row],[Naam]]," ",Tabel3[[#This Row],[Voornaam]])</f>
        <v>41092 De Keyser Dorien</v>
      </c>
      <c r="F180" s="29" t="str">
        <f>VLOOKUP(Tabel3[[#This Row],[P-nr]],'data Chauffeur'!A:F,6)</f>
        <v>Gent stad</v>
      </c>
      <c r="G180" s="29" t="str">
        <f>VLOOKUP(Tabel3[[#This Row],[P-nr]],'data Chauffeur'!A:F,4,FALSE)</f>
        <v>Dominique De Clercq</v>
      </c>
      <c r="H180" s="23" t="str">
        <f>VLOOKUP(Tabel3[[#This Row],[P-nr]],'data Chauffeur'!A:F,5,FALSE)</f>
        <v>RESF</v>
      </c>
      <c r="I180" s="24"/>
      <c r="J180" s="25" t="s">
        <v>71</v>
      </c>
      <c r="K180" s="29"/>
      <c r="L180" s="38">
        <v>45939</v>
      </c>
      <c r="M180" s="29"/>
      <c r="N180" s="23"/>
      <c r="O180" s="23" t="s">
        <v>75</v>
      </c>
      <c r="P180" s="23"/>
      <c r="Q180" s="23"/>
      <c r="R180" s="23" t="s">
        <v>70</v>
      </c>
    </row>
    <row r="181" spans="1:18" x14ac:dyDescent="0.3">
      <c r="B181" s="48">
        <v>38475</v>
      </c>
      <c r="C181" s="30" t="str">
        <f>VLOOKUP(Tabel3[[#This Row],[P-nr]],'data Chauffeur'!A:F,2,FALSE)</f>
        <v>Verschraegen</v>
      </c>
      <c r="D181" s="30" t="str">
        <f>VLOOKUP(Tabel3[[#This Row],[P-nr]],'data Chauffeur'!A:F,3,FALSE)</f>
        <v>Katleen</v>
      </c>
      <c r="E181" s="30" t="str">
        <f>CONCATENATE(Tabel3[[#This Row],[P-nr]]," ",Tabel3[[#This Row],[Naam]]," ",Tabel3[[#This Row],[Voornaam]])</f>
        <v>38475 Verschraegen Katleen</v>
      </c>
      <c r="F181" s="30" t="str">
        <f>VLOOKUP(Tabel3[[#This Row],[P-nr]],'data Chauffeur'!A:F,6)</f>
        <v>Gent stad</v>
      </c>
      <c r="G181" s="30" t="str">
        <f>VLOOKUP(Tabel3[[#This Row],[P-nr]],'data Chauffeur'!A:F,4,FALSE)</f>
        <v>Els Dewulf</v>
      </c>
      <c r="H181" t="str">
        <f>VLOOKUP(Tabel3[[#This Row],[P-nr]],'data Chauffeur'!A:F,5,FALSE)</f>
        <v>BR15</v>
      </c>
      <c r="I181" s="8" t="s">
        <v>27</v>
      </c>
      <c r="J181" s="8" t="s">
        <v>71</v>
      </c>
      <c r="K181" s="30" t="s">
        <v>101</v>
      </c>
      <c r="L181" s="37" t="s">
        <v>158</v>
      </c>
      <c r="O181" t="s">
        <v>68</v>
      </c>
      <c r="P181" t="s">
        <v>69</v>
      </c>
    </row>
    <row r="182" spans="1:18" ht="15.6" x14ac:dyDescent="0.3">
      <c r="B182" s="48">
        <v>40521</v>
      </c>
      <c r="C182" s="30" t="str">
        <f>VLOOKUP(Tabel3[[#This Row],[P-nr]],'data Chauffeur'!A:F,2,FALSE)</f>
        <v>Mekdad</v>
      </c>
      <c r="D182" s="30" t="str">
        <f>VLOOKUP(Tabel3[[#This Row],[P-nr]],'data Chauffeur'!A:F,3,FALSE)</f>
        <v>Ali</v>
      </c>
      <c r="E182" s="30" t="str">
        <f>CONCATENATE(Tabel3[[#This Row],[P-nr]]," ",Tabel3[[#This Row],[Naam]]," ",Tabel3[[#This Row],[Voornaam]])</f>
        <v>40521 Mekdad Ali</v>
      </c>
      <c r="F182" s="30" t="str">
        <f>VLOOKUP(Tabel3[[#This Row],[P-nr]],'data Chauffeur'!A:F,6)</f>
        <v>Gent stad</v>
      </c>
      <c r="G182" s="30" t="str">
        <f>VLOOKUP(Tabel3[[#This Row],[P-nr]],'data Chauffeur'!A:F,4,FALSE)</f>
        <v>Lucie Vande Velde</v>
      </c>
      <c r="H182" t="str">
        <f>VLOOKUP(Tabel3[[#This Row],[P-nr]],'data Chauffeur'!A:F,5,FALSE)</f>
        <v>RESF</v>
      </c>
      <c r="J182" s="8" t="s">
        <v>71</v>
      </c>
      <c r="K182" s="30" t="s">
        <v>77</v>
      </c>
      <c r="L182" s="37">
        <v>45789</v>
      </c>
      <c r="O182" t="s">
        <v>68</v>
      </c>
      <c r="P182" t="s">
        <v>69</v>
      </c>
      <c r="R182" s="23" t="s">
        <v>70</v>
      </c>
    </row>
    <row r="183" spans="1:18" ht="15.6" x14ac:dyDescent="0.3">
      <c r="B183" s="48">
        <v>41064</v>
      </c>
      <c r="C183" s="30" t="str">
        <f>VLOOKUP(Tabel3[[#This Row],[P-nr]],'data Chauffeur'!A:F,2,FALSE)</f>
        <v>Ardic</v>
      </c>
      <c r="D183" s="30" t="str">
        <f>VLOOKUP(Tabel3[[#This Row],[P-nr]],'data Chauffeur'!A:F,3,FALSE)</f>
        <v>Atilla</v>
      </c>
      <c r="E183" s="30" t="str">
        <f>CONCATENATE(Tabel3[[#This Row],[P-nr]]," ",Tabel3[[#This Row],[Naam]]," ",Tabel3[[#This Row],[Voornaam]])</f>
        <v>41064 Ardic Atilla</v>
      </c>
      <c r="F183" s="30" t="str">
        <f>VLOOKUP(Tabel3[[#This Row],[P-nr]],'data Chauffeur'!A:F,6)</f>
        <v>Gent stad</v>
      </c>
      <c r="G183" s="30" t="str">
        <f>VLOOKUP(Tabel3[[#This Row],[P-nr]],'data Chauffeur'!A:F,4,FALSE)</f>
        <v>Dominique De Clercq</v>
      </c>
      <c r="H183" t="str">
        <f>VLOOKUP(Tabel3[[#This Row],[P-nr]],'data Chauffeur'!A:F,5,FALSE)</f>
        <v>RESF</v>
      </c>
      <c r="I183" s="8" t="s">
        <v>51</v>
      </c>
      <c r="J183" s="8" t="s">
        <v>71</v>
      </c>
      <c r="K183" s="30" t="s">
        <v>101</v>
      </c>
      <c r="L183" s="37">
        <v>45901</v>
      </c>
      <c r="O183" t="s">
        <v>68</v>
      </c>
      <c r="P183" t="s">
        <v>69</v>
      </c>
      <c r="R183" s="23" t="s">
        <v>70</v>
      </c>
    </row>
    <row r="184" spans="1:18" ht="15.6" x14ac:dyDescent="0.3">
      <c r="B184" s="48">
        <v>36425</v>
      </c>
      <c r="C184" s="30" t="str">
        <f>VLOOKUP(Tabel3[[#This Row],[P-nr]],'data Chauffeur'!A:F,2,FALSE)</f>
        <v>Vandekerckhove</v>
      </c>
      <c r="D184" s="30" t="str">
        <f>VLOOKUP(Tabel3[[#This Row],[P-nr]],'data Chauffeur'!A:F,3,FALSE)</f>
        <v>Nico</v>
      </c>
      <c r="E184" s="30" t="str">
        <f>CONCATENATE(Tabel3[[#This Row],[P-nr]]," ",Tabel3[[#This Row],[Naam]]," ",Tabel3[[#This Row],[Voornaam]])</f>
        <v>36425 Vandekerckhove Nico</v>
      </c>
      <c r="F184" s="30" t="str">
        <f>VLOOKUP(Tabel3[[#This Row],[P-nr]],'data Chauffeur'!A:F,6)</f>
        <v>Gent stad</v>
      </c>
      <c r="G184" s="30" t="str">
        <f>VLOOKUP(Tabel3[[#This Row],[P-nr]],'data Chauffeur'!A:F,4,FALSE)</f>
        <v>Els Vanhoe</v>
      </c>
      <c r="H184" t="str">
        <f>VLOOKUP(Tabel3[[#This Row],[P-nr]],'data Chauffeur'!A:F,5,FALSE)</f>
        <v>B24</v>
      </c>
      <c r="I184" s="8" t="s">
        <v>51</v>
      </c>
      <c r="J184" s="8" t="s">
        <v>71</v>
      </c>
      <c r="K184" s="30" t="s">
        <v>101</v>
      </c>
      <c r="L184" s="37">
        <v>45789</v>
      </c>
      <c r="O184" t="s">
        <v>68</v>
      </c>
      <c r="P184" t="s">
        <v>69</v>
      </c>
      <c r="R184" s="23" t="s">
        <v>70</v>
      </c>
    </row>
    <row r="185" spans="1:18" ht="15.6" x14ac:dyDescent="0.3">
      <c r="B185" s="48">
        <v>34044</v>
      </c>
      <c r="C185" s="30" t="str">
        <f>VLOOKUP(Tabel3[[#This Row],[P-nr]],'data Chauffeur'!A:F,2,FALSE)</f>
        <v>Wieme</v>
      </c>
      <c r="D185" s="30" t="str">
        <f>VLOOKUP(Tabel3[[#This Row],[P-nr]],'data Chauffeur'!A:F,3,FALSE)</f>
        <v>Kevin</v>
      </c>
      <c r="E185" s="30" t="str">
        <f>CONCATENATE(Tabel3[[#This Row],[P-nr]]," ",Tabel3[[#This Row],[Naam]]," ",Tabel3[[#This Row],[Voornaam]])</f>
        <v>34044 Wieme Kevin</v>
      </c>
      <c r="F185" s="30" t="str">
        <f>VLOOKUP(Tabel3[[#This Row],[P-nr]],'data Chauffeur'!A:F,6)</f>
        <v>Gent stad</v>
      </c>
      <c r="G185" s="30" t="str">
        <f>VLOOKUP(Tabel3[[#This Row],[P-nr]],'data Chauffeur'!A:F,4,FALSE)</f>
        <v>Christoff Rotty</v>
      </c>
      <c r="H185" t="str">
        <f>VLOOKUP(Tabel3[[#This Row],[P-nr]],'data Chauffeur'!A:F,5,FALSE)</f>
        <v>S05</v>
      </c>
      <c r="I185" s="8" t="s">
        <v>51</v>
      </c>
      <c r="J185" s="8" t="s">
        <v>71</v>
      </c>
      <c r="K185" s="30" t="s">
        <v>67</v>
      </c>
      <c r="L185" s="37">
        <v>45786</v>
      </c>
      <c r="O185" t="s">
        <v>68</v>
      </c>
      <c r="P185" t="s">
        <v>69</v>
      </c>
      <c r="R185" s="23" t="s">
        <v>70</v>
      </c>
    </row>
    <row r="186" spans="1:18" ht="15.6" x14ac:dyDescent="0.3">
      <c r="B186" s="48">
        <v>26959</v>
      </c>
      <c r="C186" s="30" t="str">
        <f>VLOOKUP(Tabel3[[#This Row],[P-nr]],'data Chauffeur'!A:F,2,FALSE)</f>
        <v>Bohez</v>
      </c>
      <c r="D186" s="30" t="str">
        <f>VLOOKUP(Tabel3[[#This Row],[P-nr]],'data Chauffeur'!A:F,3,FALSE)</f>
        <v>Olivier</v>
      </c>
      <c r="E186" s="30" t="str">
        <f>CONCATENATE(Tabel3[[#This Row],[P-nr]]," ",Tabel3[[#This Row],[Naam]]," ",Tabel3[[#This Row],[Voornaam]])</f>
        <v>26959 Bohez Olivier</v>
      </c>
      <c r="F186" s="30" t="str">
        <f>VLOOKUP(Tabel3[[#This Row],[P-nr]],'data Chauffeur'!A:F,6)</f>
        <v>Gent stad</v>
      </c>
      <c r="G186" s="30" t="str">
        <f>VLOOKUP(Tabel3[[#This Row],[P-nr]],'data Chauffeur'!A:F,4,FALSE)</f>
        <v>Dominique De Clercq</v>
      </c>
      <c r="H186" t="str">
        <f>VLOOKUP(Tabel3[[#This Row],[P-nr]],'data Chauffeur'!A:F,5,FALSE)</f>
        <v>M15</v>
      </c>
      <c r="I186" s="8" t="s">
        <v>51</v>
      </c>
      <c r="J186" s="8" t="s">
        <v>66</v>
      </c>
      <c r="K186" s="30" t="s">
        <v>67</v>
      </c>
      <c r="L186" s="37">
        <v>45786</v>
      </c>
      <c r="O186" t="s">
        <v>68</v>
      </c>
      <c r="P186" t="s">
        <v>69</v>
      </c>
      <c r="R186" s="23" t="s">
        <v>70</v>
      </c>
    </row>
    <row r="187" spans="1:18" ht="15.6" x14ac:dyDescent="0.3">
      <c r="B187" s="48">
        <v>39529</v>
      </c>
      <c r="C187" s="30" t="str">
        <f>VLOOKUP(Tabel3[[#This Row],[P-nr]],'data Chauffeur'!A:F,2,FALSE)</f>
        <v>Desmet</v>
      </c>
      <c r="D187" s="30" t="str">
        <f>VLOOKUP(Tabel3[[#This Row],[P-nr]],'data Chauffeur'!A:F,3,FALSE)</f>
        <v>Patricia</v>
      </c>
      <c r="E187" s="30" t="str">
        <f>CONCATENATE(Tabel3[[#This Row],[P-nr]]," ",Tabel3[[#This Row],[Naam]]," ",Tabel3[[#This Row],[Voornaam]])</f>
        <v>39529 Desmet Patricia</v>
      </c>
      <c r="F187" s="30" t="str">
        <f>VLOOKUP(Tabel3[[#This Row],[P-nr]],'data Chauffeur'!A:F,6)</f>
        <v>Gent stad</v>
      </c>
      <c r="G187" s="30" t="str">
        <f>VLOOKUP(Tabel3[[#This Row],[P-nr]],'data Chauffeur'!A:F,4,FALSE)</f>
        <v>Christoff Rotty</v>
      </c>
      <c r="H187" t="str">
        <f>VLOOKUP(Tabel3[[#This Row],[P-nr]],'data Chauffeur'!A:F,5,FALSE)</f>
        <v>TO15</v>
      </c>
      <c r="I187" s="8" t="s">
        <v>51</v>
      </c>
      <c r="J187" s="8" t="s">
        <v>66</v>
      </c>
      <c r="K187" s="30" t="s">
        <v>67</v>
      </c>
      <c r="L187" s="37">
        <v>45786</v>
      </c>
      <c r="O187" t="s">
        <v>68</v>
      </c>
      <c r="P187" t="s">
        <v>69</v>
      </c>
      <c r="R187" s="23" t="s">
        <v>70</v>
      </c>
    </row>
    <row r="188" spans="1:18" ht="15.6" x14ac:dyDescent="0.3">
      <c r="B188" s="48">
        <v>40859</v>
      </c>
      <c r="C188" s="30" t="str">
        <f>VLOOKUP(Tabel3[[#This Row],[P-nr]],'data Chauffeur'!A:F,2,FALSE)</f>
        <v>Yagoub</v>
      </c>
      <c r="D188" s="30" t="str">
        <f>VLOOKUP(Tabel3[[#This Row],[P-nr]],'data Chauffeur'!A:F,3,FALSE)</f>
        <v>Abdelali</v>
      </c>
      <c r="E188" s="30" t="str">
        <f>CONCATENATE(Tabel3[[#This Row],[P-nr]]," ",Tabel3[[#This Row],[Naam]]," ",Tabel3[[#This Row],[Voornaam]])</f>
        <v>40859 Yagoub Abdelali</v>
      </c>
      <c r="F188" s="30" t="str">
        <f>VLOOKUP(Tabel3[[#This Row],[P-nr]],'data Chauffeur'!A:F,6)</f>
        <v>Gent stad</v>
      </c>
      <c r="G188" s="30" t="str">
        <f>VLOOKUP(Tabel3[[#This Row],[P-nr]],'data Chauffeur'!A:F,4,FALSE)</f>
        <v>Els Vanhoe</v>
      </c>
      <c r="H188" t="str">
        <f>VLOOKUP(Tabel3[[#This Row],[P-nr]],'data Chauffeur'!A:F,5,FALSE)</f>
        <v>RESF</v>
      </c>
      <c r="J188" s="8" t="s">
        <v>71</v>
      </c>
      <c r="K188" s="30" t="s">
        <v>94</v>
      </c>
      <c r="L188" s="37">
        <v>45804</v>
      </c>
      <c r="O188" t="s">
        <v>75</v>
      </c>
      <c r="P188" t="s">
        <v>69</v>
      </c>
      <c r="R188" s="23" t="s">
        <v>70</v>
      </c>
    </row>
    <row r="189" spans="1:18" ht="15.6" x14ac:dyDescent="0.3">
      <c r="B189" s="48">
        <v>17555</v>
      </c>
      <c r="C189" s="30" t="str">
        <f>VLOOKUP(Tabel3[[#This Row],[P-nr]],'data Chauffeur'!A:F,2,FALSE)</f>
        <v>DeBisschop</v>
      </c>
      <c r="D189" s="30" t="str">
        <f>VLOOKUP(Tabel3[[#This Row],[P-nr]],'data Chauffeur'!A:F,3,FALSE)</f>
        <v>Wendy</v>
      </c>
      <c r="E189" s="30" t="str">
        <f>CONCATENATE(Tabel3[[#This Row],[P-nr]]," ",Tabel3[[#This Row],[Naam]]," ",Tabel3[[#This Row],[Voornaam]])</f>
        <v>17555 DeBisschop Wendy</v>
      </c>
      <c r="F189" s="30" t="e">
        <f>VLOOKUP(Tabel3[[#This Row],[P-nr]],'data Chauffeur'!A:F,6)</f>
        <v>#N/A</v>
      </c>
      <c r="G189" s="30" t="str">
        <f>VLOOKUP(Tabel3[[#This Row],[P-nr]],'data Chauffeur'!A:F,4,FALSE)</f>
        <v>Bart Van Der Beken</v>
      </c>
      <c r="H189" t="str">
        <f>VLOOKUP(Tabel3[[#This Row],[P-nr]],'data Chauffeur'!A:F,5,FALSE)</f>
        <v>G09</v>
      </c>
      <c r="J189" s="8" t="s">
        <v>71</v>
      </c>
      <c r="K189" s="30" t="s">
        <v>89</v>
      </c>
      <c r="L189" s="37">
        <v>45946</v>
      </c>
      <c r="O189" t="s">
        <v>68</v>
      </c>
      <c r="R189" s="23" t="s">
        <v>70</v>
      </c>
    </row>
    <row r="190" spans="1:18" ht="15.6" x14ac:dyDescent="0.3">
      <c r="B190" s="48">
        <v>40055</v>
      </c>
      <c r="C190" s="30" t="str">
        <f>VLOOKUP(Tabel3[[#This Row],[P-nr]],'data Chauffeur'!A:F,2,FALSE)</f>
        <v>Afara</v>
      </c>
      <c r="D190" s="30" t="str">
        <f>VLOOKUP(Tabel3[[#This Row],[P-nr]],'data Chauffeur'!A:F,3,FALSE)</f>
        <v>Ammar</v>
      </c>
      <c r="E190" s="30" t="str">
        <f>CONCATENATE(Tabel3[[#This Row],[P-nr]]," ",Tabel3[[#This Row],[Naam]]," ",Tabel3[[#This Row],[Voornaam]])</f>
        <v>40055 Afara Ammar</v>
      </c>
      <c r="F190" s="30" t="str">
        <f>VLOOKUP(Tabel3[[#This Row],[P-nr]],'data Chauffeur'!A:F,6)</f>
        <v>Gent stad</v>
      </c>
      <c r="G190" s="30" t="str">
        <f>VLOOKUP(Tabel3[[#This Row],[P-nr]],'data Chauffeur'!A:F,4,FALSE)</f>
        <v>Els Vanhoe</v>
      </c>
      <c r="H190" t="str">
        <f>VLOOKUP(Tabel3[[#This Row],[P-nr]],'data Chauffeur'!A:F,5,FALSE)</f>
        <v>RESF</v>
      </c>
      <c r="J190" s="8" t="s">
        <v>71</v>
      </c>
      <c r="K190" s="30" t="s">
        <v>89</v>
      </c>
      <c r="L190" s="37">
        <v>45798</v>
      </c>
      <c r="M190" s="30" t="s">
        <v>72</v>
      </c>
      <c r="N190" t="s">
        <v>38</v>
      </c>
      <c r="O190" t="s">
        <v>75</v>
      </c>
      <c r="R190" s="23" t="s">
        <v>70</v>
      </c>
    </row>
    <row r="191" spans="1:18" x14ac:dyDescent="0.3">
      <c r="B191" s="48">
        <v>41870</v>
      </c>
      <c r="C191" s="30" t="str">
        <f>VLOOKUP(Tabel3[[#This Row],[P-nr]],'data Chauffeur'!A:F,2,FALSE)</f>
        <v>Goossens</v>
      </c>
      <c r="D191" s="30" t="str">
        <f>VLOOKUP(Tabel3[[#This Row],[P-nr]],'data Chauffeur'!A:F,3,FALSE)</f>
        <v>Yannick</v>
      </c>
      <c r="E191" s="30" t="str">
        <f>CONCATENATE(Tabel3[[#This Row],[P-nr]]," ",Tabel3[[#This Row],[Naam]]," ",Tabel3[[#This Row],[Voornaam]])</f>
        <v>41870 Goossens Yannick</v>
      </c>
      <c r="F191" s="30" t="str">
        <f>VLOOKUP(Tabel3[[#This Row],[P-nr]],'data Chauffeur'!A:F,6)</f>
        <v>Gent stad</v>
      </c>
      <c r="G191" s="30" t="str">
        <f>VLOOKUP(Tabel3[[#This Row],[P-nr]],'data Chauffeur'!A:F,4,FALSE)</f>
        <v>Steven Storm</v>
      </c>
      <c r="H191" t="str">
        <f>VLOOKUP(Tabel3[[#This Row],[P-nr]],'data Chauffeur'!A:F,5,FALSE)</f>
        <v>RESF</v>
      </c>
      <c r="J191" s="8" t="s">
        <v>71</v>
      </c>
      <c r="K191" s="30" t="s">
        <v>89</v>
      </c>
      <c r="L191" s="37" t="s">
        <v>159</v>
      </c>
      <c r="M191" s="30" t="s">
        <v>72</v>
      </c>
      <c r="N191" t="s">
        <v>160</v>
      </c>
      <c r="O191" t="s">
        <v>73</v>
      </c>
    </row>
    <row r="192" spans="1:18" ht="15.6" x14ac:dyDescent="0.3">
      <c r="B192" s="48">
        <v>10326</v>
      </c>
      <c r="C192" s="30" t="str">
        <f>VLOOKUP(Tabel3[[#This Row],[P-nr]],'data Chauffeur'!A:F,2,FALSE)</f>
        <v>Lefebvre</v>
      </c>
      <c r="D192" s="30" t="str">
        <f>VLOOKUP(Tabel3[[#This Row],[P-nr]],'data Chauffeur'!A:F,3,FALSE)</f>
        <v>Olivier</v>
      </c>
      <c r="E192" s="30" t="str">
        <f>CONCATENATE(Tabel3[[#This Row],[P-nr]]," ",Tabel3[[#This Row],[Naam]]," ",Tabel3[[#This Row],[Voornaam]])</f>
        <v>10326 Lefebvre Olivier</v>
      </c>
      <c r="F192" s="30" t="e">
        <f>VLOOKUP(Tabel3[[#This Row],[P-nr]],'data Chauffeur'!A:F,6)</f>
        <v>#N/A</v>
      </c>
      <c r="G192" s="30" t="str">
        <f>VLOOKUP(Tabel3[[#This Row],[P-nr]],'data Chauffeur'!A:F,4,FALSE)</f>
        <v>Bart Van Der Beken</v>
      </c>
      <c r="H192" t="str">
        <f>VLOOKUP(Tabel3[[#This Row],[P-nr]],'data Chauffeur'!A:F,5,FALSE)</f>
        <v>GW09</v>
      </c>
      <c r="J192" s="8" t="s">
        <v>71</v>
      </c>
      <c r="K192" s="30" t="s">
        <v>89</v>
      </c>
      <c r="L192" s="37">
        <v>45946</v>
      </c>
      <c r="N192" t="s">
        <v>38</v>
      </c>
      <c r="O192" t="s">
        <v>75</v>
      </c>
      <c r="R192" s="23" t="s">
        <v>70</v>
      </c>
    </row>
    <row r="193" spans="2:18" ht="15.6" x14ac:dyDescent="0.3">
      <c r="B193" s="48">
        <v>41882</v>
      </c>
      <c r="C193" s="30" t="str">
        <f>VLOOKUP(Tabel3[[#This Row],[P-nr]],'data Chauffeur'!A:F,2,FALSE)</f>
        <v>Van der Bauwhede</v>
      </c>
      <c r="D193" s="30" t="str">
        <f>VLOOKUP(Tabel3[[#This Row],[P-nr]],'data Chauffeur'!A:F,3,FALSE)</f>
        <v>Ben</v>
      </c>
      <c r="E193" s="30" t="str">
        <f>CONCATENATE(Tabel3[[#This Row],[P-nr]]," ",Tabel3[[#This Row],[Naam]]," ",Tabel3[[#This Row],[Voornaam]])</f>
        <v>41882 Van der Bauwhede Ben</v>
      </c>
      <c r="F193" s="30" t="str">
        <f>VLOOKUP(Tabel3[[#This Row],[P-nr]],'data Chauffeur'!A:F,6)</f>
        <v>Gent stad</v>
      </c>
      <c r="G193" s="30" t="str">
        <f>VLOOKUP(Tabel3[[#This Row],[P-nr]],'data Chauffeur'!A:F,4,FALSE)</f>
        <v>Els Vanhoe</v>
      </c>
      <c r="H193" t="str">
        <f>VLOOKUP(Tabel3[[#This Row],[P-nr]],'data Chauffeur'!A:F,5,FALSE)</f>
        <v>RESF</v>
      </c>
      <c r="J193" s="8" t="s">
        <v>71</v>
      </c>
      <c r="K193" s="30" t="s">
        <v>135</v>
      </c>
      <c r="L193" s="37">
        <v>45945</v>
      </c>
      <c r="O193" t="s">
        <v>75</v>
      </c>
      <c r="R193" s="23" t="s">
        <v>70</v>
      </c>
    </row>
    <row r="194" spans="2:18" ht="15.6" x14ac:dyDescent="0.3">
      <c r="B194" s="48">
        <v>40110</v>
      </c>
      <c r="C194" s="30" t="str">
        <f>VLOOKUP(Tabel3[[#This Row],[P-nr]],'data Chauffeur'!A:F,2,FALSE)</f>
        <v>Vanlerberghe</v>
      </c>
      <c r="D194" s="30" t="str">
        <f>VLOOKUP(Tabel3[[#This Row],[P-nr]],'data Chauffeur'!A:F,3,FALSE)</f>
        <v>Sandra</v>
      </c>
      <c r="E194" s="30" t="str">
        <f>CONCATENATE(Tabel3[[#This Row],[P-nr]]," ",Tabel3[[#This Row],[Naam]]," ",Tabel3[[#This Row],[Voornaam]])</f>
        <v>40110 Vanlerberghe Sandra</v>
      </c>
      <c r="F194" s="30" t="str">
        <f>VLOOKUP(Tabel3[[#This Row],[P-nr]],'data Chauffeur'!A:F,6)</f>
        <v>Gent stad</v>
      </c>
      <c r="G194" s="30" t="str">
        <f>VLOOKUP(Tabel3[[#This Row],[P-nr]],'data Chauffeur'!A:F,4,FALSE)</f>
        <v>Christoff Rotty</v>
      </c>
      <c r="H194" t="str">
        <f>VLOOKUP(Tabel3[[#This Row],[P-nr]],'data Chauffeur'!A:F,5,FALSE)</f>
        <v>RESF</v>
      </c>
      <c r="I194" s="8" t="s">
        <v>33</v>
      </c>
      <c r="J194" s="8" t="s">
        <v>71</v>
      </c>
      <c r="K194" s="30" t="s">
        <v>135</v>
      </c>
      <c r="L194" s="37">
        <v>45945</v>
      </c>
      <c r="O194" t="s">
        <v>75</v>
      </c>
      <c r="R194" s="23" t="s">
        <v>70</v>
      </c>
    </row>
    <row r="195" spans="2:18" ht="15.6" x14ac:dyDescent="0.3">
      <c r="B195" s="48">
        <v>42002</v>
      </c>
      <c r="C195" s="30" t="str">
        <f>VLOOKUP(Tabel3[[#This Row],[P-nr]],'data Chauffeur'!A:F,2,FALSE)</f>
        <v>Bogaert</v>
      </c>
      <c r="D195" s="30" t="str">
        <f>VLOOKUP(Tabel3[[#This Row],[P-nr]],'data Chauffeur'!A:F,3,FALSE)</f>
        <v>Kevin</v>
      </c>
      <c r="E195" s="30" t="str">
        <f>CONCATENATE(Tabel3[[#This Row],[P-nr]]," ",Tabel3[[#This Row],[Naam]]," ",Tabel3[[#This Row],[Voornaam]])</f>
        <v>42002 Bogaert Kevin</v>
      </c>
      <c r="F195" s="30" t="str">
        <f>VLOOKUP(Tabel3[[#This Row],[P-nr]],'data Chauffeur'!A:F,6)</f>
        <v>Gent stad</v>
      </c>
      <c r="G195" s="30" t="str">
        <f>VLOOKUP(Tabel3[[#This Row],[P-nr]],'data Chauffeur'!A:F,4,FALSE)</f>
        <v>Els Vanhoe</v>
      </c>
      <c r="H195" t="str">
        <f>VLOOKUP(Tabel3[[#This Row],[P-nr]],'data Chauffeur'!A:F,5,FALSE)</f>
        <v>RESF</v>
      </c>
      <c r="I195" s="8" t="s">
        <v>33</v>
      </c>
      <c r="J195" s="8" t="s">
        <v>71</v>
      </c>
      <c r="K195" s="30" t="s">
        <v>135</v>
      </c>
      <c r="L195" s="37">
        <v>45945</v>
      </c>
      <c r="M195" s="30" t="s">
        <v>96</v>
      </c>
      <c r="O195" t="s">
        <v>73</v>
      </c>
      <c r="R195" s="23" t="s">
        <v>70</v>
      </c>
    </row>
    <row r="196" spans="2:18" ht="15.6" x14ac:dyDescent="0.3">
      <c r="B196" s="48">
        <v>33085</v>
      </c>
      <c r="C196" s="30" t="str">
        <f>VLOOKUP(Tabel3[[#This Row],[P-nr]],'data Chauffeur'!A:F,2,FALSE)</f>
        <v>Van Hoe</v>
      </c>
      <c r="D196" s="30" t="str">
        <f>VLOOKUP(Tabel3[[#This Row],[P-nr]],'data Chauffeur'!A:F,3,FALSE)</f>
        <v>Ivo</v>
      </c>
      <c r="E196" s="30" t="str">
        <f>CONCATENATE(Tabel3[[#This Row],[P-nr]]," ",Tabel3[[#This Row],[Naam]]," ",Tabel3[[#This Row],[Voornaam]])</f>
        <v>33085 Van Hoe Ivo</v>
      </c>
      <c r="F196" s="30" t="str">
        <f>VLOOKUP(Tabel3[[#This Row],[P-nr]],'data Chauffeur'!A:F,6)</f>
        <v>Gent stad</v>
      </c>
      <c r="G196" s="30" t="str">
        <f>VLOOKUP(Tabel3[[#This Row],[P-nr]],'data Chauffeur'!A:F,4,FALSE)</f>
        <v>Kenneth De Rick</v>
      </c>
      <c r="H196" t="str">
        <f>VLOOKUP(Tabel3[[#This Row],[P-nr]],'data Chauffeur'!A:F,5,FALSE)</f>
        <v>RESF</v>
      </c>
      <c r="I196" s="8" t="s">
        <v>33</v>
      </c>
      <c r="J196" s="8" t="s">
        <v>71</v>
      </c>
      <c r="K196" s="30" t="s">
        <v>77</v>
      </c>
      <c r="L196" s="37">
        <v>45950</v>
      </c>
      <c r="M196" s="30" t="s">
        <v>72</v>
      </c>
      <c r="O196" t="s">
        <v>75</v>
      </c>
      <c r="R196" s="23" t="s">
        <v>70</v>
      </c>
    </row>
    <row r="197" spans="2:18" ht="15.6" x14ac:dyDescent="0.3">
      <c r="B197" s="48">
        <v>41942</v>
      </c>
      <c r="C197" s="30" t="e">
        <f>VLOOKUP(Tabel3[[#This Row],[P-nr]],'data Chauffeur'!A:F,2,FALSE)</f>
        <v>#N/A</v>
      </c>
      <c r="D197" s="30" t="e">
        <f>VLOOKUP(Tabel3[[#This Row],[P-nr]],'data Chauffeur'!A:F,3,FALSE)</f>
        <v>#N/A</v>
      </c>
      <c r="E197" s="30" t="e">
        <f>CONCATENATE(Tabel3[[#This Row],[P-nr]]," ",Tabel3[[#This Row],[Naam]]," ",Tabel3[[#This Row],[Voornaam]])</f>
        <v>#N/A</v>
      </c>
      <c r="F197" s="30" t="str">
        <f>VLOOKUP(Tabel3[[#This Row],[P-nr]],'data Chauffeur'!A:F,6)</f>
        <v>Gent stad</v>
      </c>
      <c r="G197" s="30" t="e">
        <f>VLOOKUP(Tabel3[[#This Row],[P-nr]],'data Chauffeur'!A:F,4,FALSE)</f>
        <v>#N/A</v>
      </c>
      <c r="H197" t="e">
        <f>VLOOKUP(Tabel3[[#This Row],[P-nr]],'data Chauffeur'!A:F,5,FALSE)</f>
        <v>#N/A</v>
      </c>
      <c r="K197" s="8" t="s">
        <v>135</v>
      </c>
      <c r="L197" s="37">
        <v>45951</v>
      </c>
      <c r="M197" t="s">
        <v>103</v>
      </c>
      <c r="O197" t="s">
        <v>161</v>
      </c>
      <c r="P197" t="s">
        <v>69</v>
      </c>
      <c r="R197" s="23" t="s">
        <v>70</v>
      </c>
    </row>
    <row r="198" spans="2:18" ht="15.6" x14ac:dyDescent="0.3">
      <c r="B198" s="48">
        <v>42269</v>
      </c>
      <c r="C198" s="30" t="str">
        <f>VLOOKUP(Tabel3[[#This Row],[P-nr]],'data Chauffeur'!A:F,2,FALSE)</f>
        <v>Ahmed</v>
      </c>
      <c r="D198" s="30" t="str">
        <f>VLOOKUP(Tabel3[[#This Row],[P-nr]],'data Chauffeur'!A:F,3,FALSE)</f>
        <v>Abdul</v>
      </c>
      <c r="E198" s="30" t="str">
        <f>CONCATENATE(Tabel3[[#This Row],[P-nr]]," ",Tabel3[[#This Row],[Naam]]," ",Tabel3[[#This Row],[Voornaam]])</f>
        <v>42269 Ahmed Abdul</v>
      </c>
      <c r="F198" s="30" t="str">
        <f>VLOOKUP(Tabel3[[#This Row],[P-nr]],'data Chauffeur'!A:F,6)</f>
        <v>Gent stad</v>
      </c>
      <c r="G198" s="30" t="str">
        <f>VLOOKUP(Tabel3[[#This Row],[P-nr]],'data Chauffeur'!A:F,4,FALSE)</f>
        <v>Christoff Rotty</v>
      </c>
      <c r="H198" t="str">
        <f>VLOOKUP(Tabel3[[#This Row],[P-nr]],'data Chauffeur'!A:F,5,FALSE)</f>
        <v>RESF2</v>
      </c>
      <c r="K198" s="8" t="s">
        <v>135</v>
      </c>
      <c r="L198" s="37">
        <v>45951</v>
      </c>
      <c r="M198" t="s">
        <v>162</v>
      </c>
      <c r="N198" t="s">
        <v>163</v>
      </c>
      <c r="O198" t="s">
        <v>140</v>
      </c>
      <c r="P198" t="s">
        <v>69</v>
      </c>
      <c r="R198" s="23" t="s">
        <v>70</v>
      </c>
    </row>
    <row r="199" spans="2:18" ht="15.6" x14ac:dyDescent="0.3">
      <c r="B199" s="48">
        <v>42393</v>
      </c>
      <c r="C199" s="30" t="str">
        <f>VLOOKUP(Tabel3[[#This Row],[P-nr]],'data Chauffeur'!A:F,2,FALSE)</f>
        <v>AL-Haddad</v>
      </c>
      <c r="D199" s="30" t="str">
        <f>VLOOKUP(Tabel3[[#This Row],[P-nr]],'data Chauffeur'!A:F,3,FALSE)</f>
        <v>Rashid</v>
      </c>
      <c r="E199" s="30" t="str">
        <f>CONCATENATE(Tabel3[[#This Row],[P-nr]]," ",Tabel3[[#This Row],[Naam]]," ",Tabel3[[#This Row],[Voornaam]])</f>
        <v>42393 AL-Haddad Rashid</v>
      </c>
      <c r="F199" s="30" t="str">
        <f>VLOOKUP(Tabel3[[#This Row],[P-nr]],'data Chauffeur'!A:F,6)</f>
        <v>Gent stad</v>
      </c>
      <c r="G199" s="30" t="str">
        <f>VLOOKUP(Tabel3[[#This Row],[P-nr]],'data Chauffeur'!A:F,4,FALSE)</f>
        <v>Steven Storm</v>
      </c>
      <c r="H199" t="str">
        <f>VLOOKUP(Tabel3[[#This Row],[P-nr]],'data Chauffeur'!A:F,5,FALSE)</f>
        <v>RESF2</v>
      </c>
      <c r="K199" s="8" t="s">
        <v>135</v>
      </c>
      <c r="L199" s="37">
        <v>45951</v>
      </c>
      <c r="M199" t="s">
        <v>162</v>
      </c>
      <c r="O199" t="s">
        <v>164</v>
      </c>
      <c r="P199" t="s">
        <v>69</v>
      </c>
      <c r="R199" s="23" t="s">
        <v>70</v>
      </c>
    </row>
    <row r="200" spans="2:18" ht="15.6" x14ac:dyDescent="0.3">
      <c r="B200" s="48">
        <v>42082</v>
      </c>
      <c r="C200" s="30" t="str">
        <f>VLOOKUP(Tabel3[[#This Row],[P-nr]],'data Chauffeur'!A:F,2,FALSE)</f>
        <v>Ahmad</v>
      </c>
      <c r="D200" s="30" t="str">
        <f>VLOOKUP(Tabel3[[#This Row],[P-nr]],'data Chauffeur'!A:F,3,FALSE)</f>
        <v>Othman</v>
      </c>
      <c r="E200" s="30" t="str">
        <f>CONCATENATE(Tabel3[[#This Row],[P-nr]]," ",Tabel3[[#This Row],[Naam]]," ",Tabel3[[#This Row],[Voornaam]])</f>
        <v>42082 Ahmad Othman</v>
      </c>
      <c r="F200" s="30" t="str">
        <f>VLOOKUP(Tabel3[[#This Row],[P-nr]],'data Chauffeur'!A:F,6)</f>
        <v>Gent stad</v>
      </c>
      <c r="G200" s="30" t="str">
        <f>VLOOKUP(Tabel3[[#This Row],[P-nr]],'data Chauffeur'!A:F,4,FALSE)</f>
        <v>Dominique De Clercq</v>
      </c>
      <c r="H200" t="str">
        <f>VLOOKUP(Tabel3[[#This Row],[P-nr]],'data Chauffeur'!A:F,5,FALSE)</f>
        <v>RESF</v>
      </c>
      <c r="K200" s="8" t="s">
        <v>135</v>
      </c>
      <c r="L200" s="37">
        <v>45951</v>
      </c>
      <c r="M200" t="s">
        <v>165</v>
      </c>
      <c r="N200" t="s">
        <v>166</v>
      </c>
      <c r="O200" t="s">
        <v>164</v>
      </c>
      <c r="P200" t="s">
        <v>69</v>
      </c>
      <c r="R200" s="23" t="s">
        <v>70</v>
      </c>
    </row>
    <row r="201" spans="2:18" ht="15.6" x14ac:dyDescent="0.3">
      <c r="B201" s="48">
        <v>39528</v>
      </c>
      <c r="C201" s="30" t="str">
        <f>VLOOKUP(Tabel3[[#This Row],[P-nr]],'data Chauffeur'!A:F,2,FALSE)</f>
        <v>Mihaylov</v>
      </c>
      <c r="D201" s="30" t="str">
        <f>VLOOKUP(Tabel3[[#This Row],[P-nr]],'data Chauffeur'!A:F,3,FALSE)</f>
        <v>Plamen</v>
      </c>
      <c r="E201" s="30" t="str">
        <f>CONCATENATE(Tabel3[[#This Row],[P-nr]]," ",Tabel3[[#This Row],[Naam]]," ",Tabel3[[#This Row],[Voornaam]])</f>
        <v>39528 Mihaylov Plamen</v>
      </c>
      <c r="F201" s="30" t="str">
        <f>VLOOKUP(Tabel3[[#This Row],[P-nr]],'data Chauffeur'!A:F,6)</f>
        <v>Gent stad</v>
      </c>
      <c r="G201" s="30" t="str">
        <f>VLOOKUP(Tabel3[[#This Row],[P-nr]],'data Chauffeur'!A:F,4,FALSE)</f>
        <v>Christoff Rotty</v>
      </c>
      <c r="H201" t="str">
        <f>VLOOKUP(Tabel3[[#This Row],[P-nr]],'data Chauffeur'!A:F,5,FALSE)</f>
        <v>RESF</v>
      </c>
      <c r="K201" s="8" t="s">
        <v>135</v>
      </c>
      <c r="L201" s="37">
        <v>45951</v>
      </c>
      <c r="M201" t="s">
        <v>165</v>
      </c>
      <c r="N201" t="s">
        <v>167</v>
      </c>
      <c r="O201" t="s">
        <v>140</v>
      </c>
      <c r="P201" t="s">
        <v>23</v>
      </c>
      <c r="R201" s="23" t="s">
        <v>70</v>
      </c>
    </row>
    <row r="202" spans="2:18" ht="15.6" x14ac:dyDescent="0.3">
      <c r="B202" s="48">
        <v>32387</v>
      </c>
      <c r="C202" s="30" t="str">
        <f>VLOOKUP(Tabel3[[#This Row],[P-nr]],'data Chauffeur'!A:F,2,FALSE)</f>
        <v>Meersman</v>
      </c>
      <c r="D202" s="30" t="str">
        <f>VLOOKUP(Tabel3[[#This Row],[P-nr]],'data Chauffeur'!A:F,3,FALSE)</f>
        <v>Herman</v>
      </c>
      <c r="E202" s="30" t="str">
        <f>CONCATENATE(Tabel3[[#This Row],[P-nr]]," ",Tabel3[[#This Row],[Naam]]," ",Tabel3[[#This Row],[Voornaam]])</f>
        <v>32387 Meersman Herman</v>
      </c>
      <c r="F202" s="30" t="str">
        <f>VLOOKUP(Tabel3[[#This Row],[P-nr]],'data Chauffeur'!A:F,6)</f>
        <v>Gent stad</v>
      </c>
      <c r="G202" s="30" t="str">
        <f>VLOOKUP(Tabel3[[#This Row],[P-nr]],'data Chauffeur'!A:F,4,FALSE)</f>
        <v>Steven Storm</v>
      </c>
      <c r="H202" t="str">
        <f>VLOOKUP(Tabel3[[#This Row],[P-nr]],'data Chauffeur'!A:F,5,FALSE)</f>
        <v>B24</v>
      </c>
      <c r="K202" s="8" t="s">
        <v>135</v>
      </c>
      <c r="L202" s="37">
        <v>45951</v>
      </c>
      <c r="M202" t="s">
        <v>103</v>
      </c>
      <c r="O202" t="s">
        <v>161</v>
      </c>
      <c r="P202" t="s">
        <v>69</v>
      </c>
      <c r="R202" s="23" t="s">
        <v>70</v>
      </c>
    </row>
    <row r="203" spans="2:18" ht="15.6" x14ac:dyDescent="0.3">
      <c r="B203" s="48">
        <v>42146</v>
      </c>
      <c r="C203" s="30" t="str">
        <f>VLOOKUP(Tabel3[[#This Row],[P-nr]],'data Chauffeur'!A:F,2,FALSE)</f>
        <v>Cichonski</v>
      </c>
      <c r="D203" s="30" t="str">
        <f>VLOOKUP(Tabel3[[#This Row],[P-nr]],'data Chauffeur'!A:F,3,FALSE)</f>
        <v>Kamil</v>
      </c>
      <c r="E203" s="30" t="str">
        <f>CONCATENATE(Tabel3[[#This Row],[P-nr]]," ",Tabel3[[#This Row],[Naam]]," ",Tabel3[[#This Row],[Voornaam]])</f>
        <v>42146 Cichonski Kamil</v>
      </c>
      <c r="F203" s="30" t="str">
        <f>VLOOKUP(Tabel3[[#This Row],[P-nr]],'data Chauffeur'!A:F,6)</f>
        <v>Gent stad</v>
      </c>
      <c r="G203" s="30" t="str">
        <f>VLOOKUP(Tabel3[[#This Row],[P-nr]],'data Chauffeur'!A:F,4,FALSE)</f>
        <v>Steven Storm</v>
      </c>
      <c r="H203" t="str">
        <f>VLOOKUP(Tabel3[[#This Row],[P-nr]],'data Chauffeur'!A:F,5,FALSE)</f>
        <v>RESF2</v>
      </c>
      <c r="K203" s="30" t="str">
        <f>K204</f>
        <v>8538 Philippe Vandewalle</v>
      </c>
      <c r="L203" s="37">
        <v>45936</v>
      </c>
      <c r="O203" t="s">
        <v>75</v>
      </c>
      <c r="R203" s="23" t="s">
        <v>70</v>
      </c>
    </row>
    <row r="204" spans="2:18" ht="15.6" x14ac:dyDescent="0.3">
      <c r="B204" s="48">
        <v>35491</v>
      </c>
      <c r="C204" s="30" t="str">
        <f>VLOOKUP(Tabel3[[#This Row],[P-nr]],'data Chauffeur'!A:F,2,FALSE)</f>
        <v>Toubadie</v>
      </c>
      <c r="D204" s="30" t="str">
        <f>VLOOKUP(Tabel3[[#This Row],[P-nr]],'data Chauffeur'!A:F,3,FALSE)</f>
        <v>Zakaria</v>
      </c>
      <c r="E204" s="30" t="str">
        <f>CONCATENATE(Tabel3[[#This Row],[P-nr]]," ",Tabel3[[#This Row],[Naam]]," ",Tabel3[[#This Row],[Voornaam]])</f>
        <v>35491 Toubadie Zakaria</v>
      </c>
      <c r="F204" s="30" t="str">
        <f>VLOOKUP(Tabel3[[#This Row],[P-nr]],'data Chauffeur'!A:F,6)</f>
        <v>Gent stad</v>
      </c>
      <c r="G204" s="30" t="str">
        <f>VLOOKUP(Tabel3[[#This Row],[P-nr]],'data Chauffeur'!A:F,4,FALSE)</f>
        <v>Els Vanhoe</v>
      </c>
      <c r="H204" t="str">
        <f>VLOOKUP(Tabel3[[#This Row],[P-nr]],'data Chauffeur'!A:F,5,FALSE)</f>
        <v>B24</v>
      </c>
      <c r="I204" s="8" t="s">
        <v>33</v>
      </c>
      <c r="J204" s="8" t="s">
        <v>71</v>
      </c>
      <c r="K204" s="51" t="s">
        <v>77</v>
      </c>
      <c r="L204" s="37">
        <v>45951</v>
      </c>
      <c r="O204" t="s">
        <v>75</v>
      </c>
      <c r="R204" s="23" t="s">
        <v>70</v>
      </c>
    </row>
    <row r="205" spans="2:18" ht="15.6" x14ac:dyDescent="0.3">
      <c r="B205" s="48">
        <v>26960</v>
      </c>
      <c r="C205" s="30" t="str">
        <f>VLOOKUP(Tabel3[[#This Row],[P-nr]],'data Chauffeur'!A:F,2,FALSE)</f>
        <v>Toubadie</v>
      </c>
      <c r="D205" s="30" t="str">
        <f>VLOOKUP(Tabel3[[#This Row],[P-nr]],'data Chauffeur'!A:F,3,FALSE)</f>
        <v>Mossa</v>
      </c>
      <c r="E205" s="30" t="str">
        <f>CONCATENATE(Tabel3[[#This Row],[P-nr]]," ",Tabel3[[#This Row],[Naam]]," ",Tabel3[[#This Row],[Voornaam]])</f>
        <v>26960 Toubadie Mossa</v>
      </c>
      <c r="F205" s="30" t="str">
        <f>VLOOKUP(Tabel3[[#This Row],[P-nr]],'data Chauffeur'!A:F,6)</f>
        <v>Gent stad</v>
      </c>
      <c r="G205" s="30" t="str">
        <f>VLOOKUP(Tabel3[[#This Row],[P-nr]],'data Chauffeur'!A:F,4,FALSE)</f>
        <v>Els Vanhoe</v>
      </c>
      <c r="H205" t="str">
        <f>VLOOKUP(Tabel3[[#This Row],[P-nr]],'data Chauffeur'!A:F,5,FALSE)</f>
        <v>BD12</v>
      </c>
      <c r="I205" s="8" t="str">
        <f>I204</f>
        <v>schadegevallen</v>
      </c>
      <c r="J205" s="8" t="str">
        <f>J204</f>
        <v>bus</v>
      </c>
      <c r="K205" s="51" t="str">
        <f>K204</f>
        <v>8538 Philippe Vandewalle</v>
      </c>
      <c r="L205" s="37">
        <v>45951</v>
      </c>
      <c r="O205" t="s">
        <v>68</v>
      </c>
      <c r="R205" s="23" t="s">
        <v>70</v>
      </c>
    </row>
    <row r="206" spans="2:18" ht="15.6" x14ac:dyDescent="0.3">
      <c r="B206" s="48">
        <v>37683</v>
      </c>
      <c r="C206" s="30" t="str">
        <f>VLOOKUP(Tabel3[[#This Row],[P-nr]],'data Chauffeur'!A:F,2,FALSE)</f>
        <v>De Boever</v>
      </c>
      <c r="D206" s="30" t="str">
        <f>VLOOKUP(Tabel3[[#This Row],[P-nr]],'data Chauffeur'!A:F,3,FALSE)</f>
        <v>Charlotte</v>
      </c>
      <c r="E206" s="30" t="str">
        <f>CONCATENATE(Tabel3[[#This Row],[P-nr]]," ",Tabel3[[#This Row],[Naam]]," ",Tabel3[[#This Row],[Voornaam]])</f>
        <v>37683 De Boever Charlotte</v>
      </c>
      <c r="F206" s="30" t="str">
        <f>VLOOKUP(Tabel3[[#This Row],[P-nr]],'data Chauffeur'!A:F,6)</f>
        <v>Gent stad</v>
      </c>
      <c r="G206" s="30" t="str">
        <f>VLOOKUP(Tabel3[[#This Row],[P-nr]],'data Chauffeur'!A:F,4,FALSE)</f>
        <v>Steven Storm</v>
      </c>
      <c r="H206" t="str">
        <f>VLOOKUP(Tabel3[[#This Row],[P-nr]],'data Chauffeur'!A:F,5,FALSE)</f>
        <v>RESF</v>
      </c>
      <c r="J206" s="8" t="s">
        <v>71</v>
      </c>
      <c r="K206" s="30" t="s">
        <v>137</v>
      </c>
      <c r="L206" s="37">
        <v>45957</v>
      </c>
      <c r="O206" t="s">
        <v>68</v>
      </c>
      <c r="R206" s="23" t="s">
        <v>70</v>
      </c>
    </row>
    <row r="207" spans="2:18" ht="15.6" x14ac:dyDescent="0.3">
      <c r="B207" s="48">
        <v>36021</v>
      </c>
      <c r="C207" s="30" t="str">
        <f>VLOOKUP(Tabel3[[#This Row],[P-nr]],'data Chauffeur'!A:F,2,FALSE)</f>
        <v>Boelaert</v>
      </c>
      <c r="D207" s="30" t="str">
        <f>VLOOKUP(Tabel3[[#This Row],[P-nr]],'data Chauffeur'!A:F,3,FALSE)</f>
        <v>Frederik</v>
      </c>
      <c r="E207" s="30" t="str">
        <f>CONCATENATE(Tabel3[[#This Row],[P-nr]]," ",Tabel3[[#This Row],[Naam]]," ",Tabel3[[#This Row],[Voornaam]])</f>
        <v>36021 Boelaert Frederik</v>
      </c>
      <c r="F207" s="30" t="str">
        <f>VLOOKUP(Tabel3[[#This Row],[P-nr]],'data Chauffeur'!A:F,6)</f>
        <v>Gent stad</v>
      </c>
      <c r="G207" s="30" t="str">
        <f>VLOOKUP(Tabel3[[#This Row],[P-nr]],'data Chauffeur'!A:F,4,FALSE)</f>
        <v>Lucie Vande Velde</v>
      </c>
      <c r="H207" t="str">
        <f>VLOOKUP(Tabel3[[#This Row],[P-nr]],'data Chauffeur'!A:F,5,FALSE)</f>
        <v>GW10</v>
      </c>
      <c r="I207" s="8" t="s">
        <v>168</v>
      </c>
      <c r="J207" s="8" t="s">
        <v>71</v>
      </c>
      <c r="K207" s="30" t="s">
        <v>77</v>
      </c>
      <c r="L207" s="37">
        <v>45957</v>
      </c>
      <c r="M207" t="s">
        <v>169</v>
      </c>
      <c r="O207" t="s">
        <v>68</v>
      </c>
      <c r="R207" s="23" t="s">
        <v>70</v>
      </c>
    </row>
    <row r="208" spans="2:18" ht="15.6" x14ac:dyDescent="0.3">
      <c r="B208" s="48">
        <v>36543</v>
      </c>
      <c r="C208" s="30" t="str">
        <f>VLOOKUP(Tabel3[[#This Row],[P-nr]],'data Chauffeur'!A:F,2,FALSE)</f>
        <v>Babaian</v>
      </c>
      <c r="D208" s="30" t="str">
        <f>VLOOKUP(Tabel3[[#This Row],[P-nr]],'data Chauffeur'!A:F,3,FALSE)</f>
        <v>Sammy</v>
      </c>
      <c r="E208" s="30" t="str">
        <f>CONCATENATE(Tabel3[[#This Row],[P-nr]]," ",Tabel3[[#This Row],[Naam]]," ",Tabel3[[#This Row],[Voornaam]])</f>
        <v>36543 Babaian Sammy</v>
      </c>
      <c r="F208" s="30" t="str">
        <f>VLOOKUP(Tabel3[[#This Row],[P-nr]],'data Chauffeur'!A:F,6)</f>
        <v>Gent stad</v>
      </c>
      <c r="G208" s="30" t="str">
        <f>VLOOKUP(Tabel3[[#This Row],[P-nr]],'data Chauffeur'!A:F,4,FALSE)</f>
        <v>Lucie Vande Velde</v>
      </c>
      <c r="H208" t="str">
        <f>VLOOKUP(Tabel3[[#This Row],[P-nr]],'data Chauffeur'!A:F,5,FALSE)</f>
        <v>RESF</v>
      </c>
      <c r="J208" s="8" t="s">
        <v>71</v>
      </c>
      <c r="K208" s="30" t="s">
        <v>135</v>
      </c>
      <c r="L208" s="37">
        <v>45957</v>
      </c>
      <c r="M208" t="s">
        <v>165</v>
      </c>
      <c r="N208" t="s">
        <v>170</v>
      </c>
      <c r="O208" t="s">
        <v>79</v>
      </c>
      <c r="R208" s="23" t="s">
        <v>70</v>
      </c>
    </row>
    <row r="209" spans="1:18" ht="15.6" x14ac:dyDescent="0.3">
      <c r="B209" s="48">
        <v>38633</v>
      </c>
      <c r="C209" s="30" t="str">
        <f>VLOOKUP(Tabel3[[#This Row],[P-nr]],'data Chauffeur'!A:F,2,FALSE)</f>
        <v>Stomphorst</v>
      </c>
      <c r="D209" s="30" t="str">
        <f>VLOOKUP(Tabel3[[#This Row],[P-nr]],'data Chauffeur'!A:F,3,FALSE)</f>
        <v>Mattanja</v>
      </c>
      <c r="E209" s="30" t="str">
        <f>CONCATENATE(Tabel3[[#This Row],[P-nr]]," ",Tabel3[[#This Row],[Naam]]," ",Tabel3[[#This Row],[Voornaam]])</f>
        <v>38633 Stomphorst Mattanja</v>
      </c>
      <c r="F209" s="30" t="str">
        <f>VLOOKUP(Tabel3[[#This Row],[P-nr]],'data Chauffeur'!A:F,6)</f>
        <v>Gent stad</v>
      </c>
      <c r="G209" s="30" t="str">
        <f>VLOOKUP(Tabel3[[#This Row],[P-nr]],'data Chauffeur'!A:F,4,FALSE)</f>
        <v>Els Dewulf</v>
      </c>
      <c r="H209" t="str">
        <f>VLOOKUP(Tabel3[[#This Row],[P-nr]],'data Chauffeur'!A:F,5,FALSE)</f>
        <v>RESF</v>
      </c>
      <c r="J209" s="8" t="s">
        <v>71</v>
      </c>
      <c r="K209" s="30" t="str">
        <f>K208</f>
        <v>7848 Kathy Vermandel</v>
      </c>
      <c r="L209" s="37">
        <v>45957</v>
      </c>
      <c r="M209" t="s">
        <v>162</v>
      </c>
      <c r="N209" t="s">
        <v>163</v>
      </c>
      <c r="O209" t="s">
        <v>75</v>
      </c>
      <c r="R209" s="23" t="s">
        <v>70</v>
      </c>
    </row>
    <row r="210" spans="1:18" ht="15.6" x14ac:dyDescent="0.3">
      <c r="B210" s="48">
        <v>41588</v>
      </c>
      <c r="C210" s="30" t="str">
        <f>VLOOKUP(Tabel3[[#This Row],[P-nr]],'data Chauffeur'!A:F,2,FALSE)</f>
        <v>Naessens</v>
      </c>
      <c r="D210" s="30" t="str">
        <f>VLOOKUP(Tabel3[[#This Row],[P-nr]],'data Chauffeur'!A:F,3,FALSE)</f>
        <v>Yves</v>
      </c>
      <c r="E210" s="30" t="str">
        <f>CONCATENATE(Tabel3[[#This Row],[P-nr]]," ",Tabel3[[#This Row],[Naam]]," ",Tabel3[[#This Row],[Voornaam]])</f>
        <v>41588 Naessens Yves</v>
      </c>
      <c r="F210" s="30" t="str">
        <f>VLOOKUP(Tabel3[[#This Row],[P-nr]],'data Chauffeur'!A:F,6)</f>
        <v>Gent stad</v>
      </c>
      <c r="G210" s="30" t="str">
        <f>VLOOKUP(Tabel3[[#This Row],[P-nr]],'data Chauffeur'!A:F,4,FALSE)</f>
        <v>Kenneth De Rick</v>
      </c>
      <c r="H210" t="str">
        <f>VLOOKUP(Tabel3[[#This Row],[P-nr]],'data Chauffeur'!A:F,5,FALSE)</f>
        <v>RESF</v>
      </c>
      <c r="J210" s="8" t="s">
        <v>71</v>
      </c>
      <c r="K210" s="30" t="str">
        <f>K209</f>
        <v>7848 Kathy Vermandel</v>
      </c>
      <c r="L210" s="37">
        <v>45957</v>
      </c>
      <c r="M210" t="s">
        <v>103</v>
      </c>
      <c r="N210" t="s">
        <v>103</v>
      </c>
      <c r="O210" t="s">
        <v>68</v>
      </c>
      <c r="R210" s="23" t="s">
        <v>70</v>
      </c>
    </row>
    <row r="211" spans="1:18" ht="15.6" x14ac:dyDescent="0.3">
      <c r="A211" s="18"/>
      <c r="B211" s="48">
        <v>45721</v>
      </c>
      <c r="C211" s="30">
        <v>36543</v>
      </c>
      <c r="D211" s="30" t="s">
        <v>171</v>
      </c>
      <c r="E211" s="30" t="s">
        <v>172</v>
      </c>
      <c r="F211" s="30" t="s">
        <v>173</v>
      </c>
      <c r="G211" s="30" t="s">
        <v>174</v>
      </c>
      <c r="H211" t="s">
        <v>175</v>
      </c>
      <c r="I211" s="8" t="s">
        <v>176</v>
      </c>
      <c r="J211" s="8" t="s">
        <v>30</v>
      </c>
      <c r="K211" s="30" t="s">
        <v>135</v>
      </c>
      <c r="L211" s="37">
        <v>45957</v>
      </c>
      <c r="M211" s="30" t="s">
        <v>72</v>
      </c>
      <c r="N211" t="s">
        <v>38</v>
      </c>
      <c r="O211" t="s">
        <v>79</v>
      </c>
      <c r="P211" t="s">
        <v>23</v>
      </c>
      <c r="R211" s="23" t="s">
        <v>70</v>
      </c>
    </row>
    <row r="212" spans="1:18" x14ac:dyDescent="0.3">
      <c r="B212" s="48">
        <v>25873</v>
      </c>
      <c r="C212" s="30" t="str">
        <f>VLOOKUP(Tabel3[[#This Row],[P-nr]],'data Chauffeur'!A:F,2,FALSE)</f>
        <v>Kazakbiyev</v>
      </c>
      <c r="D212" s="30" t="str">
        <f>VLOOKUP(Tabel3[[#This Row],[P-nr]],'data Chauffeur'!A:F,3,FALSE)</f>
        <v>Osman</v>
      </c>
      <c r="E212" s="30" t="str">
        <f>CONCATENATE(Tabel3[[#This Row],[P-nr]]," ",Tabel3[[#This Row],[Naam]]," ",Tabel3[[#This Row],[Voornaam]])</f>
        <v>25873 Kazakbiyev Osman</v>
      </c>
      <c r="F212" s="30" t="str">
        <f>VLOOKUP(Tabel3[[#This Row],[P-nr]],'data Chauffeur'!A:F,6)</f>
        <v>Gent stad</v>
      </c>
      <c r="G212" s="30" t="str">
        <f>VLOOKUP(Tabel3[[#This Row],[P-nr]],'data Chauffeur'!A:F,4,FALSE)</f>
        <v>Els Vanhoe</v>
      </c>
      <c r="H212" t="str">
        <f>VLOOKUP(Tabel3[[#This Row],[P-nr]],'data Chauffeur'!A:F,5,FALSE)</f>
        <v>BD12</v>
      </c>
      <c r="J212" s="8" t="s">
        <v>71</v>
      </c>
      <c r="K212" s="30" t="s">
        <v>94</v>
      </c>
      <c r="L212" s="37">
        <v>45959</v>
      </c>
      <c r="M212" s="30" t="s">
        <v>103</v>
      </c>
      <c r="O212" t="s">
        <v>68</v>
      </c>
    </row>
    <row r="213" spans="1:18" x14ac:dyDescent="0.3">
      <c r="B213" s="48">
        <v>37542</v>
      </c>
      <c r="C213" s="30" t="str">
        <f>VLOOKUP(Tabel3[[#This Row],[P-nr]],'data Chauffeur'!A:F,2,FALSE)</f>
        <v>De Tandt</v>
      </c>
      <c r="D213" s="30" t="str">
        <f>VLOOKUP(Tabel3[[#This Row],[P-nr]],'data Chauffeur'!A:F,3,FALSE)</f>
        <v>Hans</v>
      </c>
      <c r="E213" s="30" t="str">
        <f>CONCATENATE(Tabel3[[#This Row],[P-nr]]," ",Tabel3[[#This Row],[Naam]]," ",Tabel3[[#This Row],[Voornaam]])</f>
        <v>37542 De Tandt Hans</v>
      </c>
      <c r="F213" s="30" t="str">
        <f>VLOOKUP(Tabel3[[#This Row],[P-nr]],'data Chauffeur'!A:F,6)</f>
        <v>Gent stad</v>
      </c>
      <c r="G213" s="30" t="str">
        <f>VLOOKUP(Tabel3[[#This Row],[P-nr]],'data Chauffeur'!A:F,4,FALSE)</f>
        <v>Bart Van Der Beken</v>
      </c>
      <c r="H213" t="str">
        <f>VLOOKUP(Tabel3[[#This Row],[P-nr]],'data Chauffeur'!A:F,5,FALSE)</f>
        <v>RESF</v>
      </c>
      <c r="I213" s="8" t="s">
        <v>51</v>
      </c>
      <c r="J213" s="8" t="s">
        <v>66</v>
      </c>
      <c r="K213" s="30" t="s">
        <v>67</v>
      </c>
      <c r="L213" s="37">
        <v>45960</v>
      </c>
      <c r="M213" s="30" t="s">
        <v>103</v>
      </c>
      <c r="O213" t="s">
        <v>68</v>
      </c>
    </row>
    <row r="214" spans="1:18" x14ac:dyDescent="0.3">
      <c r="B214" s="48">
        <v>39184</v>
      </c>
      <c r="C214" s="30" t="str">
        <f>VLOOKUP(Tabel3[[#This Row],[P-nr]],'data Chauffeur'!A:F,2,FALSE)</f>
        <v>Shinwari</v>
      </c>
      <c r="D214" s="30" t="str">
        <f>VLOOKUP(Tabel3[[#This Row],[P-nr]],'data Chauffeur'!A:F,3,FALSE)</f>
        <v>Yasin</v>
      </c>
      <c r="E214" s="30" t="str">
        <f>CONCATENATE(Tabel3[[#This Row],[P-nr]]," ",Tabel3[[#This Row],[Naam]]," ",Tabel3[[#This Row],[Voornaam]])</f>
        <v>39184 Shinwari Yasin</v>
      </c>
      <c r="F214" s="30" t="str">
        <f>VLOOKUP(Tabel3[[#This Row],[P-nr]],'data Chauffeur'!A:F,6)</f>
        <v>Gent stad</v>
      </c>
      <c r="G214" s="30" t="str">
        <f>VLOOKUP(Tabel3[[#This Row],[P-nr]],'data Chauffeur'!A:F,4,FALSE)</f>
        <v>Christoff Rotty</v>
      </c>
      <c r="H214" t="str">
        <f>VLOOKUP(Tabel3[[#This Row],[P-nr]],'data Chauffeur'!A:F,5,FALSE)</f>
        <v>RESF</v>
      </c>
      <c r="I214" s="8" t="s">
        <v>51</v>
      </c>
      <c r="J214" s="8" t="s">
        <v>66</v>
      </c>
      <c r="K214" s="30" t="s">
        <v>67</v>
      </c>
      <c r="L214" s="37">
        <v>45960</v>
      </c>
      <c r="M214" s="30" t="s">
        <v>103</v>
      </c>
      <c r="O214" t="s">
        <v>68</v>
      </c>
    </row>
    <row r="215" spans="1:18" x14ac:dyDescent="0.3">
      <c r="B215" s="48">
        <v>11120</v>
      </c>
      <c r="C215" s="30" t="str">
        <f>VLOOKUP(Tabel3[[#This Row],[P-nr]],'data Chauffeur'!A:F,2,FALSE)</f>
        <v>De Vrieze</v>
      </c>
      <c r="D215" s="30" t="str">
        <f>VLOOKUP(Tabel3[[#This Row],[P-nr]],'data Chauffeur'!A:F,3,FALSE)</f>
        <v>Ludo</v>
      </c>
      <c r="E215" s="30" t="str">
        <f>CONCATENATE(Tabel3[[#This Row],[P-nr]]," ",Tabel3[[#This Row],[Naam]]," ",Tabel3[[#This Row],[Voornaam]])</f>
        <v>11120 De Vrieze Ludo</v>
      </c>
      <c r="F215" s="30" t="e">
        <f>VLOOKUP(Tabel3[[#This Row],[P-nr]],'data Chauffeur'!A:F,6)</f>
        <v>#N/A</v>
      </c>
      <c r="G215" s="30" t="str">
        <f>VLOOKUP(Tabel3[[#This Row],[P-nr]],'data Chauffeur'!A:F,4,FALSE)</f>
        <v>Lucie Vande Velde</v>
      </c>
      <c r="H215" t="str">
        <f>VLOOKUP(Tabel3[[#This Row],[P-nr]],'data Chauffeur'!A:F,5,FALSE)</f>
        <v>TV12</v>
      </c>
      <c r="I215" s="8" t="s">
        <v>51</v>
      </c>
      <c r="J215" s="8" t="s">
        <v>66</v>
      </c>
      <c r="K215" s="30" t="s">
        <v>67</v>
      </c>
      <c r="L215" s="37">
        <v>45960</v>
      </c>
      <c r="M215" s="30" t="s">
        <v>103</v>
      </c>
      <c r="O215" t="s">
        <v>75</v>
      </c>
      <c r="P215" t="s">
        <v>69</v>
      </c>
    </row>
    <row r="216" spans="1:18" x14ac:dyDescent="0.3">
      <c r="A216" s="18"/>
      <c r="B216" s="48">
        <v>30901</v>
      </c>
      <c r="C216" s="30" t="str">
        <f>VLOOKUP(Tabel3[[#This Row],[P-nr]],'data Chauffeur'!A:F,2,FALSE)</f>
        <v>vanden Bulcke</v>
      </c>
      <c r="D216" s="30" t="str">
        <f>VLOOKUP(Tabel3[[#This Row],[P-nr]],'data Chauffeur'!A:F,3,FALSE)</f>
        <v>Johan</v>
      </c>
      <c r="E216" s="30" t="str">
        <f>CONCATENATE(Tabel3[[#This Row],[P-nr]]," ",Tabel3[[#This Row],[Naam]]," ",Tabel3[[#This Row],[Voornaam]])</f>
        <v>30901 vanden Bulcke Johan</v>
      </c>
      <c r="F216" s="30" t="str">
        <f>VLOOKUP(Tabel3[[#This Row],[P-nr]],'data Chauffeur'!A:F,6)</f>
        <v>Gent stad</v>
      </c>
      <c r="G216" s="30" t="str">
        <f>VLOOKUP(Tabel3[[#This Row],[P-nr]],'data Chauffeur'!A:F,4,FALSE)</f>
        <v>Els Dewulf</v>
      </c>
      <c r="H216" t="str">
        <f>VLOOKUP(Tabel3[[#This Row],[P-nr]],'data Chauffeur'!A:F,5,FALSE)</f>
        <v>G10</v>
      </c>
      <c r="I216" s="8" t="s">
        <v>177</v>
      </c>
      <c r="J216" s="8" t="s">
        <v>71</v>
      </c>
      <c r="K216" s="30" t="s">
        <v>52</v>
      </c>
      <c r="L216" s="37">
        <v>45966</v>
      </c>
      <c r="M216" s="30" t="s">
        <v>103</v>
      </c>
      <c r="O216" t="s">
        <v>75</v>
      </c>
      <c r="P216" t="s">
        <v>69</v>
      </c>
    </row>
    <row r="217" spans="1:18" x14ac:dyDescent="0.3">
      <c r="B217" s="48">
        <v>27153</v>
      </c>
      <c r="C217" s="30" t="str">
        <f>VLOOKUP(Tabel3[[#This Row],[P-nr]],'data Chauffeur'!A:F,2,FALSE)</f>
        <v>Oben</v>
      </c>
      <c r="D217" s="30" t="str">
        <f>VLOOKUP(Tabel3[[#This Row],[P-nr]],'data Chauffeur'!A:F,3,FALSE)</f>
        <v>Thibaud</v>
      </c>
      <c r="E217" s="30" t="str">
        <f>CONCATENATE(Tabel3[[#This Row],[P-nr]]," ",Tabel3[[#This Row],[Naam]]," ",Tabel3[[#This Row],[Voornaam]])</f>
        <v>27153 Oben Thibaud</v>
      </c>
      <c r="F217" s="30" t="str">
        <f>VLOOKUP(Tabel3[[#This Row],[P-nr]],'data Chauffeur'!A:F,6)</f>
        <v>Gent stad</v>
      </c>
      <c r="G217" s="30" t="str">
        <f>VLOOKUP(Tabel3[[#This Row],[P-nr]],'data Chauffeur'!A:F,4,FALSE)</f>
        <v>Christoff Rotty</v>
      </c>
      <c r="H217" t="str">
        <f>VLOOKUP(Tabel3[[#This Row],[P-nr]],'data Chauffeur'!A:F,5,FALSE)</f>
        <v>GW09</v>
      </c>
      <c r="I217" s="8" t="s">
        <v>128</v>
      </c>
      <c r="J217" s="8" t="s">
        <v>32</v>
      </c>
      <c r="K217" s="30" t="s">
        <v>178</v>
      </c>
      <c r="L217" s="43">
        <v>45965</v>
      </c>
      <c r="M217" s="30" t="s">
        <v>103</v>
      </c>
      <c r="N217" t="s">
        <v>179</v>
      </c>
      <c r="O217" t="s">
        <v>161</v>
      </c>
      <c r="P217" t="s">
        <v>69</v>
      </c>
    </row>
    <row r="218" spans="1:18" x14ac:dyDescent="0.3">
      <c r="B218">
        <v>33982</v>
      </c>
      <c r="C218" s="30" t="str">
        <f>VLOOKUP(Tabel3[[#This Row],[P-nr]],'data Chauffeur'!A:F,2,FALSE)</f>
        <v>Hoffelinck</v>
      </c>
      <c r="D218" s="30" t="str">
        <f>VLOOKUP(Tabel3[[#This Row],[P-nr]],'data Chauffeur'!A:F,3,FALSE)</f>
        <v>Thomas</v>
      </c>
      <c r="E218" s="30" t="str">
        <f>CONCATENATE(Tabel3[[#This Row],[P-nr]]," ",Tabel3[[#This Row],[Naam]]," ",Tabel3[[#This Row],[Voornaam]])</f>
        <v>33982 Hoffelinck Thomas</v>
      </c>
      <c r="F218" s="30" t="str">
        <f>VLOOKUP(Tabel3[[#This Row],[P-nr]],'data Chauffeur'!A:F,6)</f>
        <v>Gent stad</v>
      </c>
      <c r="G218" s="30" t="str">
        <f>VLOOKUP(Tabel3[[#This Row],[P-nr]],'data Chauffeur'!A:F,4,FALSE)</f>
        <v>Els Dewulf</v>
      </c>
      <c r="H218" t="str">
        <f>VLOOKUP(Tabel3[[#This Row],[P-nr]],'data Chauffeur'!A:F,5,FALSE)</f>
        <v>TO15</v>
      </c>
      <c r="I218" s="8" t="s">
        <v>128</v>
      </c>
      <c r="J218" s="8" t="s">
        <v>25</v>
      </c>
      <c r="K218" s="30" t="s">
        <v>178</v>
      </c>
      <c r="L218" s="43">
        <v>45965</v>
      </c>
      <c r="M218" s="44" t="s">
        <v>169</v>
      </c>
      <c r="O218" t="s">
        <v>180</v>
      </c>
      <c r="P218" t="s">
        <v>23</v>
      </c>
    </row>
    <row r="219" spans="1:18" x14ac:dyDescent="0.3">
      <c r="B219">
        <v>24472</v>
      </c>
      <c r="C219" s="30" t="str">
        <f>VLOOKUP(Tabel3[[#This Row],[P-nr]],'data Chauffeur'!A:F,2,FALSE)</f>
        <v>Gök</v>
      </c>
      <c r="D219" s="30" t="str">
        <f>VLOOKUP(Tabel3[[#This Row],[P-nr]],'data Chauffeur'!A:F,3,FALSE)</f>
        <v>Davut</v>
      </c>
      <c r="E219" s="30" t="str">
        <f>CONCATENATE(Tabel3[[#This Row],[P-nr]]," ",Tabel3[[#This Row],[Naam]]," ",Tabel3[[#This Row],[Voornaam]])</f>
        <v>24472 Gök Davut</v>
      </c>
      <c r="F219" s="30" t="str">
        <f>VLOOKUP(Tabel3[[#This Row],[P-nr]],'data Chauffeur'!A:F,6)</f>
        <v>Gent stad</v>
      </c>
      <c r="G219" s="30" t="str">
        <f>VLOOKUP(Tabel3[[#This Row],[P-nr]],'data Chauffeur'!A:F,4,FALSE)</f>
        <v>Dominique De Clercq</v>
      </c>
      <c r="H219" t="str">
        <f>VLOOKUP(Tabel3[[#This Row],[P-nr]],'data Chauffeur'!A:F,5,FALSE)</f>
        <v>MV12</v>
      </c>
      <c r="I219" s="8" t="s">
        <v>128</v>
      </c>
      <c r="J219" s="8" t="s">
        <v>25</v>
      </c>
      <c r="K219" s="30" t="s">
        <v>178</v>
      </c>
      <c r="L219" s="43">
        <v>45965</v>
      </c>
      <c r="M219" s="44" t="s">
        <v>169</v>
      </c>
      <c r="O219" t="s">
        <v>140</v>
      </c>
    </row>
    <row r="220" spans="1:18" x14ac:dyDescent="0.3">
      <c r="B220">
        <v>20705</v>
      </c>
      <c r="C220" s="30" t="str">
        <f>VLOOKUP(Tabel3[[#This Row],[P-nr]],'data Chauffeur'!A:F,2,FALSE)</f>
        <v>Van Den Neste</v>
      </c>
      <c r="D220" s="30" t="str">
        <f>VLOOKUP(Tabel3[[#This Row],[P-nr]],'data Chauffeur'!A:F,3,FALSE)</f>
        <v>Diederik</v>
      </c>
      <c r="E220" s="30" t="str">
        <f>CONCATENATE(Tabel3[[#This Row],[P-nr]]," ",Tabel3[[#This Row],[Naam]]," ",Tabel3[[#This Row],[Voornaam]])</f>
        <v>20705 Van Den Neste Diederik</v>
      </c>
      <c r="F220" s="30" t="e">
        <f>VLOOKUP(Tabel3[[#This Row],[P-nr]],'data Chauffeur'!A:F,6)</f>
        <v>#N/A</v>
      </c>
      <c r="G220" s="30" t="str">
        <f>VLOOKUP(Tabel3[[#This Row],[P-nr]],'data Chauffeur'!A:F,4,FALSE)</f>
        <v>Els Vanhoe</v>
      </c>
      <c r="H220" t="str">
        <f>VLOOKUP(Tabel3[[#This Row],[P-nr]],'data Chauffeur'!A:F,5,FALSE)</f>
        <v>MV12</v>
      </c>
      <c r="I220" s="8" t="s">
        <v>128</v>
      </c>
      <c r="J220" s="8" t="s">
        <v>32</v>
      </c>
      <c r="K220" t="s">
        <v>178</v>
      </c>
      <c r="L220" s="43">
        <v>45965</v>
      </c>
      <c r="M220" s="44" t="s">
        <v>103</v>
      </c>
      <c r="N220" t="s">
        <v>179</v>
      </c>
      <c r="O220" t="s">
        <v>75</v>
      </c>
    </row>
    <row r="221" spans="1:18" x14ac:dyDescent="0.3">
      <c r="B221" s="39">
        <v>31891</v>
      </c>
      <c r="C221" s="30" t="str">
        <f>VLOOKUP(Tabel3[[#This Row],[P-nr]],'data Chauffeur'!A:F,2,FALSE)</f>
        <v>De Wilde</v>
      </c>
      <c r="D221" s="30" t="str">
        <f>VLOOKUP(Tabel3[[#This Row],[P-nr]],'data Chauffeur'!A:F,3,FALSE)</f>
        <v>Dimitry</v>
      </c>
      <c r="E221" s="30" t="str">
        <f>CONCATENATE(Tabel3[[#This Row],[P-nr]]," ",Tabel3[[#This Row],[Naam]]," ",Tabel3[[#This Row],[Voornaam]])</f>
        <v>31891 De Wilde Dimitry</v>
      </c>
      <c r="F221" s="30" t="str">
        <f>VLOOKUP(Tabel3[[#This Row],[P-nr]],'data Chauffeur'!A:F,6)</f>
        <v>Gent stad</v>
      </c>
      <c r="G221" s="30" t="str">
        <f>VLOOKUP(Tabel3[[#This Row],[P-nr]],'data Chauffeur'!A:F,4,FALSE)</f>
        <v>Bart Van Der Beken</v>
      </c>
      <c r="H221" t="str">
        <f>VLOOKUP(Tabel3[[#This Row],[P-nr]],'data Chauffeur'!A:F,5,FALSE)</f>
        <v>RESF2</v>
      </c>
      <c r="I221" t="s">
        <v>128</v>
      </c>
      <c r="J221" s="8" t="s">
        <v>25</v>
      </c>
      <c r="K221" s="8" t="s">
        <v>178</v>
      </c>
      <c r="L221" s="43">
        <v>45966</v>
      </c>
      <c r="M221" t="s">
        <v>103</v>
      </c>
      <c r="N221" s="44" t="s">
        <v>179</v>
      </c>
      <c r="O221" t="s">
        <v>161</v>
      </c>
      <c r="P221" t="s">
        <v>69</v>
      </c>
    </row>
    <row r="222" spans="1:18" x14ac:dyDescent="0.3">
      <c r="B222">
        <v>40278</v>
      </c>
      <c r="C222" s="30" t="str">
        <f>VLOOKUP(Tabel3[[#This Row],[P-nr]],'data Chauffeur'!A:F,2,FALSE)</f>
        <v>Ates</v>
      </c>
      <c r="D222" s="30" t="str">
        <f>VLOOKUP(Tabel3[[#This Row],[P-nr]],'data Chauffeur'!A:F,3,FALSE)</f>
        <v>Firat</v>
      </c>
      <c r="E222" s="30" t="str">
        <f>CONCATENATE(Tabel3[[#This Row],[P-nr]]," ",Tabel3[[#This Row],[Naam]]," ",Tabel3[[#This Row],[Voornaam]])</f>
        <v>40278 Ates Firat</v>
      </c>
      <c r="F222" s="30" t="str">
        <f>VLOOKUP(Tabel3[[#This Row],[P-nr]],'data Chauffeur'!A:F,6)</f>
        <v>Gent stad</v>
      </c>
      <c r="G222" s="30" t="str">
        <f>VLOOKUP(Tabel3[[#This Row],[P-nr]],'data Chauffeur'!A:F,4,FALSE)</f>
        <v>Christoff Rotty</v>
      </c>
      <c r="H222" t="str">
        <f>VLOOKUP(Tabel3[[#This Row],[P-nr]],'data Chauffeur'!A:F,5,FALSE)</f>
        <v>RESF</v>
      </c>
      <c r="I222" t="s">
        <v>128</v>
      </c>
      <c r="J222" s="8" t="s">
        <v>32</v>
      </c>
      <c r="K222" s="8" t="s">
        <v>178</v>
      </c>
      <c r="L222" s="43">
        <v>45966</v>
      </c>
      <c r="M222" t="s">
        <v>103</v>
      </c>
      <c r="N222" s="44" t="s">
        <v>181</v>
      </c>
      <c r="O222" t="s">
        <v>161</v>
      </c>
      <c r="P222" t="s">
        <v>69</v>
      </c>
    </row>
    <row r="223" spans="1:18" x14ac:dyDescent="0.3">
      <c r="B223">
        <v>42082</v>
      </c>
      <c r="C223" s="30" t="str">
        <f>VLOOKUP(Tabel3[[#This Row],[P-nr]],'data Chauffeur'!A:F,2,FALSE)</f>
        <v>Ahmad</v>
      </c>
      <c r="D223" s="30" t="str">
        <f>VLOOKUP(Tabel3[[#This Row],[P-nr]],'data Chauffeur'!A:F,3,FALSE)</f>
        <v>Othman</v>
      </c>
      <c r="E223" s="30" t="str">
        <f>CONCATENATE(Tabel3[[#This Row],[P-nr]]," ",Tabel3[[#This Row],[Naam]]," ",Tabel3[[#This Row],[Voornaam]])</f>
        <v>42082 Ahmad Othman</v>
      </c>
      <c r="F223" s="30" t="str">
        <f>VLOOKUP(Tabel3[[#This Row],[P-nr]],'data Chauffeur'!A:F,6)</f>
        <v>Gent stad</v>
      </c>
      <c r="G223" s="30" t="str">
        <f>VLOOKUP(Tabel3[[#This Row],[P-nr]],'data Chauffeur'!A:F,4,FALSE)</f>
        <v>Dominique De Clercq</v>
      </c>
      <c r="H223" t="str">
        <f>VLOOKUP(Tabel3[[#This Row],[P-nr]],'data Chauffeur'!A:F,5,FALSE)</f>
        <v>RESF</v>
      </c>
      <c r="I223" t="s">
        <v>128</v>
      </c>
      <c r="J223" s="8" t="s">
        <v>32</v>
      </c>
      <c r="K223" s="8" t="s">
        <v>178</v>
      </c>
      <c r="L223" s="43">
        <v>45966</v>
      </c>
      <c r="M223" t="s">
        <v>103</v>
      </c>
      <c r="N223" s="44" t="s">
        <v>181</v>
      </c>
      <c r="O223" t="s">
        <v>161</v>
      </c>
      <c r="P223" t="s">
        <v>69</v>
      </c>
    </row>
    <row r="224" spans="1:18" x14ac:dyDescent="0.3">
      <c r="B224">
        <v>12124</v>
      </c>
      <c r="C224" s="30" t="str">
        <f>VLOOKUP(Tabel3[[#This Row],[P-nr]],'data Chauffeur'!A:F,2,FALSE)</f>
        <v>Van Vliet</v>
      </c>
      <c r="D224" s="30" t="str">
        <f>VLOOKUP(Tabel3[[#This Row],[P-nr]],'data Chauffeur'!A:F,3,FALSE)</f>
        <v>Tom</v>
      </c>
      <c r="E224" s="30" t="str">
        <f>CONCATENATE(Tabel3[[#This Row],[P-nr]]," ",Tabel3[[#This Row],[Naam]]," ",Tabel3[[#This Row],[Voornaam]])</f>
        <v>12124 Van Vliet Tom</v>
      </c>
      <c r="F224" s="30" t="e">
        <f>VLOOKUP(Tabel3[[#This Row],[P-nr]],'data Chauffeur'!A:F,6)</f>
        <v>#N/A</v>
      </c>
      <c r="G224" s="30" t="str">
        <f>VLOOKUP(Tabel3[[#This Row],[P-nr]],'data Chauffeur'!A:F,4,FALSE)</f>
        <v>Steven Storm</v>
      </c>
      <c r="H224" t="str">
        <f>VLOOKUP(Tabel3[[#This Row],[P-nr]],'data Chauffeur'!A:F,5,FALSE)</f>
        <v>TD12</v>
      </c>
      <c r="I224" t="s">
        <v>128</v>
      </c>
      <c r="J224" s="8" t="s">
        <v>25</v>
      </c>
      <c r="K224" s="8" t="s">
        <v>178</v>
      </c>
      <c r="L224" s="43">
        <v>45966</v>
      </c>
      <c r="M224" t="s">
        <v>103</v>
      </c>
      <c r="N224" s="30" t="s">
        <v>103</v>
      </c>
      <c r="O224" t="s">
        <v>164</v>
      </c>
      <c r="P224" t="s">
        <v>69</v>
      </c>
    </row>
    <row r="225" spans="2:16" x14ac:dyDescent="0.3">
      <c r="B225" s="41">
        <v>32458</v>
      </c>
      <c r="C225" s="30" t="str">
        <f>VLOOKUP(Tabel3[[#This Row],[P-nr]],'data Chauffeur'!A:F,2,FALSE)</f>
        <v>Cifteoglu</v>
      </c>
      <c r="D225" s="30" t="str">
        <f>VLOOKUP(Tabel3[[#This Row],[P-nr]],'data Chauffeur'!A:F,3,FALSE)</f>
        <v>Sedat</v>
      </c>
      <c r="E225" s="30" t="str">
        <f>CONCATENATE(Tabel3[[#This Row],[P-nr]]," ",Tabel3[[#This Row],[Naam]]," ",Tabel3[[#This Row],[Voornaam]])</f>
        <v>32458 Cifteoglu Sedat</v>
      </c>
      <c r="F225" s="30" t="str">
        <f>VLOOKUP(Tabel3[[#This Row],[P-nr]],'data Chauffeur'!A:F,6)</f>
        <v>Gent stad</v>
      </c>
      <c r="G225" s="30" t="str">
        <f>VLOOKUP(Tabel3[[#This Row],[P-nr]],'data Chauffeur'!A:F,4,FALSE)</f>
        <v>Els Dewulf</v>
      </c>
      <c r="H225" t="str">
        <f>VLOOKUP(Tabel3[[#This Row],[P-nr]],'data Chauffeur'!A:F,5,FALSE)</f>
        <v>B09</v>
      </c>
      <c r="I225" s="8" t="s">
        <v>128</v>
      </c>
      <c r="J225" s="8" t="s">
        <v>32</v>
      </c>
      <c r="K225" s="30" t="s">
        <v>52</v>
      </c>
      <c r="L225" s="37">
        <v>45966</v>
      </c>
      <c r="M225" s="30" t="s">
        <v>162</v>
      </c>
      <c r="N225" t="s">
        <v>103</v>
      </c>
      <c r="O225" t="s">
        <v>164</v>
      </c>
      <c r="P225" t="s">
        <v>69</v>
      </c>
    </row>
    <row r="226" spans="2:16" x14ac:dyDescent="0.3">
      <c r="B226" s="41">
        <v>38555</v>
      </c>
      <c r="C226" s="30" t="str">
        <f>VLOOKUP(Tabel3[[#This Row],[P-nr]],'data Chauffeur'!A:F,2,FALSE)</f>
        <v>Almohammad</v>
      </c>
      <c r="D226" s="30" t="str">
        <f>VLOOKUP(Tabel3[[#This Row],[P-nr]],'data Chauffeur'!A:F,3,FALSE)</f>
        <v>Malek</v>
      </c>
      <c r="E226" s="30" t="str">
        <f>CONCATENATE(Tabel3[[#This Row],[P-nr]]," ",Tabel3[[#This Row],[Naam]]," ",Tabel3[[#This Row],[Voornaam]])</f>
        <v>38555 Almohammad Malek</v>
      </c>
      <c r="F226" s="30" t="str">
        <f>VLOOKUP(Tabel3[[#This Row],[P-nr]],'data Chauffeur'!A:F,6)</f>
        <v>Gent stad</v>
      </c>
      <c r="G226" s="30" t="str">
        <f>VLOOKUP(Tabel3[[#This Row],[P-nr]],'data Chauffeur'!A:F,4,FALSE)</f>
        <v>Els Vanhoe</v>
      </c>
      <c r="H226" t="str">
        <f>VLOOKUP(Tabel3[[#This Row],[P-nr]],'data Chauffeur'!A:F,5,FALSE)</f>
        <v>B09</v>
      </c>
      <c r="I226" s="8" t="s">
        <v>128</v>
      </c>
      <c r="J226" s="8" t="s">
        <v>25</v>
      </c>
      <c r="K226" s="30" t="s">
        <v>131</v>
      </c>
      <c r="L226" s="37">
        <v>45968</v>
      </c>
      <c r="M226" s="44" t="s">
        <v>103</v>
      </c>
      <c r="O226" t="s">
        <v>164</v>
      </c>
      <c r="P226" t="s">
        <v>69</v>
      </c>
    </row>
    <row r="227" spans="2:16" x14ac:dyDescent="0.3">
      <c r="B227" s="41">
        <v>6092</v>
      </c>
      <c r="C227" s="30" t="str">
        <f>VLOOKUP(Tabel3[[#This Row],[P-nr]],'data Chauffeur'!A:F,2,FALSE)</f>
        <v>Boone</v>
      </c>
      <c r="D227" s="30" t="str">
        <f>VLOOKUP(Tabel3[[#This Row],[P-nr]],'data Chauffeur'!A:F,3,FALSE)</f>
        <v>Pascal</v>
      </c>
      <c r="E227" s="30" t="str">
        <f>CONCATENATE(Tabel3[[#This Row],[P-nr]]," ",Tabel3[[#This Row],[Naam]]," ",Tabel3[[#This Row],[Voornaam]])</f>
        <v>6092 Boone Pascal</v>
      </c>
      <c r="F227" s="30" t="e">
        <f>VLOOKUP(Tabel3[[#This Row],[P-nr]],'data Chauffeur'!A:F,6)</f>
        <v>#N/A</v>
      </c>
      <c r="G227" s="30" t="str">
        <f>VLOOKUP(Tabel3[[#This Row],[P-nr]],'data Chauffeur'!A:F,4,FALSE)</f>
        <v>Steven Storm</v>
      </c>
      <c r="H227" t="str">
        <f>VLOOKUP(Tabel3[[#This Row],[P-nr]],'data Chauffeur'!A:F,5,FALSE)</f>
        <v>TD12</v>
      </c>
      <c r="I227" s="8" t="s">
        <v>128</v>
      </c>
      <c r="J227" s="8" t="s">
        <v>25</v>
      </c>
      <c r="K227" s="30" t="s">
        <v>131</v>
      </c>
      <c r="L227" s="37">
        <v>45968</v>
      </c>
      <c r="M227" s="44" t="s">
        <v>103</v>
      </c>
      <c r="O227" t="s">
        <v>164</v>
      </c>
      <c r="P227" t="s">
        <v>69</v>
      </c>
    </row>
    <row r="228" spans="2:16" x14ac:dyDescent="0.3">
      <c r="B228" s="41">
        <v>35493</v>
      </c>
      <c r="C228" s="30" t="str">
        <f>VLOOKUP(Tabel3[[#This Row],[P-nr]],'data Chauffeur'!A:F,2,FALSE)</f>
        <v>van Turnhout</v>
      </c>
      <c r="D228" s="30" t="str">
        <f>VLOOKUP(Tabel3[[#This Row],[P-nr]],'data Chauffeur'!A:F,3,FALSE)</f>
        <v>Mariëlle</v>
      </c>
      <c r="E228" s="30" t="str">
        <f>CONCATENATE(Tabel3[[#This Row],[P-nr]]," ",Tabel3[[#This Row],[Naam]]," ",Tabel3[[#This Row],[Voornaam]])</f>
        <v>35493 van Turnhout Mariëlle</v>
      </c>
      <c r="F228" s="30" t="str">
        <f>VLOOKUP(Tabel3[[#This Row],[P-nr]],'data Chauffeur'!A:F,6)</f>
        <v>Gent stad</v>
      </c>
      <c r="G228" s="30" t="str">
        <f>VLOOKUP(Tabel3[[#This Row],[P-nr]],'data Chauffeur'!A:F,4,FALSE)</f>
        <v>Lucie Vande Velde</v>
      </c>
      <c r="H228" t="str">
        <f>VLOOKUP(Tabel3[[#This Row],[P-nr]],'data Chauffeur'!A:F,5,FALSE)</f>
        <v>B09</v>
      </c>
      <c r="I228" s="8" t="s">
        <v>128</v>
      </c>
      <c r="J228" s="8" t="s">
        <v>25</v>
      </c>
      <c r="K228" t="s">
        <v>131</v>
      </c>
      <c r="L228" s="37">
        <v>45968</v>
      </c>
      <c r="M228" s="44" t="s">
        <v>103</v>
      </c>
      <c r="O228" t="s">
        <v>164</v>
      </c>
      <c r="P228" t="s">
        <v>69</v>
      </c>
    </row>
    <row r="229" spans="2:16" x14ac:dyDescent="0.3">
      <c r="B229" s="48">
        <v>4419</v>
      </c>
      <c r="C229" s="30" t="str">
        <f>VLOOKUP(Tabel3[[#This Row],[P-nr]],'data Chauffeur'!A:F,2,FALSE)</f>
        <v>Maelbrancke</v>
      </c>
      <c r="D229" s="30" t="str">
        <f>VLOOKUP(Tabel3[[#This Row],[P-nr]],'data Chauffeur'!A:F,3,FALSE)</f>
        <v>Eddy</v>
      </c>
      <c r="E229" s="30" t="str">
        <f>CONCATENATE(Tabel3[[#This Row],[P-nr]]," ",Tabel3[[#This Row],[Naam]]," ",Tabel3[[#This Row],[Voornaam]])</f>
        <v>4419 Maelbrancke Eddy</v>
      </c>
      <c r="F229" s="30" t="e">
        <f>VLOOKUP(Tabel3[[#This Row],[P-nr]],'data Chauffeur'!A:F,6)</f>
        <v>#N/A</v>
      </c>
      <c r="G229" s="30" t="str">
        <f>VLOOKUP(Tabel3[[#This Row],[P-nr]],'data Chauffeur'!A:F,4,FALSE)</f>
        <v>Lucie Vande Velde</v>
      </c>
      <c r="H229" t="str">
        <f>VLOOKUP(Tabel3[[#This Row],[P-nr]],'data Chauffeur'!A:F,5,FALSE)</f>
        <v>G70</v>
      </c>
      <c r="I229" s="8" t="s">
        <v>33</v>
      </c>
      <c r="J229" s="8" t="s">
        <v>32</v>
      </c>
      <c r="K229" s="30" t="s">
        <v>52</v>
      </c>
      <c r="L229" s="37">
        <v>45966</v>
      </c>
      <c r="M229" s="30" t="s">
        <v>162</v>
      </c>
      <c r="O229" t="s">
        <v>68</v>
      </c>
      <c r="P229" t="s">
        <v>69</v>
      </c>
    </row>
    <row r="230" spans="2:16" x14ac:dyDescent="0.3">
      <c r="B230" s="48">
        <v>39358</v>
      </c>
      <c r="C230" s="30" t="str">
        <f>VLOOKUP(Tabel3[[#This Row],[P-nr]],'data Chauffeur'!A:F,2,FALSE)</f>
        <v>Weeks Aracena</v>
      </c>
      <c r="D230" s="30" t="str">
        <f>VLOOKUP(Tabel3[[#This Row],[P-nr]],'data Chauffeur'!A:F,3,FALSE)</f>
        <v>Jimmy Alexander</v>
      </c>
      <c r="E230" s="30" t="str">
        <f>CONCATENATE(Tabel3[[#This Row],[P-nr]]," ",Tabel3[[#This Row],[Naam]]," ",Tabel3[[#This Row],[Voornaam]])</f>
        <v>39358 Weeks Aracena Jimmy Alexander</v>
      </c>
      <c r="F230" s="30" t="str">
        <f>VLOOKUP(Tabel3[[#This Row],[P-nr]],'data Chauffeur'!A:F,6)</f>
        <v>Gent stad</v>
      </c>
      <c r="G230" s="30" t="str">
        <f>VLOOKUP(Tabel3[[#This Row],[P-nr]],'data Chauffeur'!A:F,4,FALSE)</f>
        <v>Christoff Rotty</v>
      </c>
      <c r="H230" t="str">
        <f>VLOOKUP(Tabel3[[#This Row],[P-nr]],'data Chauffeur'!A:F,5,FALSE)</f>
        <v>RESF</v>
      </c>
      <c r="I230" s="8" t="s">
        <v>27</v>
      </c>
      <c r="J230" s="30" t="s">
        <v>32</v>
      </c>
      <c r="K230" s="11" t="s">
        <v>52</v>
      </c>
      <c r="L230" s="37">
        <v>45966</v>
      </c>
      <c r="M230" t="s">
        <v>162</v>
      </c>
      <c r="O230" t="s">
        <v>164</v>
      </c>
      <c r="P230" t="s">
        <v>69</v>
      </c>
    </row>
    <row r="231" spans="2:16" x14ac:dyDescent="0.3">
      <c r="B231" s="48">
        <v>41685</v>
      </c>
      <c r="C231" s="30" t="str">
        <f>VLOOKUP(Tabel3[[#This Row],[P-nr]],'data Chauffeur'!A:F,2,FALSE)</f>
        <v>Zjarmi</v>
      </c>
      <c r="D231" s="30" t="str">
        <f>VLOOKUP(Tabel3[[#This Row],[P-nr]],'data Chauffeur'!A:F,3,FALSE)</f>
        <v>Hylgis</v>
      </c>
      <c r="E231" s="30" t="str">
        <f>CONCATENATE(Tabel3[[#This Row],[P-nr]]," ",Tabel3[[#This Row],[Naam]]," ",Tabel3[[#This Row],[Voornaam]])</f>
        <v>41685 Zjarmi Hylgis</v>
      </c>
      <c r="F231" s="30" t="str">
        <f>VLOOKUP(Tabel3[[#This Row],[P-nr]],'data Chauffeur'!A:F,6)</f>
        <v>Gent stad</v>
      </c>
      <c r="G231" s="30" t="str">
        <f>VLOOKUP(Tabel3[[#This Row],[P-nr]],'data Chauffeur'!A:F,4,FALSE)</f>
        <v>Kenneth De Rick</v>
      </c>
      <c r="H231" t="str">
        <f>VLOOKUP(Tabel3[[#This Row],[P-nr]],'data Chauffeur'!A:F,5,FALSE)</f>
        <v>RESF</v>
      </c>
      <c r="I231" s="8" t="s">
        <v>51</v>
      </c>
      <c r="J231" s="8" t="s">
        <v>71</v>
      </c>
      <c r="K231" s="44" t="s">
        <v>77</v>
      </c>
      <c r="L231" s="37">
        <v>45965</v>
      </c>
      <c r="O231" t="s">
        <v>68</v>
      </c>
    </row>
    <row r="232" spans="2:16" x14ac:dyDescent="0.3">
      <c r="B232" s="48">
        <v>35493</v>
      </c>
      <c r="C232" s="30" t="str">
        <f>VLOOKUP(Tabel3[[#This Row],[P-nr]],'data Chauffeur'!A:F,2,FALSE)</f>
        <v>van Turnhout</v>
      </c>
      <c r="D232" s="30" t="str">
        <f>VLOOKUP(Tabel3[[#This Row],[P-nr]],'data Chauffeur'!A:F,3,FALSE)</f>
        <v>Mariëlle</v>
      </c>
      <c r="E232" s="30" t="str">
        <f>CONCATENATE(Tabel3[[#This Row],[P-nr]]," ",Tabel3[[#This Row],[Naam]]," ",Tabel3[[#This Row],[Voornaam]])</f>
        <v>35493 van Turnhout Mariëlle</v>
      </c>
      <c r="F232" s="30" t="str">
        <f>VLOOKUP(Tabel3[[#This Row],[P-nr]],'data Chauffeur'!A:F,6)</f>
        <v>Gent stad</v>
      </c>
      <c r="G232" s="30" t="str">
        <f>VLOOKUP(Tabel3[[#This Row],[P-nr]],'data Chauffeur'!A:F,4,FALSE)</f>
        <v>Lucie Vande Velde</v>
      </c>
      <c r="H232" t="str">
        <f>VLOOKUP(Tabel3[[#This Row],[P-nr]],'data Chauffeur'!A:F,5,FALSE)</f>
        <v>B09</v>
      </c>
      <c r="I232" s="8" t="s">
        <v>182</v>
      </c>
      <c r="J232" s="8" t="s">
        <v>71</v>
      </c>
      <c r="K232" s="44" t="s">
        <v>77</v>
      </c>
      <c r="L232" s="37">
        <v>45967</v>
      </c>
      <c r="O232" t="s">
        <v>68</v>
      </c>
    </row>
    <row r="233" spans="2:16" x14ac:dyDescent="0.3">
      <c r="B233" s="48">
        <v>34351</v>
      </c>
      <c r="C233" s="30" t="str">
        <f>VLOOKUP(Tabel3[[#This Row],[P-nr]],'data Chauffeur'!A:F,2,FALSE)</f>
        <v>Callant</v>
      </c>
      <c r="D233" s="30" t="str">
        <f>VLOOKUP(Tabel3[[#This Row],[P-nr]],'data Chauffeur'!A:F,3,FALSE)</f>
        <v>Dieter</v>
      </c>
      <c r="E233" s="30" t="str">
        <f>CONCATENATE(Tabel3[[#This Row],[P-nr]]," ",Tabel3[[#This Row],[Naam]]," ",Tabel3[[#This Row],[Voornaam]])</f>
        <v>34351 Callant Dieter</v>
      </c>
      <c r="F233" s="30" t="str">
        <f>VLOOKUP(Tabel3[[#This Row],[P-nr]],'data Chauffeur'!A:F,6)</f>
        <v>Gent stad</v>
      </c>
      <c r="G233" s="30" t="str">
        <f>VLOOKUP(Tabel3[[#This Row],[P-nr]],'data Chauffeur'!A:F,4,FALSE)</f>
        <v>Els Vanhoe</v>
      </c>
      <c r="H233" t="str">
        <f>VLOOKUP(Tabel3[[#This Row],[P-nr]],'data Chauffeur'!A:F,5,FALSE)</f>
        <v>B24</v>
      </c>
      <c r="I233" s="8" t="s">
        <v>183</v>
      </c>
      <c r="J233" s="8" t="s">
        <v>71</v>
      </c>
      <c r="K233" s="44" t="s">
        <v>52</v>
      </c>
      <c r="L233" s="37">
        <v>45975</v>
      </c>
      <c r="M233" s="30" t="s">
        <v>96</v>
      </c>
      <c r="N233" t="s">
        <v>126</v>
      </c>
      <c r="O233" t="s">
        <v>73</v>
      </c>
      <c r="P233" t="s">
        <v>69</v>
      </c>
    </row>
    <row r="234" spans="2:16" x14ac:dyDescent="0.3">
      <c r="B234" s="48">
        <v>36663</v>
      </c>
      <c r="C234" s="30" t="str">
        <f>VLOOKUP(Tabel3[[#This Row],[P-nr]],'data Chauffeur'!A:F,2,FALSE)</f>
        <v>Cesmeli</v>
      </c>
      <c r="D234" s="30" t="str">
        <f>VLOOKUP(Tabel3[[#This Row],[P-nr]],'data Chauffeur'!A:F,3,FALSE)</f>
        <v>Achraf</v>
      </c>
      <c r="E234" s="30" t="str">
        <f>CONCATENATE(Tabel3[[#This Row],[P-nr]]," ",Tabel3[[#This Row],[Naam]]," ",Tabel3[[#This Row],[Voornaam]])</f>
        <v>36663 Cesmeli Achraf</v>
      </c>
      <c r="F234" s="30" t="str">
        <f>VLOOKUP(Tabel3[[#This Row],[P-nr]],'data Chauffeur'!A:F,6)</f>
        <v>Gent stad</v>
      </c>
      <c r="G234" s="30" t="str">
        <f>VLOOKUP(Tabel3[[#This Row],[P-nr]],'data Chauffeur'!A:F,4,FALSE)</f>
        <v>Dominique De Clercq</v>
      </c>
      <c r="H234" t="str">
        <f>VLOOKUP(Tabel3[[#This Row],[P-nr]],'data Chauffeur'!A:F,5,FALSE)</f>
        <v>MW12</v>
      </c>
      <c r="I234" s="8" t="s">
        <v>34</v>
      </c>
      <c r="J234" s="8" t="s">
        <v>71</v>
      </c>
      <c r="K234" s="44" t="s">
        <v>52</v>
      </c>
      <c r="L234" s="37">
        <v>45975</v>
      </c>
      <c r="M234" s="30" t="s">
        <v>162</v>
      </c>
      <c r="N234" t="s">
        <v>166</v>
      </c>
      <c r="O234" t="s">
        <v>164</v>
      </c>
      <c r="P234" t="s">
        <v>69</v>
      </c>
    </row>
    <row r="235" spans="2:16" x14ac:dyDescent="0.3">
      <c r="B235" s="48">
        <v>4720</v>
      </c>
      <c r="C235" s="30" t="str">
        <f>VLOOKUP(Tabel3[[#This Row],[P-nr]],'data Chauffeur'!A:F,2,FALSE)</f>
        <v>De Roo</v>
      </c>
      <c r="D235" s="30" t="str">
        <f>VLOOKUP(Tabel3[[#This Row],[P-nr]],'data Chauffeur'!A:F,3,FALSE)</f>
        <v>Jo</v>
      </c>
      <c r="E235" s="30" t="str">
        <f>CONCATENATE(Tabel3[[#This Row],[P-nr]]," ",Tabel3[[#This Row],[Naam]]," ",Tabel3[[#This Row],[Voornaam]])</f>
        <v>4720 De Roo Jo</v>
      </c>
      <c r="F235" s="30" t="e">
        <f>VLOOKUP(Tabel3[[#This Row],[P-nr]],'data Chauffeur'!A:F,6)</f>
        <v>#N/A</v>
      </c>
      <c r="G235" s="30" t="str">
        <f>VLOOKUP(Tabel3[[#This Row],[P-nr]],'data Chauffeur'!A:F,4,FALSE)</f>
        <v>Els Vanhoe</v>
      </c>
      <c r="H235" t="str">
        <f>VLOOKUP(Tabel3[[#This Row],[P-nr]],'data Chauffeur'!A:F,5,FALSE)</f>
        <v>G09</v>
      </c>
      <c r="J235" s="8" t="s">
        <v>32</v>
      </c>
      <c r="K235" s="44" t="s">
        <v>94</v>
      </c>
      <c r="L235" s="37">
        <v>45968</v>
      </c>
      <c r="O235" t="s">
        <v>161</v>
      </c>
      <c r="P235" t="s">
        <v>69</v>
      </c>
    </row>
    <row r="236" spans="2:16" x14ac:dyDescent="0.3">
      <c r="B236" s="48">
        <v>37808</v>
      </c>
      <c r="C236" s="30" t="str">
        <f>VLOOKUP(Tabel3[[#This Row],[P-nr]],'data Chauffeur'!A:F,2,FALSE)</f>
        <v>Gök</v>
      </c>
      <c r="D236" s="30" t="str">
        <f>VLOOKUP(Tabel3[[#This Row],[P-nr]],'data Chauffeur'!A:F,3,FALSE)</f>
        <v>Mustafa</v>
      </c>
      <c r="E236" s="30" t="str">
        <f>CONCATENATE(Tabel3[[#This Row],[P-nr]]," ",Tabel3[[#This Row],[Naam]]," ",Tabel3[[#This Row],[Voornaam]])</f>
        <v>37808 Gök Mustafa</v>
      </c>
      <c r="F236" s="30" t="str">
        <f>VLOOKUP(Tabel3[[#This Row],[P-nr]],'data Chauffeur'!A:F,6)</f>
        <v>Gent stad</v>
      </c>
      <c r="G236" s="30" t="str">
        <f>VLOOKUP(Tabel3[[#This Row],[P-nr]],'data Chauffeur'!A:F,4,FALSE)</f>
        <v>Els Vanhoe</v>
      </c>
      <c r="H236" t="str">
        <f>VLOOKUP(Tabel3[[#This Row],[P-nr]],'data Chauffeur'!A:F,5,FALSE)</f>
        <v>MW12</v>
      </c>
      <c r="J236" s="8" t="s">
        <v>32</v>
      </c>
      <c r="K236" s="44" t="s">
        <v>94</v>
      </c>
      <c r="L236" s="37">
        <v>45968</v>
      </c>
      <c r="O236" t="s">
        <v>161</v>
      </c>
      <c r="P236" t="s">
        <v>69</v>
      </c>
    </row>
    <row r="237" spans="2:16" x14ac:dyDescent="0.3">
      <c r="B237" s="48">
        <v>41948</v>
      </c>
      <c r="C237" s="30" t="str">
        <f>VLOOKUP(Tabel3[[#This Row],[P-nr]],'data Chauffeur'!A:F,2,FALSE)</f>
        <v>Vervaecke</v>
      </c>
      <c r="D237" s="30" t="str">
        <f>VLOOKUP(Tabel3[[#This Row],[P-nr]],'data Chauffeur'!A:F,3,FALSE)</f>
        <v>Wim</v>
      </c>
      <c r="E237" s="30" t="str">
        <f>CONCATENATE(Tabel3[[#This Row],[P-nr]]," ",Tabel3[[#This Row],[Naam]]," ",Tabel3[[#This Row],[Voornaam]])</f>
        <v>41948 Vervaecke Wim</v>
      </c>
      <c r="F237" s="30" t="str">
        <f>VLOOKUP(Tabel3[[#This Row],[P-nr]],'data Chauffeur'!A:F,6)</f>
        <v>Gent stad</v>
      </c>
      <c r="G237" s="30" t="str">
        <f>VLOOKUP(Tabel3[[#This Row],[P-nr]],'data Chauffeur'!A:F,4,FALSE)</f>
        <v>Els Dewulf</v>
      </c>
      <c r="H237" t="str">
        <f>VLOOKUP(Tabel3[[#This Row],[P-nr]],'data Chauffeur'!A:F,5,FALSE)</f>
        <v>RESF</v>
      </c>
      <c r="I237" s="8" t="s">
        <v>46</v>
      </c>
      <c r="J237" s="8" t="s">
        <v>32</v>
      </c>
      <c r="K237" s="44" t="s">
        <v>94</v>
      </c>
      <c r="L237" s="37">
        <v>45973</v>
      </c>
      <c r="M237" s="30" t="s">
        <v>169</v>
      </c>
      <c r="N237" t="s">
        <v>108</v>
      </c>
      <c r="O237" t="s">
        <v>180</v>
      </c>
      <c r="P237" t="s">
        <v>23</v>
      </c>
    </row>
    <row r="238" spans="2:16" x14ac:dyDescent="0.3">
      <c r="B238" s="48">
        <v>42082</v>
      </c>
      <c r="C238" s="30" t="str">
        <f>VLOOKUP(Tabel3[[#This Row],[P-nr]],'data Chauffeur'!A:F,2,FALSE)</f>
        <v>Ahmad</v>
      </c>
      <c r="D238" s="30" t="str">
        <f>VLOOKUP(Tabel3[[#This Row],[P-nr]],'data Chauffeur'!A:F,3,FALSE)</f>
        <v>Othman</v>
      </c>
      <c r="E238" s="30" t="str">
        <f>CONCATENATE(Tabel3[[#This Row],[P-nr]]," ",Tabel3[[#This Row],[Naam]]," ",Tabel3[[#This Row],[Voornaam]])</f>
        <v>42082 Ahmad Othman</v>
      </c>
      <c r="F238" s="30" t="str">
        <f>VLOOKUP(Tabel3[[#This Row],[P-nr]],'data Chauffeur'!A:F,6)</f>
        <v>Gent stad</v>
      </c>
      <c r="G238" s="30" t="str">
        <f>VLOOKUP(Tabel3[[#This Row],[P-nr]],'data Chauffeur'!A:F,4,FALSE)</f>
        <v>Dominique De Clercq</v>
      </c>
      <c r="H238" t="str">
        <f>VLOOKUP(Tabel3[[#This Row],[P-nr]],'data Chauffeur'!A:F,5,FALSE)</f>
        <v>RESF</v>
      </c>
      <c r="J238" s="8" t="s">
        <v>32</v>
      </c>
      <c r="K238" s="44" t="s">
        <v>94</v>
      </c>
      <c r="L238" s="37">
        <v>45973</v>
      </c>
      <c r="O238" t="s">
        <v>161</v>
      </c>
      <c r="P238" t="s">
        <v>69</v>
      </c>
    </row>
    <row r="239" spans="2:16" x14ac:dyDescent="0.3">
      <c r="B239">
        <v>41550</v>
      </c>
      <c r="C239" s="30" t="str">
        <f>VLOOKUP(Tabel3[[#This Row],[P-nr]],'data Chauffeur'!A:F,2,FALSE)</f>
        <v>Timmerman</v>
      </c>
      <c r="D239" s="30" t="str">
        <f>VLOOKUP(Tabel3[[#This Row],[P-nr]],'data Chauffeur'!A:F,3,FALSE)</f>
        <v>Bjorn</v>
      </c>
      <c r="E239" s="30" t="str">
        <f>CONCATENATE(Tabel3[[#This Row],[P-nr]]," ",Tabel3[[#This Row],[Naam]]," ",Tabel3[[#This Row],[Voornaam]])</f>
        <v>41550 Timmerman Bjorn</v>
      </c>
      <c r="F239" s="30" t="str">
        <f>VLOOKUP(Tabel3[[#This Row],[P-nr]],'data Chauffeur'!A:F,6)</f>
        <v>Gent stad</v>
      </c>
      <c r="G239" s="30" t="str">
        <f>VLOOKUP(Tabel3[[#This Row],[P-nr]],'data Chauffeur'!A:F,4,FALSE)</f>
        <v>Christoff Rotty</v>
      </c>
      <c r="H239" t="str">
        <f>VLOOKUP(Tabel3[[#This Row],[P-nr]],'data Chauffeur'!A:F,5,FALSE)</f>
        <v>BO15</v>
      </c>
      <c r="I239" s="8" t="s">
        <v>51</v>
      </c>
      <c r="J239" s="2" t="s">
        <v>32</v>
      </c>
      <c r="K239" t="s">
        <v>52</v>
      </c>
      <c r="L239" s="11">
        <v>45979</v>
      </c>
      <c r="M239" t="s">
        <v>165</v>
      </c>
      <c r="N239" t="s">
        <v>166</v>
      </c>
      <c r="O239" t="s">
        <v>140</v>
      </c>
      <c r="P239" t="s">
        <v>69</v>
      </c>
    </row>
    <row r="240" spans="2:16" x14ac:dyDescent="0.3">
      <c r="B240">
        <v>36635</v>
      </c>
      <c r="C240" s="30" t="str">
        <f>VLOOKUP(Tabel3[[#This Row],[P-nr]],'data Chauffeur'!A:F,2,FALSE)</f>
        <v>Fadel</v>
      </c>
      <c r="D240" s="30" t="str">
        <f>VLOOKUP(Tabel3[[#This Row],[P-nr]],'data Chauffeur'!A:F,3,FALSE)</f>
        <v>Husam</v>
      </c>
      <c r="E240" s="30" t="str">
        <f>CONCATENATE(Tabel3[[#This Row],[P-nr]]," ",Tabel3[[#This Row],[Naam]]," ",Tabel3[[#This Row],[Voornaam]])</f>
        <v>36635 Fadel Husam</v>
      </c>
      <c r="F240" s="30" t="str">
        <f>VLOOKUP(Tabel3[[#This Row],[P-nr]],'data Chauffeur'!A:F,6)</f>
        <v>Gent stad</v>
      </c>
      <c r="G240" s="30" t="str">
        <f>VLOOKUP(Tabel3[[#This Row],[P-nr]],'data Chauffeur'!A:F,4,FALSE)</f>
        <v>Kenneth De Rick</v>
      </c>
      <c r="H240" t="str">
        <f>VLOOKUP(Tabel3[[#This Row],[P-nr]],'data Chauffeur'!A:F,5,FALSE)</f>
        <v>RESF</v>
      </c>
      <c r="I240" s="8" t="s">
        <v>51</v>
      </c>
      <c r="J240" s="2" t="s">
        <v>32</v>
      </c>
      <c r="K240" t="s">
        <v>94</v>
      </c>
      <c r="L240" s="11">
        <v>45979</v>
      </c>
      <c r="M240" t="s">
        <v>169</v>
      </c>
      <c r="N240" t="s">
        <v>139</v>
      </c>
      <c r="O240" t="s">
        <v>140</v>
      </c>
      <c r="P240" t="s">
        <v>69</v>
      </c>
    </row>
    <row r="241" spans="2:16" x14ac:dyDescent="0.3">
      <c r="B241">
        <v>31635</v>
      </c>
      <c r="C241" s="30" t="str">
        <f>VLOOKUP(Tabel3[[#This Row],[P-nr]],'data Chauffeur'!A:F,2,FALSE)</f>
        <v>Vaeyens</v>
      </c>
      <c r="D241" s="30" t="str">
        <f>VLOOKUP(Tabel3[[#This Row],[P-nr]],'data Chauffeur'!A:F,3,FALSE)</f>
        <v>Midas</v>
      </c>
      <c r="E241" s="30" t="str">
        <f>CONCATENATE(Tabel3[[#This Row],[P-nr]]," ",Tabel3[[#This Row],[Naam]]," ",Tabel3[[#This Row],[Voornaam]])</f>
        <v>31635 Vaeyens Midas</v>
      </c>
      <c r="F241" s="30" t="str">
        <f>VLOOKUP(Tabel3[[#This Row],[P-nr]],'data Chauffeur'!A:F,6)</f>
        <v>Gent stad</v>
      </c>
      <c r="G241" s="30" t="str">
        <f>VLOOKUP(Tabel3[[#This Row],[P-nr]],'data Chauffeur'!A:F,4,FALSE)</f>
        <v>Els Vanhoe</v>
      </c>
      <c r="H241" t="str">
        <f>VLOOKUP(Tabel3[[#This Row],[P-nr]],'data Chauffeur'!A:F,5,FALSE)</f>
        <v>BR15</v>
      </c>
      <c r="I241" s="8" t="s">
        <v>51</v>
      </c>
      <c r="J241" s="2" t="s">
        <v>32</v>
      </c>
      <c r="K241" t="s">
        <v>94</v>
      </c>
      <c r="L241" s="11">
        <v>45979</v>
      </c>
      <c r="M241" t="s">
        <v>165</v>
      </c>
      <c r="N241" t="s">
        <v>108</v>
      </c>
      <c r="O241" t="s">
        <v>184</v>
      </c>
      <c r="P241" t="s">
        <v>23</v>
      </c>
    </row>
    <row r="242" spans="2:16" ht="28.8" x14ac:dyDescent="0.3">
      <c r="B242">
        <v>35495</v>
      </c>
      <c r="C242" s="30" t="str">
        <f>VLOOKUP(Tabel3[[#This Row],[P-nr]],'data Chauffeur'!A:F,2,FALSE)</f>
        <v>Razzaz</v>
      </c>
      <c r="D242" s="30" t="str">
        <f>VLOOKUP(Tabel3[[#This Row],[P-nr]],'data Chauffeur'!A:F,3,FALSE)</f>
        <v>Mahmoud</v>
      </c>
      <c r="E242" s="30" t="str">
        <f>CONCATENATE(Tabel3[[#This Row],[P-nr]]," ",Tabel3[[#This Row],[Naam]]," ",Tabel3[[#This Row],[Voornaam]])</f>
        <v>35495 Razzaz Mahmoud</v>
      </c>
      <c r="F242" s="30" t="str">
        <f>VLOOKUP(Tabel3[[#This Row],[P-nr]],'data Chauffeur'!A:F,6)</f>
        <v>Gent stad</v>
      </c>
      <c r="G242" s="30" t="str">
        <f>VLOOKUP(Tabel3[[#This Row],[P-nr]],'data Chauffeur'!A:F,4,FALSE)</f>
        <v>Kenneth De Rick</v>
      </c>
      <c r="H242" t="str">
        <f>VLOOKUP(Tabel3[[#This Row],[P-nr]],'data Chauffeur'!A:F,5,FALSE)</f>
        <v>B09</v>
      </c>
      <c r="I242" s="8" t="s">
        <v>185</v>
      </c>
      <c r="J242" s="2" t="s">
        <v>32</v>
      </c>
      <c r="K242" t="s">
        <v>52</v>
      </c>
      <c r="L242" s="11">
        <v>45979</v>
      </c>
      <c r="M242" t="s">
        <v>162</v>
      </c>
      <c r="O242" t="s">
        <v>164</v>
      </c>
      <c r="P242" t="s">
        <v>69</v>
      </c>
    </row>
    <row r="243" spans="2:16" x14ac:dyDescent="0.3">
      <c r="B243">
        <v>36512</v>
      </c>
      <c r="C243" s="30" t="str">
        <f>VLOOKUP(Tabel3[[#This Row],[P-nr]],'data Chauffeur'!A:F,2,FALSE)</f>
        <v>Van Herreweghe</v>
      </c>
      <c r="D243" s="30" t="str">
        <f>VLOOKUP(Tabel3[[#This Row],[P-nr]],'data Chauffeur'!A:F,3,FALSE)</f>
        <v>Branco</v>
      </c>
      <c r="E243" s="30" t="str">
        <f>CONCATENATE(Tabel3[[#This Row],[P-nr]]," ",Tabel3[[#This Row],[Naam]]," ",Tabel3[[#This Row],[Voornaam]])</f>
        <v>36512 Van Herreweghe Branco</v>
      </c>
      <c r="F243" s="30" t="str">
        <f>VLOOKUP(Tabel3[[#This Row],[P-nr]],'data Chauffeur'!A:F,6)</f>
        <v>Gent stad</v>
      </c>
      <c r="G243" s="30" t="str">
        <f>VLOOKUP(Tabel3[[#This Row],[P-nr]],'data Chauffeur'!A:F,4,FALSE)</f>
        <v>Steven Storm</v>
      </c>
      <c r="H243" t="str">
        <f>VLOOKUP(Tabel3[[#This Row],[P-nr]],'data Chauffeur'!A:F,5,FALSE)</f>
        <v>G10</v>
      </c>
      <c r="I243" s="8" t="s">
        <v>51</v>
      </c>
      <c r="J243" s="2" t="s">
        <v>32</v>
      </c>
      <c r="K243" t="s">
        <v>52</v>
      </c>
      <c r="L243" s="11">
        <v>45992</v>
      </c>
      <c r="M243" t="s">
        <v>169</v>
      </c>
      <c r="N243" t="s">
        <v>186</v>
      </c>
      <c r="O243" t="s">
        <v>164</v>
      </c>
      <c r="P243" t="s">
        <v>69</v>
      </c>
    </row>
    <row r="244" spans="2:16" x14ac:dyDescent="0.3">
      <c r="B244" s="52">
        <v>39581</v>
      </c>
      <c r="C244" s="30" t="str">
        <f>VLOOKUP(Tabel3[[#This Row],[P-nr]],'data Chauffeur'!A:F,2,FALSE)</f>
        <v>Vandenhaute</v>
      </c>
      <c r="D244" s="30" t="str">
        <f>VLOOKUP(Tabel3[[#This Row],[P-nr]],'data Chauffeur'!A:F,3,FALSE)</f>
        <v>Linus</v>
      </c>
      <c r="E244" s="30" t="str">
        <f>CONCATENATE(Tabel3[[#This Row],[P-nr]]," ",Tabel3[[#This Row],[Naam]]," ",Tabel3[[#This Row],[Voornaam]])</f>
        <v>39581 Vandenhaute Linus</v>
      </c>
      <c r="F244" s="30" t="str">
        <f>VLOOKUP(Tabel3[[#This Row],[P-nr]],'data Chauffeur'!A:F,6)</f>
        <v>Gent stad</v>
      </c>
      <c r="G244" s="30" t="str">
        <f>VLOOKUP(Tabel3[[#This Row],[P-nr]],'data Chauffeur'!A:F,4,FALSE)</f>
        <v>Els Dewulf</v>
      </c>
      <c r="H244" t="str">
        <f>VLOOKUP(Tabel3[[#This Row],[P-nr]],'data Chauffeur'!A:F,5,FALSE)</f>
        <v>BR15</v>
      </c>
      <c r="I244" s="8" t="s">
        <v>51</v>
      </c>
      <c r="J244" s="2" t="s">
        <v>32</v>
      </c>
      <c r="K244" t="s">
        <v>52</v>
      </c>
      <c r="L244" s="11">
        <v>45992</v>
      </c>
      <c r="M244" t="s">
        <v>162</v>
      </c>
      <c r="N244" t="s">
        <v>163</v>
      </c>
      <c r="O244" t="s">
        <v>164</v>
      </c>
      <c r="P244" t="s">
        <v>69</v>
      </c>
    </row>
    <row r="245" spans="2:16" x14ac:dyDescent="0.3">
      <c r="B245" s="52">
        <v>28830</v>
      </c>
      <c r="C245" s="30" t="str">
        <f>VLOOKUP(Tabel3[[#This Row],[P-nr]],'data Chauffeur'!A:F,2,FALSE)</f>
        <v>Isiklar</v>
      </c>
      <c r="D245" s="30" t="str">
        <f>VLOOKUP(Tabel3[[#This Row],[P-nr]],'data Chauffeur'!A:F,3,FALSE)</f>
        <v>Okan</v>
      </c>
      <c r="E245" s="30" t="str">
        <f>CONCATENATE(Tabel3[[#This Row],[P-nr]]," ",Tabel3[[#This Row],[Naam]]," ",Tabel3[[#This Row],[Voornaam]])</f>
        <v>28830 Isiklar Okan</v>
      </c>
      <c r="F245" s="30" t="str">
        <f>VLOOKUP(Tabel3[[#This Row],[P-nr]],'data Chauffeur'!A:F,6)</f>
        <v>Gent stad</v>
      </c>
      <c r="G245" s="30" t="str">
        <f>VLOOKUP(Tabel3[[#This Row],[P-nr]],'data Chauffeur'!A:F,4,FALSE)</f>
        <v>Christoff Rotty</v>
      </c>
      <c r="H245" t="str">
        <f>VLOOKUP(Tabel3[[#This Row],[P-nr]],'data Chauffeur'!A:F,5,FALSE)</f>
        <v>G10</v>
      </c>
      <c r="I245" s="8" t="s">
        <v>51</v>
      </c>
      <c r="J245" s="2" t="s">
        <v>32</v>
      </c>
      <c r="K245" t="s">
        <v>52</v>
      </c>
      <c r="L245" s="11">
        <v>45992</v>
      </c>
      <c r="M245" t="s">
        <v>162</v>
      </c>
      <c r="N245" t="s">
        <v>108</v>
      </c>
      <c r="O245" t="s">
        <v>140</v>
      </c>
      <c r="P245" t="s">
        <v>23</v>
      </c>
    </row>
    <row r="246" spans="2:16" x14ac:dyDescent="0.3">
      <c r="B246" s="48">
        <v>26695</v>
      </c>
      <c r="C246" s="30" t="str">
        <f>VLOOKUP(Tabel3[[#This Row],[P-nr]],'data Chauffeur'!A:F,2,FALSE)</f>
        <v>Lippens</v>
      </c>
      <c r="D246" s="30" t="str">
        <f>VLOOKUP(Tabel3[[#This Row],[P-nr]],'data Chauffeur'!A:F,3,FALSE)</f>
        <v>Miguel</v>
      </c>
      <c r="E246" s="30" t="str">
        <f>CONCATENATE(Tabel3[[#This Row],[P-nr]]," ",Tabel3[[#This Row],[Naam]]," ",Tabel3[[#This Row],[Voornaam]])</f>
        <v>26695 Lippens Miguel</v>
      </c>
      <c r="F246" s="30" t="str">
        <f>VLOOKUP(Tabel3[[#This Row],[P-nr]],'data Chauffeur'!A:F,6)</f>
        <v>Gent stad</v>
      </c>
      <c r="G246" s="30" t="str">
        <f>VLOOKUP(Tabel3[[#This Row],[P-nr]],'data Chauffeur'!A:F,4,FALSE)</f>
        <v>Christoff Rotty</v>
      </c>
      <c r="H246" t="str">
        <f>VLOOKUP(Tabel3[[#This Row],[P-nr]],'data Chauffeur'!A:F,5,FALSE)</f>
        <v>SW05</v>
      </c>
      <c r="I246" s="8" t="s">
        <v>51</v>
      </c>
      <c r="J246" s="8" t="s">
        <v>71</v>
      </c>
      <c r="K246" s="30" t="s">
        <v>117</v>
      </c>
      <c r="L246" s="37">
        <v>45994</v>
      </c>
      <c r="M246" s="30" t="s">
        <v>187</v>
      </c>
      <c r="O246" t="s">
        <v>164</v>
      </c>
      <c r="P246" t="s">
        <v>69</v>
      </c>
    </row>
    <row r="247" spans="2:16" ht="28.8" x14ac:dyDescent="0.3">
      <c r="B247">
        <v>27711</v>
      </c>
      <c r="C247" s="30" t="str">
        <f>VLOOKUP(Tabel3[[#This Row],[P-nr]],'data Chauffeur'!A:F,2,FALSE)</f>
        <v>De Schenkel</v>
      </c>
      <c r="D247" s="30" t="str">
        <f>VLOOKUP(Tabel3[[#This Row],[P-nr]],'data Chauffeur'!A:F,3,FALSE)</f>
        <v>David</v>
      </c>
      <c r="E247" s="30" t="str">
        <f>CONCATENATE(Tabel3[[#This Row],[P-nr]]," ",Tabel3[[#This Row],[Naam]]," ",Tabel3[[#This Row],[Voornaam]])</f>
        <v>27711 De Schenkel David</v>
      </c>
      <c r="F247" s="30" t="str">
        <f>VLOOKUP(Tabel3[[#This Row],[P-nr]],'data Chauffeur'!A:F,6)</f>
        <v>Gent stad</v>
      </c>
      <c r="G247" s="30" t="str">
        <f>VLOOKUP(Tabel3[[#This Row],[P-nr]],'data Chauffeur'!A:F,4,FALSE)</f>
        <v>Christoff Rotty</v>
      </c>
      <c r="H247" t="str">
        <f>VLOOKUP(Tabel3[[#This Row],[P-nr]],'data Chauffeur'!A:F,5,FALSE)</f>
        <v>TR15</v>
      </c>
      <c r="I247" s="8" t="s">
        <v>36</v>
      </c>
      <c r="J247" s="2" t="s">
        <v>11</v>
      </c>
      <c r="K247" t="s">
        <v>178</v>
      </c>
      <c r="L247" s="11">
        <v>45994</v>
      </c>
      <c r="M247" t="s">
        <v>169</v>
      </c>
      <c r="N247" t="s">
        <v>139</v>
      </c>
      <c r="O247" t="s">
        <v>180</v>
      </c>
      <c r="P247" t="s">
        <v>23</v>
      </c>
    </row>
    <row r="248" spans="2:16" x14ac:dyDescent="0.3">
      <c r="B248">
        <v>33085</v>
      </c>
      <c r="C248" s="30" t="str">
        <f>VLOOKUP(Tabel3[[#This Row],[P-nr]],'data Chauffeur'!A:F,2,FALSE)</f>
        <v>Van Hoe</v>
      </c>
      <c r="D248" s="30" t="str">
        <f>VLOOKUP(Tabel3[[#This Row],[P-nr]],'data Chauffeur'!A:F,3,FALSE)</f>
        <v>Ivo</v>
      </c>
      <c r="E248" s="30" t="str">
        <f>CONCATENATE(Tabel3[[#This Row],[P-nr]]," ",Tabel3[[#This Row],[Naam]]," ",Tabel3[[#This Row],[Voornaam]])</f>
        <v>33085 Van Hoe Ivo</v>
      </c>
      <c r="F248" s="30" t="str">
        <f>VLOOKUP(Tabel3[[#This Row],[P-nr]],'data Chauffeur'!A:F,6)</f>
        <v>Gent stad</v>
      </c>
      <c r="G248" s="30" t="str">
        <f>VLOOKUP(Tabel3[[#This Row],[P-nr]],'data Chauffeur'!A:F,4,FALSE)</f>
        <v>Kenneth De Rick</v>
      </c>
      <c r="H248" t="str">
        <f>VLOOKUP(Tabel3[[#This Row],[P-nr]],'data Chauffeur'!A:F,5,FALSE)</f>
        <v>RESF</v>
      </c>
      <c r="I248" s="8" t="s">
        <v>128</v>
      </c>
      <c r="J248" s="2" t="s">
        <v>25</v>
      </c>
      <c r="K248" t="s">
        <v>178</v>
      </c>
      <c r="L248" s="11">
        <v>45994</v>
      </c>
      <c r="M248" t="s">
        <v>103</v>
      </c>
      <c r="O248" t="s">
        <v>164</v>
      </c>
      <c r="P248" t="s">
        <v>69</v>
      </c>
    </row>
    <row r="249" spans="2:16" x14ac:dyDescent="0.3">
      <c r="B249">
        <v>30999</v>
      </c>
      <c r="C249" s="30" t="str">
        <f>VLOOKUP(Tabel3[[#This Row],[P-nr]],'data Chauffeur'!A:F,2,FALSE)</f>
        <v>Biesemans</v>
      </c>
      <c r="D249" s="30" t="str">
        <f>VLOOKUP(Tabel3[[#This Row],[P-nr]],'data Chauffeur'!A:F,3,FALSE)</f>
        <v>Jasper</v>
      </c>
      <c r="E249" s="30" t="str">
        <f>CONCATENATE(Tabel3[[#This Row],[P-nr]]," ",Tabel3[[#This Row],[Naam]]," ",Tabel3[[#This Row],[Voornaam]])</f>
        <v>30999 Biesemans Jasper</v>
      </c>
      <c r="F249" s="30" t="str">
        <f>VLOOKUP(Tabel3[[#This Row],[P-nr]],'data Chauffeur'!A:F,6)</f>
        <v>Gent stad</v>
      </c>
      <c r="G249" s="30" t="str">
        <f>VLOOKUP(Tabel3[[#This Row],[P-nr]],'data Chauffeur'!A:F,4,FALSE)</f>
        <v>Els Vanhoe</v>
      </c>
      <c r="H249" t="str">
        <f>VLOOKUP(Tabel3[[#This Row],[P-nr]],'data Chauffeur'!A:F,5,FALSE)</f>
        <v>B24</v>
      </c>
      <c r="I249" s="8" t="s">
        <v>51</v>
      </c>
      <c r="J249" s="2" t="s">
        <v>32</v>
      </c>
      <c r="K249" t="s">
        <v>52</v>
      </c>
      <c r="L249" s="11">
        <v>45995</v>
      </c>
      <c r="M249" t="s">
        <v>165</v>
      </c>
      <c r="N249" t="s">
        <v>166</v>
      </c>
      <c r="O249" t="s">
        <v>140</v>
      </c>
    </row>
    <row r="250" spans="2:16" x14ac:dyDescent="0.3">
      <c r="B250">
        <v>15726</v>
      </c>
      <c r="C250" s="30" t="str">
        <f>VLOOKUP(Tabel3[[#This Row],[P-nr]],'data Chauffeur'!A:F,2,FALSE)</f>
        <v>Van Wezemael</v>
      </c>
      <c r="D250" s="30" t="str">
        <f>VLOOKUP(Tabel3[[#This Row],[P-nr]],'data Chauffeur'!A:F,3,FALSE)</f>
        <v>Patrick</v>
      </c>
      <c r="E250" s="30" t="str">
        <f>CONCATENATE(Tabel3[[#This Row],[P-nr]]," ",Tabel3[[#This Row],[Naam]]," ",Tabel3[[#This Row],[Voornaam]])</f>
        <v>15726 Van Wezemael Patrick</v>
      </c>
      <c r="F250" s="30" t="e">
        <f>VLOOKUP(Tabel3[[#This Row],[P-nr]],'data Chauffeur'!A:F,6)</f>
        <v>#N/A</v>
      </c>
      <c r="G250" s="30" t="str">
        <f>VLOOKUP(Tabel3[[#This Row],[P-nr]],'data Chauffeur'!A:F,4,FALSE)</f>
        <v>Bart Van Der Beken</v>
      </c>
      <c r="H250" t="str">
        <f>VLOOKUP(Tabel3[[#This Row],[P-nr]],'data Chauffeur'!A:F,5,FALSE)</f>
        <v>GW09</v>
      </c>
      <c r="I250" s="8" t="s">
        <v>51</v>
      </c>
      <c r="J250" s="2" t="s">
        <v>32</v>
      </c>
      <c r="K250" t="s">
        <v>137</v>
      </c>
      <c r="L250" s="11">
        <v>45996</v>
      </c>
      <c r="M250" t="s">
        <v>165</v>
      </c>
      <c r="N250" t="s">
        <v>166</v>
      </c>
      <c r="O250" t="s">
        <v>140</v>
      </c>
    </row>
    <row r="251" spans="2:16" ht="28.8" x14ac:dyDescent="0.3">
      <c r="B251">
        <v>39928</v>
      </c>
      <c r="C251" s="30" t="str">
        <f>VLOOKUP(Tabel3[[#This Row],[P-nr]],'data Chauffeur'!A:F,2,FALSE)</f>
        <v>Momand</v>
      </c>
      <c r="D251" s="30" t="str">
        <f>VLOOKUP(Tabel3[[#This Row],[P-nr]],'data Chauffeur'!A:F,3,FALSE)</f>
        <v>Abdullah</v>
      </c>
      <c r="E251" s="30" t="str">
        <f>CONCATENATE(Tabel3[[#This Row],[P-nr]]," ",Tabel3[[#This Row],[Naam]]," ",Tabel3[[#This Row],[Voornaam]])</f>
        <v>39928 Momand Abdullah</v>
      </c>
      <c r="F251" s="30" t="str">
        <f>VLOOKUP(Tabel3[[#This Row],[P-nr]],'data Chauffeur'!A:F,6)</f>
        <v>Gent stad</v>
      </c>
      <c r="G251" s="30" t="str">
        <f>VLOOKUP(Tabel3[[#This Row],[P-nr]],'data Chauffeur'!A:F,4,FALSE)</f>
        <v>Bart Van Der Beken</v>
      </c>
      <c r="H251" t="str">
        <f>VLOOKUP(Tabel3[[#This Row],[P-nr]],'data Chauffeur'!A:F,5,FALSE)</f>
        <v>RESF2</v>
      </c>
      <c r="I251" s="8" t="s">
        <v>188</v>
      </c>
      <c r="J251" s="2" t="s">
        <v>32</v>
      </c>
      <c r="K251" t="s">
        <v>77</v>
      </c>
      <c r="L251" s="11">
        <v>45992</v>
      </c>
      <c r="M251"/>
      <c r="O251" t="s">
        <v>161</v>
      </c>
      <c r="P251" t="s">
        <v>69</v>
      </c>
    </row>
    <row r="252" spans="2:16" x14ac:dyDescent="0.3">
      <c r="B252">
        <v>42252</v>
      </c>
      <c r="C252" s="30" t="str">
        <f>VLOOKUP(Tabel3[[#This Row],[P-nr]],'data Chauffeur'!A:F,2,FALSE)</f>
        <v>Sular</v>
      </c>
      <c r="D252" s="30" t="str">
        <f>VLOOKUP(Tabel3[[#This Row],[P-nr]],'data Chauffeur'!A:F,3,FALSE)</f>
        <v>Abdullah</v>
      </c>
      <c r="E252" s="30" t="str">
        <f>CONCATENATE(Tabel3[[#This Row],[P-nr]]," ",Tabel3[[#This Row],[Naam]]," ",Tabel3[[#This Row],[Voornaam]])</f>
        <v>42252 Sular Abdullah</v>
      </c>
      <c r="F252" s="30" t="str">
        <f>VLOOKUP(Tabel3[[#This Row],[P-nr]],'data Chauffeur'!A:F,6)</f>
        <v>Gent stad</v>
      </c>
      <c r="G252" s="30" t="str">
        <f>VLOOKUP(Tabel3[[#This Row],[P-nr]],'data Chauffeur'!A:F,4,FALSE)</f>
        <v>Christoff Rotty</v>
      </c>
      <c r="H252" t="str">
        <f>VLOOKUP(Tabel3[[#This Row],[P-nr]],'data Chauffeur'!A:F,5,FALSE)</f>
        <v>RESF2</v>
      </c>
      <c r="I252" s="8" t="s">
        <v>33</v>
      </c>
      <c r="J252" s="2" t="s">
        <v>32</v>
      </c>
      <c r="K252" t="s">
        <v>52</v>
      </c>
      <c r="L252" s="11">
        <v>45995</v>
      </c>
      <c r="M252" t="s">
        <v>162</v>
      </c>
      <c r="N252" t="s">
        <v>108</v>
      </c>
      <c r="O252" t="s">
        <v>164</v>
      </c>
      <c r="P252" t="s">
        <v>69</v>
      </c>
    </row>
    <row r="253" spans="2:16" x14ac:dyDescent="0.3">
      <c r="B253">
        <v>38633</v>
      </c>
      <c r="C253" s="30" t="str">
        <f>VLOOKUP(Tabel3[[#This Row],[P-nr]],'data Chauffeur'!A:F,2,FALSE)</f>
        <v>Stomphorst</v>
      </c>
      <c r="D253" s="30" t="str">
        <f>VLOOKUP(Tabel3[[#This Row],[P-nr]],'data Chauffeur'!A:F,3,FALSE)</f>
        <v>Mattanja</v>
      </c>
      <c r="E253" s="30" t="str">
        <f>CONCATENATE(Tabel3[[#This Row],[P-nr]]," ",Tabel3[[#This Row],[Naam]]," ",Tabel3[[#This Row],[Voornaam]])</f>
        <v>38633 Stomphorst Mattanja</v>
      </c>
      <c r="F253" s="30" t="str">
        <f>VLOOKUP(Tabel3[[#This Row],[P-nr]],'data Chauffeur'!A:F,6)</f>
        <v>Gent stad</v>
      </c>
      <c r="G253" s="30" t="str">
        <f>VLOOKUP(Tabel3[[#This Row],[P-nr]],'data Chauffeur'!A:F,4,FALSE)</f>
        <v>Els Dewulf</v>
      </c>
      <c r="H253" t="str">
        <f>VLOOKUP(Tabel3[[#This Row],[P-nr]],'data Chauffeur'!A:F,5,FALSE)</f>
        <v>RESF</v>
      </c>
      <c r="I253" s="8" t="s">
        <v>33</v>
      </c>
      <c r="J253" s="2" t="s">
        <v>11</v>
      </c>
      <c r="K253" t="s">
        <v>77</v>
      </c>
      <c r="L253" s="11">
        <v>45992</v>
      </c>
      <c r="M253"/>
      <c r="O253" t="s">
        <v>161</v>
      </c>
      <c r="P253" t="s">
        <v>69</v>
      </c>
    </row>
    <row r="254" spans="2:16" x14ac:dyDescent="0.3">
      <c r="B254">
        <v>34325</v>
      </c>
      <c r="C254" s="30" t="str">
        <f>VLOOKUP(Tabel3[[#This Row],[P-nr]],'data Chauffeur'!A:F,2,FALSE)</f>
        <v>Eid</v>
      </c>
      <c r="D254" s="30" t="str">
        <f>VLOOKUP(Tabel3[[#This Row],[P-nr]],'data Chauffeur'!A:F,3,FALSE)</f>
        <v>Mathyn</v>
      </c>
      <c r="E254" s="30" t="str">
        <f>CONCATENATE(Tabel3[[#This Row],[P-nr]]," ",Tabel3[[#This Row],[Naam]]," ",Tabel3[[#This Row],[Voornaam]])</f>
        <v>34325 Eid Mathyn</v>
      </c>
      <c r="F254" s="30" t="str">
        <f>VLOOKUP(Tabel3[[#This Row],[P-nr]],'data Chauffeur'!A:F,6)</f>
        <v>Gent stad</v>
      </c>
      <c r="G254" s="30" t="str">
        <f>VLOOKUP(Tabel3[[#This Row],[P-nr]],'data Chauffeur'!A:F,4,FALSE)</f>
        <v>Steven Storm</v>
      </c>
      <c r="H254" t="str">
        <f>VLOOKUP(Tabel3[[#This Row],[P-nr]],'data Chauffeur'!A:F,5,FALSE)</f>
        <v>B09</v>
      </c>
      <c r="J254" s="2" t="s">
        <v>25</v>
      </c>
      <c r="K254" t="s">
        <v>131</v>
      </c>
      <c r="L254" s="11">
        <v>45994</v>
      </c>
      <c r="M254" t="s">
        <v>103</v>
      </c>
      <c r="O254" t="s">
        <v>161</v>
      </c>
    </row>
    <row r="255" spans="2:16" x14ac:dyDescent="0.3">
      <c r="B255">
        <v>23880</v>
      </c>
      <c r="C255" s="30" t="str">
        <f>VLOOKUP(Tabel3[[#This Row],[P-nr]],'data Chauffeur'!A:F,2,FALSE)</f>
        <v>Wyffels</v>
      </c>
      <c r="D255" s="30" t="str">
        <f>VLOOKUP(Tabel3[[#This Row],[P-nr]],'data Chauffeur'!A:F,3,FALSE)</f>
        <v>Jean-Pierre</v>
      </c>
      <c r="E255" s="30" t="str">
        <f>CONCATENATE(Tabel3[[#This Row],[P-nr]]," ",Tabel3[[#This Row],[Naam]]," ",Tabel3[[#This Row],[Voornaam]])</f>
        <v>23880 Wyffels Jean-Pierre</v>
      </c>
      <c r="F255" s="30" t="str">
        <f>VLOOKUP(Tabel3[[#This Row],[P-nr]],'data Chauffeur'!A:F,6)</f>
        <v>Gent stad</v>
      </c>
      <c r="G255" s="30" t="str">
        <f>VLOOKUP(Tabel3[[#This Row],[P-nr]],'data Chauffeur'!A:F,4,FALSE)</f>
        <v>Dominique De Clercq</v>
      </c>
      <c r="H255" t="str">
        <f>VLOOKUP(Tabel3[[#This Row],[P-nr]],'data Chauffeur'!A:F,5,FALSE)</f>
        <v>M15</v>
      </c>
      <c r="J255" s="2" t="s">
        <v>25</v>
      </c>
      <c r="K255" t="s">
        <v>189</v>
      </c>
      <c r="L255" s="11">
        <v>45994</v>
      </c>
      <c r="M255" t="s">
        <v>103</v>
      </c>
      <c r="O255" t="s">
        <v>161</v>
      </c>
    </row>
    <row r="256" spans="2:16" x14ac:dyDescent="0.3">
      <c r="B256">
        <v>9062</v>
      </c>
      <c r="C256" s="30" t="str">
        <f>VLOOKUP(Tabel3[[#This Row],[P-nr]],'data Chauffeur'!A:F,2,FALSE)</f>
        <v>Westelinck</v>
      </c>
      <c r="D256" s="30" t="str">
        <f>VLOOKUP(Tabel3[[#This Row],[P-nr]],'data Chauffeur'!A:F,3,FALSE)</f>
        <v>Davy</v>
      </c>
      <c r="E256" s="30" t="str">
        <f>CONCATENATE(Tabel3[[#This Row],[P-nr]]," ",Tabel3[[#This Row],[Naam]]," ",Tabel3[[#This Row],[Voornaam]])</f>
        <v>9062 Westelinck Davy</v>
      </c>
      <c r="F256" s="30" t="e">
        <f>VLOOKUP(Tabel3[[#This Row],[P-nr]],'data Chauffeur'!A:F,6)</f>
        <v>#N/A</v>
      </c>
      <c r="G256" s="30" t="str">
        <f>VLOOKUP(Tabel3[[#This Row],[P-nr]],'data Chauffeur'!A:F,4,FALSE)</f>
        <v>Kenneth De Rick</v>
      </c>
      <c r="H256" t="str">
        <f>VLOOKUP(Tabel3[[#This Row],[P-nr]],'data Chauffeur'!A:F,5,FALSE)</f>
        <v>TD12</v>
      </c>
      <c r="J256" s="2" t="s">
        <v>25</v>
      </c>
      <c r="K256" t="s">
        <v>190</v>
      </c>
      <c r="L256" s="11">
        <v>45994</v>
      </c>
      <c r="M256" t="s">
        <v>191</v>
      </c>
      <c r="O256" t="s">
        <v>161</v>
      </c>
    </row>
    <row r="257" spans="2:16" x14ac:dyDescent="0.3">
      <c r="B257">
        <v>41918</v>
      </c>
      <c r="C257" s="30" t="str">
        <f>VLOOKUP(Tabel3[[#This Row],[P-nr]],'data Chauffeur'!A:F,2,FALSE)</f>
        <v>Babai</v>
      </c>
      <c r="D257" s="30" t="str">
        <f>VLOOKUP(Tabel3[[#This Row],[P-nr]],'data Chauffeur'!A:F,3,FALSE)</f>
        <v>Saber</v>
      </c>
      <c r="E257" s="30" t="str">
        <f>CONCATENATE(Tabel3[[#This Row],[P-nr]]," ",Tabel3[[#This Row],[Naam]]," ",Tabel3[[#This Row],[Voornaam]])</f>
        <v>41918 Babai Saber</v>
      </c>
      <c r="F257" s="30" t="str">
        <f>VLOOKUP(Tabel3[[#This Row],[P-nr]],'data Chauffeur'!A:F,6)</f>
        <v>Gent stad</v>
      </c>
      <c r="G257" s="30" t="str">
        <f>VLOOKUP(Tabel3[[#This Row],[P-nr]],'data Chauffeur'!A:F,4,FALSE)</f>
        <v>Christoff Rotty</v>
      </c>
      <c r="H257" t="str">
        <f>VLOOKUP(Tabel3[[#This Row],[P-nr]],'data Chauffeur'!A:F,5,FALSE)</f>
        <v>RESF</v>
      </c>
      <c r="I257" s="8" t="s">
        <v>51</v>
      </c>
      <c r="J257" s="2" t="s">
        <v>32</v>
      </c>
      <c r="K257" t="s">
        <v>77</v>
      </c>
      <c r="L257" s="11"/>
      <c r="M257"/>
      <c r="O257" t="s">
        <v>161</v>
      </c>
    </row>
    <row r="258" spans="2:16" x14ac:dyDescent="0.3">
      <c r="B258">
        <v>39988</v>
      </c>
      <c r="C258" s="30" t="str">
        <f>VLOOKUP(Tabel3[[#This Row],[P-nr]],'data Chauffeur'!A:F,2,FALSE)</f>
        <v>Souda</v>
      </c>
      <c r="D258" s="30" t="str">
        <f>VLOOKUP(Tabel3[[#This Row],[P-nr]],'data Chauffeur'!A:F,3,FALSE)</f>
        <v>Mahmoud</v>
      </c>
      <c r="E258" s="30" t="str">
        <f>CONCATENATE(Tabel3[[#This Row],[P-nr]]," ",Tabel3[[#This Row],[Naam]]," ",Tabel3[[#This Row],[Voornaam]])</f>
        <v>39988 Souda Mahmoud</v>
      </c>
      <c r="F258" s="30" t="str">
        <f>VLOOKUP(Tabel3[[#This Row],[P-nr]],'data Chauffeur'!A:F,6)</f>
        <v>Gent stad</v>
      </c>
      <c r="G258" s="30" t="str">
        <f>VLOOKUP(Tabel3[[#This Row],[P-nr]],'data Chauffeur'!A:F,4,FALSE)</f>
        <v>Christoff Rotty</v>
      </c>
      <c r="H258" t="str">
        <f>VLOOKUP(Tabel3[[#This Row],[P-nr]],'data Chauffeur'!A:F,5,FALSE)</f>
        <v>RESF</v>
      </c>
      <c r="I258" s="8" t="s">
        <v>51</v>
      </c>
      <c r="J258" s="2" t="s">
        <v>32</v>
      </c>
      <c r="K258" t="s">
        <v>77</v>
      </c>
      <c r="L258" s="11"/>
      <c r="M258"/>
      <c r="O258" t="s">
        <v>161</v>
      </c>
    </row>
    <row r="259" spans="2:16" x14ac:dyDescent="0.3">
      <c r="B259">
        <v>31550</v>
      </c>
      <c r="C259" s="30" t="str">
        <f>VLOOKUP(Tabel3[[#This Row],[P-nr]],'data Chauffeur'!A:F,2,FALSE)</f>
        <v>Cetin</v>
      </c>
      <c r="D259" s="30" t="str">
        <f>VLOOKUP(Tabel3[[#This Row],[P-nr]],'data Chauffeur'!A:F,3,FALSE)</f>
        <v>Serdar</v>
      </c>
      <c r="E259" s="30" t="str">
        <f>CONCATENATE(Tabel3[[#This Row],[P-nr]]," ",Tabel3[[#This Row],[Naam]]," ",Tabel3[[#This Row],[Voornaam]])</f>
        <v>31550 Cetin Serdar</v>
      </c>
      <c r="F259" s="30" t="str">
        <f>VLOOKUP(Tabel3[[#This Row],[P-nr]],'data Chauffeur'!A:F,6)</f>
        <v>Gent stad</v>
      </c>
      <c r="G259" s="30" t="str">
        <f>VLOOKUP(Tabel3[[#This Row],[P-nr]],'data Chauffeur'!A:F,4,FALSE)</f>
        <v>Dominique De Clercq</v>
      </c>
      <c r="H259" t="str">
        <f>VLOOKUP(Tabel3[[#This Row],[P-nr]],'data Chauffeur'!A:F,5,FALSE)</f>
        <v>ML12</v>
      </c>
      <c r="J259" s="2" t="s">
        <v>32</v>
      </c>
      <c r="K259" t="s">
        <v>137</v>
      </c>
      <c r="L259" s="11">
        <v>46007</v>
      </c>
      <c r="M259"/>
      <c r="N259" t="s">
        <v>166</v>
      </c>
      <c r="O259" t="s">
        <v>140</v>
      </c>
      <c r="P259" t="s">
        <v>69</v>
      </c>
    </row>
    <row r="260" spans="2:16" x14ac:dyDescent="0.3">
      <c r="B260">
        <v>39715</v>
      </c>
      <c r="C260" s="30" t="str">
        <f>VLOOKUP(Tabel3[[#This Row],[P-nr]],'data Chauffeur'!A:F,2,FALSE)</f>
        <v>El Khayat</v>
      </c>
      <c r="D260" s="30" t="str">
        <f>VLOOKUP(Tabel3[[#This Row],[P-nr]],'data Chauffeur'!A:F,3,FALSE)</f>
        <v>Jamal</v>
      </c>
      <c r="E260" s="30" t="str">
        <f>CONCATENATE(Tabel3[[#This Row],[P-nr]]," ",Tabel3[[#This Row],[Naam]]," ",Tabel3[[#This Row],[Voornaam]])</f>
        <v>39715 El Khayat Jamal</v>
      </c>
      <c r="F260" s="30" t="str">
        <f>VLOOKUP(Tabel3[[#This Row],[P-nr]],'data Chauffeur'!A:F,6)</f>
        <v>Gent stad</v>
      </c>
      <c r="G260" s="30" t="str">
        <f>VLOOKUP(Tabel3[[#This Row],[P-nr]],'data Chauffeur'!A:F,4,FALSE)</f>
        <v>Kenneth De Rick</v>
      </c>
      <c r="H260" t="str">
        <f>VLOOKUP(Tabel3[[#This Row],[P-nr]],'data Chauffeur'!A:F,5,FALSE)</f>
        <v>RESF</v>
      </c>
      <c r="J260" s="2" t="s">
        <v>32</v>
      </c>
      <c r="K260" t="s">
        <v>137</v>
      </c>
      <c r="L260" s="11">
        <v>46009</v>
      </c>
      <c r="M260"/>
      <c r="O260" t="s">
        <v>161</v>
      </c>
    </row>
    <row r="261" spans="2:16" x14ac:dyDescent="0.3">
      <c r="B261">
        <v>27153</v>
      </c>
      <c r="C261" s="30" t="str">
        <f>VLOOKUP(Tabel3[[#This Row],[P-nr]],'data Chauffeur'!A:F,2,FALSE)</f>
        <v>Oben</v>
      </c>
      <c r="D261" s="30" t="str">
        <f>VLOOKUP(Tabel3[[#This Row],[P-nr]],'data Chauffeur'!A:F,3,FALSE)</f>
        <v>Thibaud</v>
      </c>
      <c r="E261" s="30" t="str">
        <f>CONCATENATE(Tabel3[[#This Row],[P-nr]]," ",Tabel3[[#This Row],[Naam]]," ",Tabel3[[#This Row],[Voornaam]])</f>
        <v>27153 Oben Thibaud</v>
      </c>
      <c r="F261" s="30" t="str">
        <f>VLOOKUP(Tabel3[[#This Row],[P-nr]],'data Chauffeur'!A:F,6)</f>
        <v>Gent stad</v>
      </c>
      <c r="G261" s="30" t="str">
        <f>VLOOKUP(Tabel3[[#This Row],[P-nr]],'data Chauffeur'!A:F,4,FALSE)</f>
        <v>Christoff Rotty</v>
      </c>
      <c r="H261" t="str">
        <f>VLOOKUP(Tabel3[[#This Row],[P-nr]],'data Chauffeur'!A:F,5,FALSE)</f>
        <v>GW09</v>
      </c>
      <c r="J261" s="2" t="s">
        <v>25</v>
      </c>
      <c r="K261" t="s">
        <v>131</v>
      </c>
      <c r="L261" s="11">
        <v>46000</v>
      </c>
      <c r="M261" t="s">
        <v>103</v>
      </c>
      <c r="O261" t="s">
        <v>164</v>
      </c>
      <c r="P261" t="s">
        <v>69</v>
      </c>
    </row>
    <row r="262" spans="2:16" x14ac:dyDescent="0.3">
      <c r="B262">
        <v>27635</v>
      </c>
      <c r="C262" s="30" t="str">
        <f>VLOOKUP(Tabel3[[#This Row],[P-nr]],'data Chauffeur'!A:F,2,FALSE)</f>
        <v>Petrovic</v>
      </c>
      <c r="D262" s="30" t="str">
        <f>VLOOKUP(Tabel3[[#This Row],[P-nr]],'data Chauffeur'!A:F,3,FALSE)</f>
        <v>Damir</v>
      </c>
      <c r="E262" s="30" t="str">
        <f>CONCATENATE(Tabel3[[#This Row],[P-nr]]," ",Tabel3[[#This Row],[Naam]]," ",Tabel3[[#This Row],[Voornaam]])</f>
        <v>27635 Petrovic Damir</v>
      </c>
      <c r="F262" s="30" t="str">
        <f>VLOOKUP(Tabel3[[#This Row],[P-nr]],'data Chauffeur'!A:F,6)</f>
        <v>Gent stad</v>
      </c>
      <c r="G262" s="30" t="str">
        <f>VLOOKUP(Tabel3[[#This Row],[P-nr]],'data Chauffeur'!A:F,4,FALSE)</f>
        <v>Kenneth De Rick</v>
      </c>
      <c r="H262" t="str">
        <f>VLOOKUP(Tabel3[[#This Row],[P-nr]],'data Chauffeur'!A:F,5,FALSE)</f>
        <v>RESF</v>
      </c>
      <c r="J262" s="2" t="s">
        <v>25</v>
      </c>
      <c r="K262" t="s">
        <v>131</v>
      </c>
      <c r="L262" s="11">
        <v>46000</v>
      </c>
      <c r="M262" t="s">
        <v>103</v>
      </c>
      <c r="O262" t="s">
        <v>164</v>
      </c>
      <c r="P262" t="s">
        <v>69</v>
      </c>
    </row>
    <row r="263" spans="2:16" x14ac:dyDescent="0.3">
      <c r="B263">
        <v>15220</v>
      </c>
      <c r="C263" s="30" t="str">
        <f>VLOOKUP(Tabel3[[#This Row],[P-nr]],'data Chauffeur'!A:F,2,FALSE)</f>
        <v>Dejonghe</v>
      </c>
      <c r="D263" s="30" t="str">
        <f>VLOOKUP(Tabel3[[#This Row],[P-nr]],'data Chauffeur'!A:F,3,FALSE)</f>
        <v>Katleen</v>
      </c>
      <c r="E263" s="30" t="str">
        <f>CONCATENATE(Tabel3[[#This Row],[P-nr]]," ",Tabel3[[#This Row],[Naam]]," ",Tabel3[[#This Row],[Voornaam]])</f>
        <v>15220 Dejonghe Katleen</v>
      </c>
      <c r="F263" s="30" t="e">
        <f>VLOOKUP(Tabel3[[#This Row],[P-nr]],'data Chauffeur'!A:F,6)</f>
        <v>#N/A</v>
      </c>
      <c r="G263" s="30" t="str">
        <f>VLOOKUP(Tabel3[[#This Row],[P-nr]],'data Chauffeur'!A:F,4,FALSE)</f>
        <v>Dominique De Clercq</v>
      </c>
      <c r="H263" t="str">
        <f>VLOOKUP(Tabel3[[#This Row],[P-nr]],'data Chauffeur'!A:F,5,FALSE)</f>
        <v>TD12</v>
      </c>
      <c r="J263" s="2" t="s">
        <v>25</v>
      </c>
      <c r="K263" s="2" t="s">
        <v>131</v>
      </c>
      <c r="L263" s="11">
        <v>46009</v>
      </c>
      <c r="M263" t="s">
        <v>162</v>
      </c>
      <c r="N263" t="s">
        <v>108</v>
      </c>
      <c r="O263" t="s">
        <v>184</v>
      </c>
      <c r="P263" t="s">
        <v>23</v>
      </c>
    </row>
    <row r="264" spans="2:16" x14ac:dyDescent="0.3">
      <c r="B264">
        <v>39267</v>
      </c>
      <c r="C264" s="30" t="str">
        <f>VLOOKUP(Tabel3[[#This Row],[P-nr]],'data Chauffeur'!A:F,2,FALSE)</f>
        <v>Van Holsbeeck</v>
      </c>
      <c r="D264" s="30" t="str">
        <f>VLOOKUP(Tabel3[[#This Row],[P-nr]],'data Chauffeur'!A:F,3,FALSE)</f>
        <v>Jens</v>
      </c>
      <c r="E264" s="30" t="str">
        <f>CONCATENATE(Tabel3[[#This Row],[P-nr]]," ",Tabel3[[#This Row],[Naam]]," ",Tabel3[[#This Row],[Voornaam]])</f>
        <v>39267 Van Holsbeeck Jens</v>
      </c>
      <c r="F264" s="30" t="str">
        <f>VLOOKUP(Tabel3[[#This Row],[P-nr]],'data Chauffeur'!A:F,6)</f>
        <v>Gent stad</v>
      </c>
      <c r="G264" s="30" t="str">
        <f>VLOOKUP(Tabel3[[#This Row],[P-nr]],'data Chauffeur'!A:F,4,FALSE)</f>
        <v>Christoff Rotty</v>
      </c>
      <c r="H264" t="str">
        <f>VLOOKUP(Tabel3[[#This Row],[P-nr]],'data Chauffeur'!A:F,5,FALSE)</f>
        <v>RESF</v>
      </c>
      <c r="J264" s="2" t="s">
        <v>25</v>
      </c>
      <c r="K264" t="s">
        <v>137</v>
      </c>
      <c r="L264" s="11">
        <v>46010</v>
      </c>
      <c r="M264" t="s">
        <v>103</v>
      </c>
      <c r="O264" t="s">
        <v>164</v>
      </c>
      <c r="P264" t="s">
        <v>69</v>
      </c>
    </row>
    <row r="265" spans="2:16" x14ac:dyDescent="0.3">
      <c r="B265" s="54">
        <v>28690</v>
      </c>
      <c r="C265" s="30" t="str">
        <f>VLOOKUP(Tabel3[[#This Row],[P-nr]],'data Chauffeur'!A:F,2,FALSE)</f>
        <v>Debreuckere</v>
      </c>
      <c r="D265" s="30" t="str">
        <f>VLOOKUP(Tabel3[[#This Row],[P-nr]],'data Chauffeur'!A:F,3,FALSE)</f>
        <v>Renzo</v>
      </c>
      <c r="E265" s="30" t="str">
        <f>CONCATENATE(Tabel3[[#This Row],[P-nr]]," ",Tabel3[[#This Row],[Naam]]," ",Tabel3[[#This Row],[Voornaam]])</f>
        <v>28690 Debreuckere Renzo</v>
      </c>
      <c r="F265" s="30" t="str">
        <f>VLOOKUP(Tabel3[[#This Row],[P-nr]],'data Chauffeur'!A:F,6)</f>
        <v>Gent stad</v>
      </c>
      <c r="G265" s="30" t="str">
        <f>VLOOKUP(Tabel3[[#This Row],[P-nr]],'data Chauffeur'!A:F,4,FALSE)</f>
        <v>Els Vanhoe</v>
      </c>
      <c r="H265" t="str">
        <f>VLOOKUP(Tabel3[[#This Row],[P-nr]],'data Chauffeur'!A:F,5,FALSE)</f>
        <v>GW09</v>
      </c>
      <c r="I265" s="8" t="s">
        <v>51</v>
      </c>
      <c r="J265" s="2" t="s">
        <v>32</v>
      </c>
      <c r="K265" t="s">
        <v>52</v>
      </c>
      <c r="L265" s="11">
        <v>46010</v>
      </c>
      <c r="O265" s="57" t="s">
        <v>140</v>
      </c>
    </row>
    <row r="266" spans="2:16" x14ac:dyDescent="0.3">
      <c r="B266" s="54">
        <v>42015</v>
      </c>
      <c r="C266" s="30" t="str">
        <f>VLOOKUP(Tabel3[[#This Row],[P-nr]],'data Chauffeur'!A:F,2,FALSE)</f>
        <v>Crop</v>
      </c>
      <c r="D266" s="30" t="str">
        <f>VLOOKUP(Tabel3[[#This Row],[P-nr]],'data Chauffeur'!A:F,3,FALSE)</f>
        <v>Alexander</v>
      </c>
      <c r="E266" s="30" t="str">
        <f>CONCATENATE(Tabel3[[#This Row],[P-nr]]," ",Tabel3[[#This Row],[Naam]]," ",Tabel3[[#This Row],[Voornaam]])</f>
        <v>42015 Crop Alexander</v>
      </c>
      <c r="F266" s="30" t="str">
        <f>VLOOKUP(Tabel3[[#This Row],[P-nr]],'data Chauffeur'!A:F,6)</f>
        <v>Gent stad</v>
      </c>
      <c r="G266" s="30" t="str">
        <f>VLOOKUP(Tabel3[[#This Row],[P-nr]],'data Chauffeur'!A:F,4,FALSE)</f>
        <v>Els Vanhoe</v>
      </c>
      <c r="H266" t="str">
        <f>VLOOKUP(Tabel3[[#This Row],[P-nr]],'data Chauffeur'!A:F,5,FALSE)</f>
        <v>RESF</v>
      </c>
      <c r="I266" s="8" t="s">
        <v>51</v>
      </c>
      <c r="J266" s="2" t="s">
        <v>32</v>
      </c>
      <c r="K266" t="s">
        <v>52</v>
      </c>
      <c r="L266" s="11">
        <v>46013</v>
      </c>
      <c r="O266" s="57" t="s">
        <v>140</v>
      </c>
    </row>
    <row r="267" spans="2:16" x14ac:dyDescent="0.3">
      <c r="B267" s="52">
        <v>41821</v>
      </c>
      <c r="C267" s="30" t="str">
        <f>VLOOKUP(Tabel3[[#This Row],[P-nr]],'data Chauffeur'!A:F,2,FALSE)</f>
        <v>Kasmi</v>
      </c>
      <c r="D267" s="30" t="str">
        <f>VLOOKUP(Tabel3[[#This Row],[P-nr]],'data Chauffeur'!A:F,3,FALSE)</f>
        <v>Abdesamad</v>
      </c>
      <c r="E267" s="30" t="str">
        <f>CONCATENATE(Tabel3[[#This Row],[P-nr]]," ",Tabel3[[#This Row],[Naam]]," ",Tabel3[[#This Row],[Voornaam]])</f>
        <v>41821 Kasmi Abdesamad</v>
      </c>
      <c r="F267" s="30" t="str">
        <f>VLOOKUP(Tabel3[[#This Row],[P-nr]],'data Chauffeur'!A:F,6)</f>
        <v>Gent stad</v>
      </c>
      <c r="G267" s="30" t="str">
        <f>VLOOKUP(Tabel3[[#This Row],[P-nr]],'data Chauffeur'!A:F,4,FALSE)</f>
        <v>Christoff Rotty</v>
      </c>
      <c r="H267" t="str">
        <f>VLOOKUP(Tabel3[[#This Row],[P-nr]],'data Chauffeur'!A:F,5,FALSE)</f>
        <v>RESF</v>
      </c>
      <c r="I267" s="8" t="s">
        <v>51</v>
      </c>
      <c r="J267" s="2" t="s">
        <v>32</v>
      </c>
      <c r="K267" t="s">
        <v>52</v>
      </c>
      <c r="L267" s="11">
        <v>46013</v>
      </c>
      <c r="O267" s="57" t="s">
        <v>140</v>
      </c>
    </row>
    <row r="268" spans="2:16" x14ac:dyDescent="0.3">
      <c r="B268" s="48">
        <v>39014</v>
      </c>
      <c r="C268" s="30" t="str">
        <f>VLOOKUP(Tabel3[[#This Row],[P-nr]],'data Chauffeur'!A:F,2,FALSE)</f>
        <v>Genbrugge</v>
      </c>
      <c r="D268" s="30" t="str">
        <f>VLOOKUP(Tabel3[[#This Row],[P-nr]],'data Chauffeur'!A:F,3,FALSE)</f>
        <v>Kyllian</v>
      </c>
      <c r="E268" s="30" t="str">
        <f>CONCATENATE(Tabel3[[#This Row],[P-nr]]," ",Tabel3[[#This Row],[Naam]]," ",Tabel3[[#This Row],[Voornaam]])</f>
        <v>39014 Genbrugge Kyllian</v>
      </c>
      <c r="F268" s="30" t="str">
        <f>VLOOKUP(Tabel3[[#This Row],[P-nr]],'data Chauffeur'!A:F,6)</f>
        <v>Gent stad</v>
      </c>
      <c r="G268" s="30" t="str">
        <f>VLOOKUP(Tabel3[[#This Row],[P-nr]],'data Chauffeur'!A:F,4,FALSE)</f>
        <v>Bart Van Der Beken</v>
      </c>
      <c r="H268" t="str">
        <f>VLOOKUP(Tabel3[[#This Row],[P-nr]],'data Chauffeur'!A:F,5,FALSE)</f>
        <v>BR15</v>
      </c>
      <c r="I268" s="8" t="s">
        <v>51</v>
      </c>
      <c r="J268" s="8" t="s">
        <v>32</v>
      </c>
      <c r="K268" s="30" t="s">
        <v>52</v>
      </c>
      <c r="L268" s="37">
        <v>46014</v>
      </c>
      <c r="O268" s="57" t="s">
        <v>140</v>
      </c>
    </row>
    <row r="269" spans="2:16" s="8" customFormat="1" ht="28.8" x14ac:dyDescent="0.3">
      <c r="B269" s="8">
        <v>45736</v>
      </c>
      <c r="C269" s="30" t="e">
        <f>VLOOKUP(Tabel3[[#This Row],[P-nr]],'data Chauffeur'!A:F,2,FALSE)</f>
        <v>#N/A</v>
      </c>
      <c r="D269" s="30" t="e">
        <f>VLOOKUP(Tabel3[[#This Row],[P-nr]],'data Chauffeur'!A:F,3,FALSE)</f>
        <v>#N/A</v>
      </c>
      <c r="E269" s="30" t="e">
        <f>CONCATENATE(Tabel3[[#This Row],[P-nr]]," ",Tabel3[[#This Row],[Naam]]," ",Tabel3[[#This Row],[Voornaam]])</f>
        <v>#N/A</v>
      </c>
      <c r="F269" s="30" t="str">
        <f>VLOOKUP(Tabel3[[#This Row],[P-nr]],'data Chauffeur'!A:F,6)</f>
        <v>Gent stad</v>
      </c>
      <c r="G269" s="30" t="e">
        <f>VLOOKUP(Tabel3[[#This Row],[P-nr]],'data Chauffeur'!A:F,4,FALSE)</f>
        <v>#N/A</v>
      </c>
      <c r="H269" t="e">
        <f>VLOOKUP(Tabel3[[#This Row],[P-nr]],'data Chauffeur'!A:F,5,FALSE)</f>
        <v>#N/A</v>
      </c>
      <c r="I269" s="8" t="s">
        <v>196</v>
      </c>
      <c r="J269" s="8" t="s">
        <v>36</v>
      </c>
      <c r="K269" s="46" t="s">
        <v>32</v>
      </c>
      <c r="L269" s="55" t="s">
        <v>52</v>
      </c>
      <c r="M269" s="46">
        <v>46014</v>
      </c>
      <c r="O269" s="57" t="s">
        <v>140</v>
      </c>
    </row>
    <row r="270" spans="2:16" x14ac:dyDescent="0.3">
      <c r="B270">
        <v>39901</v>
      </c>
      <c r="C270" s="30" t="str">
        <f>VLOOKUP(Tabel3[[#This Row],[P-nr]],'data Chauffeur'!A:F,2,FALSE)</f>
        <v>Basha</v>
      </c>
      <c r="D270" s="30" t="str">
        <f>VLOOKUP(Tabel3[[#This Row],[P-nr]],'data Chauffeur'!A:F,3,FALSE)</f>
        <v>Izmir</v>
      </c>
      <c r="E270" s="30" t="str">
        <f>CONCATENATE(Tabel3[[#This Row],[P-nr]]," ",Tabel3[[#This Row],[Naam]]," ",Tabel3[[#This Row],[Voornaam]])</f>
        <v>39901 Basha Izmir</v>
      </c>
      <c r="F270" s="30" t="str">
        <f>VLOOKUP(Tabel3[[#This Row],[P-nr]],'data Chauffeur'!A:F,6)</f>
        <v>Gent stad</v>
      </c>
      <c r="G270" s="30" t="str">
        <f>VLOOKUP(Tabel3[[#This Row],[P-nr]],'data Chauffeur'!A:F,4,FALSE)</f>
        <v>Christoff Rotty</v>
      </c>
      <c r="H270" t="str">
        <f>VLOOKUP(Tabel3[[#This Row],[P-nr]],'data Chauffeur'!A:F,5,FALSE)</f>
        <v>RESF</v>
      </c>
      <c r="I270" s="8" t="s">
        <v>51</v>
      </c>
      <c r="J270" s="2" t="s">
        <v>32</v>
      </c>
      <c r="K270" t="s">
        <v>52</v>
      </c>
      <c r="L270" s="11">
        <v>46029</v>
      </c>
      <c r="O270" s="57" t="s">
        <v>140</v>
      </c>
    </row>
    <row r="271" spans="2:16" x14ac:dyDescent="0.3">
      <c r="B271">
        <v>40444</v>
      </c>
      <c r="C271" s="30" t="str">
        <f>VLOOKUP(Tabel3[[#This Row],[P-nr]],'data Chauffeur'!A:F,2,FALSE)</f>
        <v>Van Damme</v>
      </c>
      <c r="D271" s="30" t="str">
        <f>VLOOKUP(Tabel3[[#This Row],[P-nr]],'data Chauffeur'!A:F,3,FALSE)</f>
        <v>Glenn</v>
      </c>
      <c r="E271" s="30" t="str">
        <f>CONCATENATE(Tabel3[[#This Row],[P-nr]]," ",Tabel3[[#This Row],[Naam]]," ",Tabel3[[#This Row],[Voornaam]])</f>
        <v>40444 Van Damme Glenn</v>
      </c>
      <c r="F271" s="30" t="str">
        <f>VLOOKUP(Tabel3[[#This Row],[P-nr]],'data Chauffeur'!A:F,6)</f>
        <v>Gent stad</v>
      </c>
      <c r="G271" s="30" t="str">
        <f>VLOOKUP(Tabel3[[#This Row],[P-nr]],'data Chauffeur'!A:F,4,FALSE)</f>
        <v>Els Dewulf</v>
      </c>
      <c r="H271" t="str">
        <f>VLOOKUP(Tabel3[[#This Row],[P-nr]],'data Chauffeur'!A:F,5,FALSE)</f>
        <v>RESF</v>
      </c>
      <c r="I271" s="8" t="s">
        <v>51</v>
      </c>
      <c r="J271" s="2" t="s">
        <v>32</v>
      </c>
      <c r="K271" t="s">
        <v>47</v>
      </c>
      <c r="L271" s="11">
        <v>46029</v>
      </c>
      <c r="O271" s="57" t="s">
        <v>140</v>
      </c>
    </row>
    <row r="272" spans="2:16" x14ac:dyDescent="0.3">
      <c r="B272" s="56">
        <v>39014</v>
      </c>
      <c r="C272" s="30" t="str">
        <f>VLOOKUP(Tabel3[[#This Row],[P-nr]],'data Chauffeur'!A:F,2,FALSE)</f>
        <v>Genbrugge</v>
      </c>
      <c r="D272" s="30" t="str">
        <f>VLOOKUP(Tabel3[[#This Row],[P-nr]],'data Chauffeur'!A:F,3,FALSE)</f>
        <v>Kyllian</v>
      </c>
      <c r="E272" s="30" t="str">
        <f>CONCATENATE(Tabel3[[#This Row],[P-nr]]," ",Tabel3[[#This Row],[Naam]]," ",Tabel3[[#This Row],[Voornaam]])</f>
        <v>39014 Genbrugge Kyllian</v>
      </c>
      <c r="F272" s="30" t="str">
        <f>VLOOKUP(Tabel3[[#This Row],[P-nr]],'data Chauffeur'!A:F,6)</f>
        <v>Gent stad</v>
      </c>
      <c r="G272" s="30" t="str">
        <f>VLOOKUP(Tabel3[[#This Row],[P-nr]],'data Chauffeur'!A:F,4,FALSE)</f>
        <v>Bart Van Der Beken</v>
      </c>
      <c r="H272" t="str">
        <f>VLOOKUP(Tabel3[[#This Row],[P-nr]],'data Chauffeur'!A:F,5,FALSE)</f>
        <v>BR15</v>
      </c>
      <c r="I272" s="8" t="s">
        <v>51</v>
      </c>
      <c r="J272" s="2" t="s">
        <v>32</v>
      </c>
      <c r="K272" t="s">
        <v>52</v>
      </c>
      <c r="L272" s="11">
        <v>46029</v>
      </c>
      <c r="O272" s="57" t="s">
        <v>140</v>
      </c>
    </row>
    <row r="273" spans="2:16" x14ac:dyDescent="0.3">
      <c r="B273">
        <v>40058</v>
      </c>
      <c r="C273" s="30" t="str">
        <f>VLOOKUP(Tabel3[[#This Row],[P-nr]],'data Chauffeur'!A:F,2,FALSE)</f>
        <v>Sögüt</v>
      </c>
      <c r="D273" s="30" t="str">
        <f>VLOOKUP(Tabel3[[#This Row],[P-nr]],'data Chauffeur'!A:F,3,FALSE)</f>
        <v>Can</v>
      </c>
      <c r="E273" s="30" t="str">
        <f>CONCATENATE(Tabel3[[#This Row],[P-nr]]," ",Tabel3[[#This Row],[Naam]]," ",Tabel3[[#This Row],[Voornaam]])</f>
        <v>40058 Sögüt Can</v>
      </c>
      <c r="F273" s="30" t="str">
        <f>VLOOKUP(Tabel3[[#This Row],[P-nr]],'data Chauffeur'!A:F,6)</f>
        <v>Gent stad</v>
      </c>
      <c r="G273" s="30" t="str">
        <f>VLOOKUP(Tabel3[[#This Row],[P-nr]],'data Chauffeur'!A:F,4,FALSE)</f>
        <v>Christoff Rotty</v>
      </c>
      <c r="H273" t="str">
        <f>VLOOKUP(Tabel3[[#This Row],[P-nr]],'data Chauffeur'!A:F,5,FALSE)</f>
        <v>RESF</v>
      </c>
      <c r="I273" s="8" t="s">
        <v>46</v>
      </c>
      <c r="J273" s="2" t="s">
        <v>32</v>
      </c>
      <c r="K273" t="s">
        <v>47</v>
      </c>
      <c r="L273" s="11">
        <v>46029</v>
      </c>
      <c r="O273" s="57" t="s">
        <v>140</v>
      </c>
    </row>
    <row r="274" spans="2:16" x14ac:dyDescent="0.3">
      <c r="B274">
        <v>15218</v>
      </c>
      <c r="C274" s="30" t="str">
        <f>VLOOKUP(Tabel3[[#This Row],[P-nr]],'data Chauffeur'!A:F,2,FALSE)</f>
        <v>Ackermans</v>
      </c>
      <c r="D274" s="30" t="str">
        <f>VLOOKUP(Tabel3[[#This Row],[P-nr]],'data Chauffeur'!A:F,3,FALSE)</f>
        <v>Christian</v>
      </c>
      <c r="E274" s="30" t="str">
        <f>CONCATENATE(Tabel3[[#This Row],[P-nr]]," ",Tabel3[[#This Row],[Naam]]," ",Tabel3[[#This Row],[Voornaam]])</f>
        <v>15218 Ackermans Christian</v>
      </c>
      <c r="F274" s="30" t="e">
        <f>VLOOKUP(Tabel3[[#This Row],[P-nr]],'data Chauffeur'!A:F,6)</f>
        <v>#N/A</v>
      </c>
      <c r="G274" s="30" t="str">
        <f>VLOOKUP(Tabel3[[#This Row],[P-nr]],'data Chauffeur'!A:F,4,FALSE)</f>
        <v>Els Vanhoe</v>
      </c>
      <c r="H274" t="str">
        <f>VLOOKUP(Tabel3[[#This Row],[P-nr]],'data Chauffeur'!A:F,5,FALSE)</f>
        <v>BD12</v>
      </c>
      <c r="I274" s="8" t="s">
        <v>51</v>
      </c>
      <c r="J274" s="2" t="s">
        <v>32</v>
      </c>
      <c r="K274" t="s">
        <v>52</v>
      </c>
      <c r="L274" s="11">
        <v>46030</v>
      </c>
      <c r="O274" s="57" t="s">
        <v>140</v>
      </c>
    </row>
    <row r="275" spans="2:16" x14ac:dyDescent="0.3">
      <c r="B275">
        <v>15282</v>
      </c>
      <c r="C275" s="30" t="str">
        <f>VLOOKUP(Tabel3[[#This Row],[P-nr]],'data Chauffeur'!A:F,2,FALSE)</f>
        <v>Marinx</v>
      </c>
      <c r="D275" s="30" t="str">
        <f>VLOOKUP(Tabel3[[#This Row],[P-nr]],'data Chauffeur'!A:F,3,FALSE)</f>
        <v>Kristoff</v>
      </c>
      <c r="E275" s="30" t="str">
        <f>CONCATENATE(Tabel3[[#This Row],[P-nr]]," ",Tabel3[[#This Row],[Naam]]," ",Tabel3[[#This Row],[Voornaam]])</f>
        <v>15282 Marinx Kristoff</v>
      </c>
      <c r="F275" s="30" t="e">
        <f>VLOOKUP(Tabel3[[#This Row],[P-nr]],'data Chauffeur'!A:F,6)</f>
        <v>#N/A</v>
      </c>
      <c r="G275" s="30" t="str">
        <f>VLOOKUP(Tabel3[[#This Row],[P-nr]],'data Chauffeur'!A:F,4,FALSE)</f>
        <v>Kenneth De Rick</v>
      </c>
      <c r="H275" t="str">
        <f>VLOOKUP(Tabel3[[#This Row],[P-nr]],'data Chauffeur'!A:F,5,FALSE)</f>
        <v>M15</v>
      </c>
      <c r="J275" s="2"/>
      <c r="K275" t="s">
        <v>101</v>
      </c>
      <c r="L275" s="11">
        <v>46030</v>
      </c>
      <c r="O275" s="57" t="s">
        <v>140</v>
      </c>
    </row>
    <row r="276" spans="2:16" x14ac:dyDescent="0.3">
      <c r="B276" s="56">
        <v>40443</v>
      </c>
      <c r="C276" s="30" t="str">
        <f>VLOOKUP(Tabel3[[#This Row],[P-nr]],'data Chauffeur'!A:F,2,FALSE)</f>
        <v>Fakash</v>
      </c>
      <c r="D276" s="30" t="str">
        <f>VLOOKUP(Tabel3[[#This Row],[P-nr]],'data Chauffeur'!A:F,3,FALSE)</f>
        <v>Mahmoud</v>
      </c>
      <c r="E276" s="30" t="str">
        <f>CONCATENATE(Tabel3[[#This Row],[P-nr]]," ",Tabel3[[#This Row],[Naam]]," ",Tabel3[[#This Row],[Voornaam]])</f>
        <v>40443 Fakash Mahmoud</v>
      </c>
      <c r="F276" s="30" t="str">
        <f>VLOOKUP(Tabel3[[#This Row],[P-nr]],'data Chauffeur'!A:F,6)</f>
        <v>Gent stad</v>
      </c>
      <c r="G276" s="30" t="str">
        <f>VLOOKUP(Tabel3[[#This Row],[P-nr]],'data Chauffeur'!A:F,4,FALSE)</f>
        <v>Bart Van Der Beken</v>
      </c>
      <c r="H276" t="str">
        <f>VLOOKUP(Tabel3[[#This Row],[P-nr]],'data Chauffeur'!A:F,5,FALSE)</f>
        <v>RESF</v>
      </c>
      <c r="J276" s="2"/>
      <c r="K276" t="s">
        <v>101</v>
      </c>
      <c r="L276" s="11">
        <v>46030</v>
      </c>
      <c r="O276" s="57" t="s">
        <v>140</v>
      </c>
    </row>
    <row r="277" spans="2:16" x14ac:dyDescent="0.3">
      <c r="B277">
        <v>33986</v>
      </c>
      <c r="C277" s="30" t="str">
        <f>VLOOKUP(Tabel3[[#This Row],[P-nr]],'data Chauffeur'!A:F,2,FALSE)</f>
        <v>Göktas</v>
      </c>
      <c r="D277" s="30" t="str">
        <f>VLOOKUP(Tabel3[[#This Row],[P-nr]],'data Chauffeur'!A:F,3,FALSE)</f>
        <v>Muharrem</v>
      </c>
      <c r="E277" s="30" t="str">
        <f>CONCATENATE(Tabel3[[#This Row],[P-nr]]," ",Tabel3[[#This Row],[Naam]]," ",Tabel3[[#This Row],[Voornaam]])</f>
        <v>33986 Göktas Muharrem</v>
      </c>
      <c r="F277" s="30" t="str">
        <f>VLOOKUP(Tabel3[[#This Row],[P-nr]],'data Chauffeur'!A:F,6)</f>
        <v>Gent stad</v>
      </c>
      <c r="G277" s="30" t="str">
        <f>VLOOKUP(Tabel3[[#This Row],[P-nr]],'data Chauffeur'!A:F,4,FALSE)</f>
        <v>Kenneth De Rick</v>
      </c>
      <c r="H277" t="str">
        <f>VLOOKUP(Tabel3[[#This Row],[P-nr]],'data Chauffeur'!A:F,5,FALSE)</f>
        <v>GW10</v>
      </c>
      <c r="I277" s="8" t="s">
        <v>40</v>
      </c>
      <c r="J277" s="2" t="s">
        <v>32</v>
      </c>
      <c r="K277" t="s">
        <v>52</v>
      </c>
      <c r="L277" s="11">
        <v>46030</v>
      </c>
      <c r="O277" s="57" t="s">
        <v>140</v>
      </c>
    </row>
    <row r="278" spans="2:16" x14ac:dyDescent="0.3">
      <c r="B278">
        <v>31659</v>
      </c>
      <c r="C278" s="30" t="str">
        <f>VLOOKUP(Tabel3[[#This Row],[P-nr]],'data Chauffeur'!A:F,2,FALSE)</f>
        <v>Grypdonck</v>
      </c>
      <c r="D278" s="30" t="str">
        <f>VLOOKUP(Tabel3[[#This Row],[P-nr]],'data Chauffeur'!A:F,3,FALSE)</f>
        <v>Kenneth</v>
      </c>
      <c r="E278" s="30" t="str">
        <f>CONCATENATE(Tabel3[[#This Row],[P-nr]]," ",Tabel3[[#This Row],[Naam]]," ",Tabel3[[#This Row],[Voornaam]])</f>
        <v>31659 Grypdonck Kenneth</v>
      </c>
      <c r="F278" s="30" t="str">
        <f>VLOOKUP(Tabel3[[#This Row],[P-nr]],'data Chauffeur'!A:F,6)</f>
        <v>Gent stad</v>
      </c>
      <c r="G278" s="30" t="str">
        <f>VLOOKUP(Tabel3[[#This Row],[P-nr]],'data Chauffeur'!A:F,4,FALSE)</f>
        <v>Bart Van Der Beken</v>
      </c>
      <c r="H278" t="str">
        <f>VLOOKUP(Tabel3[[#This Row],[P-nr]],'data Chauffeur'!A:F,5,FALSE)</f>
        <v>TO15</v>
      </c>
      <c r="J278" s="2"/>
      <c r="K278" t="s">
        <v>137</v>
      </c>
      <c r="L278" s="11">
        <v>46035</v>
      </c>
      <c r="M278" t="s">
        <v>103</v>
      </c>
      <c r="O278" t="s">
        <v>161</v>
      </c>
      <c r="P278" t="s">
        <v>69</v>
      </c>
    </row>
    <row r="279" spans="2:16" x14ac:dyDescent="0.3">
      <c r="B279">
        <v>34445</v>
      </c>
      <c r="C279" s="30" t="str">
        <f>VLOOKUP(Tabel3[[#This Row],[P-nr]],'data Chauffeur'!A:F,2,FALSE)</f>
        <v>Wulleput</v>
      </c>
      <c r="D279" s="30" t="str">
        <f>VLOOKUP(Tabel3[[#This Row],[P-nr]],'data Chauffeur'!A:F,3,FALSE)</f>
        <v>Illya</v>
      </c>
      <c r="E279" s="30" t="str">
        <f>CONCATENATE(Tabel3[[#This Row],[P-nr]]," ",Tabel3[[#This Row],[Naam]]," ",Tabel3[[#This Row],[Voornaam]])</f>
        <v>34445 Wulleput Illya</v>
      </c>
      <c r="F279" s="30" t="str">
        <f>VLOOKUP(Tabel3[[#This Row],[P-nr]],'data Chauffeur'!A:F,6)</f>
        <v>Gent stad</v>
      </c>
      <c r="G279" s="30" t="str">
        <f>VLOOKUP(Tabel3[[#This Row],[P-nr]],'data Chauffeur'!A:F,4,FALSE)</f>
        <v>Dominique De Clercq</v>
      </c>
      <c r="H279" t="str">
        <f>VLOOKUP(Tabel3[[#This Row],[P-nr]],'data Chauffeur'!A:F,5,FALSE)</f>
        <v>TO15</v>
      </c>
      <c r="J279" s="2"/>
      <c r="K279" t="s">
        <v>137</v>
      </c>
      <c r="L279" s="11">
        <v>46035</v>
      </c>
      <c r="M279" t="s">
        <v>103</v>
      </c>
      <c r="O279" t="s">
        <v>161</v>
      </c>
      <c r="P279" t="s">
        <v>69</v>
      </c>
    </row>
    <row r="280" spans="2:16" x14ac:dyDescent="0.3">
      <c r="B280">
        <v>35379</v>
      </c>
      <c r="C280" s="30" t="str">
        <f>VLOOKUP(Tabel3[[#This Row],[P-nr]],'data Chauffeur'!A:F,2,FALSE)</f>
        <v>Engels</v>
      </c>
      <c r="D280" s="30" t="str">
        <f>VLOOKUP(Tabel3[[#This Row],[P-nr]],'data Chauffeur'!A:F,3,FALSE)</f>
        <v>Sam</v>
      </c>
      <c r="E280" s="30" t="str">
        <f>CONCATENATE(Tabel3[[#This Row],[P-nr]]," ",Tabel3[[#This Row],[Naam]]," ",Tabel3[[#This Row],[Voornaam]])</f>
        <v>35379 Engels Sam</v>
      </c>
      <c r="F280" s="30" t="str">
        <f>VLOOKUP(Tabel3[[#This Row],[P-nr]],'data Chauffeur'!A:F,6)</f>
        <v>Gent stad</v>
      </c>
      <c r="G280" s="30" t="str">
        <f>VLOOKUP(Tabel3[[#This Row],[P-nr]],'data Chauffeur'!A:F,4,FALSE)</f>
        <v>Els Vanhoe</v>
      </c>
      <c r="H280" t="str">
        <f>VLOOKUP(Tabel3[[#This Row],[P-nr]],'data Chauffeur'!A:F,5,FALSE)</f>
        <v>BR15</v>
      </c>
      <c r="J280" s="2"/>
      <c r="K280" t="s">
        <v>137</v>
      </c>
      <c r="L280" s="11">
        <v>46035</v>
      </c>
      <c r="M280" t="s">
        <v>103</v>
      </c>
      <c r="O280" t="s">
        <v>161</v>
      </c>
      <c r="P280" t="s">
        <v>69</v>
      </c>
    </row>
    <row r="281" spans="2:16" x14ac:dyDescent="0.3">
      <c r="B281">
        <v>41821</v>
      </c>
      <c r="C281" s="30" t="str">
        <f>VLOOKUP(Tabel3[[#This Row],[P-nr]],'data Chauffeur'!A:F,2,FALSE)</f>
        <v>Kasmi</v>
      </c>
      <c r="D281" s="30" t="str">
        <f>VLOOKUP(Tabel3[[#This Row],[P-nr]],'data Chauffeur'!A:F,3,FALSE)</f>
        <v>Abdesamad</v>
      </c>
      <c r="E281" s="30" t="str">
        <f>CONCATENATE(Tabel3[[#This Row],[P-nr]]," ",Tabel3[[#This Row],[Naam]]," ",Tabel3[[#This Row],[Voornaam]])</f>
        <v>41821 Kasmi Abdesamad</v>
      </c>
      <c r="F281" s="30" t="str">
        <f>VLOOKUP(Tabel3[[#This Row],[P-nr]],'data Chauffeur'!A:F,6)</f>
        <v>Gent stad</v>
      </c>
      <c r="G281" s="30" t="str">
        <f>VLOOKUP(Tabel3[[#This Row],[P-nr]],'data Chauffeur'!A:F,4,FALSE)</f>
        <v>Christoff Rotty</v>
      </c>
      <c r="H281" t="str">
        <f>VLOOKUP(Tabel3[[#This Row],[P-nr]],'data Chauffeur'!A:F,5,FALSE)</f>
        <v>RESF</v>
      </c>
      <c r="J281" s="2"/>
      <c r="K281" t="s">
        <v>137</v>
      </c>
      <c r="L281" s="11">
        <v>46035</v>
      </c>
      <c r="M281" t="s">
        <v>103</v>
      </c>
      <c r="O281" t="s">
        <v>161</v>
      </c>
      <c r="P281" t="s">
        <v>69</v>
      </c>
    </row>
    <row r="282" spans="2:16" x14ac:dyDescent="0.3">
      <c r="B282">
        <v>42120</v>
      </c>
      <c r="C282" s="30" t="str">
        <f>VLOOKUP(Tabel3[[#This Row],[P-nr]],'data Chauffeur'!A:F,2,FALSE)</f>
        <v>De Bruycker</v>
      </c>
      <c r="D282" s="30" t="str">
        <f>VLOOKUP(Tabel3[[#This Row],[P-nr]],'data Chauffeur'!A:F,3,FALSE)</f>
        <v>Dylan</v>
      </c>
      <c r="E282" s="30" t="str">
        <f>CONCATENATE(Tabel3[[#This Row],[P-nr]]," ",Tabel3[[#This Row],[Naam]]," ",Tabel3[[#This Row],[Voornaam]])</f>
        <v>42120 De Bruycker Dylan</v>
      </c>
      <c r="F282" s="30" t="str">
        <f>VLOOKUP(Tabel3[[#This Row],[P-nr]],'data Chauffeur'!A:F,6)</f>
        <v>Gent stad</v>
      </c>
      <c r="G282" s="30" t="str">
        <f>VLOOKUP(Tabel3[[#This Row],[P-nr]],'data Chauffeur'!A:F,4,FALSE)</f>
        <v>Kenneth De Rick</v>
      </c>
      <c r="H282" t="str">
        <f>VLOOKUP(Tabel3[[#This Row],[P-nr]],'data Chauffeur'!A:F,5,FALSE)</f>
        <v>RESF</v>
      </c>
      <c r="I282" s="8" t="s">
        <v>1193</v>
      </c>
      <c r="J282" s="2" t="s">
        <v>32</v>
      </c>
      <c r="M282"/>
      <c r="O282" s="57" t="s">
        <v>140</v>
      </c>
    </row>
    <row r="283" spans="2:16" x14ac:dyDescent="0.3">
      <c r="B283">
        <v>13088</v>
      </c>
      <c r="C283" s="30" t="str">
        <f>VLOOKUP(Tabel3[[#This Row],[P-nr]],'data Chauffeur'!A:F,2,FALSE)</f>
        <v>De Geyter</v>
      </c>
      <c r="D283" s="30" t="str">
        <f>VLOOKUP(Tabel3[[#This Row],[P-nr]],'data Chauffeur'!A:F,3,FALSE)</f>
        <v>Claudine</v>
      </c>
      <c r="E283" s="30" t="str">
        <f>CONCATENATE(Tabel3[[#This Row],[P-nr]]," ",Tabel3[[#This Row],[Naam]]," ",Tabel3[[#This Row],[Voornaam]])</f>
        <v>13088 De Geyter Claudine</v>
      </c>
      <c r="F283" s="30" t="e">
        <f>VLOOKUP(Tabel3[[#This Row],[P-nr]],'data Chauffeur'!A:F,6)</f>
        <v>#N/A</v>
      </c>
      <c r="G283" s="30" t="str">
        <f>VLOOKUP(Tabel3[[#This Row],[P-nr]],'data Chauffeur'!A:F,4,FALSE)</f>
        <v>Dominique De Clercq</v>
      </c>
      <c r="H283" t="str">
        <f>VLOOKUP(Tabel3[[#This Row],[P-nr]],'data Chauffeur'!A:F,5,FALSE)</f>
        <v>TD12</v>
      </c>
      <c r="I283" s="8" t="s">
        <v>128</v>
      </c>
      <c r="J283" s="2" t="s">
        <v>32</v>
      </c>
      <c r="K283" t="s">
        <v>178</v>
      </c>
      <c r="L283" s="11">
        <v>46036</v>
      </c>
      <c r="M283" t="s">
        <v>103</v>
      </c>
      <c r="O283" t="s">
        <v>161</v>
      </c>
      <c r="P283" t="s">
        <v>69</v>
      </c>
    </row>
    <row r="284" spans="2:16" x14ac:dyDescent="0.3">
      <c r="B284">
        <v>5813</v>
      </c>
      <c r="C284" s="30" t="str">
        <f>VLOOKUP(Tabel3[[#This Row],[P-nr]],'data Chauffeur'!A:F,2,FALSE)</f>
        <v>Binard</v>
      </c>
      <c r="D284" s="30" t="str">
        <f>VLOOKUP(Tabel3[[#This Row],[P-nr]],'data Chauffeur'!A:F,3,FALSE)</f>
        <v>Sabine</v>
      </c>
      <c r="E284" s="30" t="str">
        <f>CONCATENATE(Tabel3[[#This Row],[P-nr]]," ",Tabel3[[#This Row],[Naam]]," ",Tabel3[[#This Row],[Voornaam]])</f>
        <v>5813 Binard Sabine</v>
      </c>
      <c r="F284" s="30" t="e">
        <f>VLOOKUP(Tabel3[[#This Row],[P-nr]],'data Chauffeur'!A:F,6)</f>
        <v>#N/A</v>
      </c>
      <c r="G284" s="30" t="str">
        <f>VLOOKUP(Tabel3[[#This Row],[P-nr]],'data Chauffeur'!A:F,4,FALSE)</f>
        <v>Lucie Vande Velde</v>
      </c>
      <c r="H284" t="str">
        <f>VLOOKUP(Tabel3[[#This Row],[P-nr]],'data Chauffeur'!A:F,5,FALSE)</f>
        <v>TV12</v>
      </c>
      <c r="I284" s="8" t="s">
        <v>128</v>
      </c>
      <c r="J284" s="2" t="s">
        <v>25</v>
      </c>
      <c r="K284" t="s">
        <v>178</v>
      </c>
      <c r="L284" s="11">
        <v>46036</v>
      </c>
      <c r="M284" t="s">
        <v>103</v>
      </c>
      <c r="O284" t="s">
        <v>161</v>
      </c>
      <c r="P284" t="s">
        <v>69</v>
      </c>
    </row>
    <row r="285" spans="2:16" x14ac:dyDescent="0.3">
      <c r="B285">
        <v>23924</v>
      </c>
      <c r="C285" s="30" t="str">
        <f>VLOOKUP(Tabel3[[#This Row],[P-nr]],'data Chauffeur'!A:F,2,FALSE)</f>
        <v>Planckaert</v>
      </c>
      <c r="D285" s="30" t="str">
        <f>VLOOKUP(Tabel3[[#This Row],[P-nr]],'data Chauffeur'!A:F,3,FALSE)</f>
        <v>Jurgen</v>
      </c>
      <c r="E285" s="30" t="str">
        <f>CONCATENATE(Tabel3[[#This Row],[P-nr]]," ",Tabel3[[#This Row],[Naam]]," ",Tabel3[[#This Row],[Voornaam]])</f>
        <v>23924 Planckaert Jurgen</v>
      </c>
      <c r="F285" s="30" t="str">
        <f>VLOOKUP(Tabel3[[#This Row],[P-nr]],'data Chauffeur'!A:F,6)</f>
        <v>Gent stad</v>
      </c>
      <c r="G285" s="30" t="str">
        <f>VLOOKUP(Tabel3[[#This Row],[P-nr]],'data Chauffeur'!A:F,4,FALSE)</f>
        <v>Christoff Rotty</v>
      </c>
      <c r="H285" t="str">
        <f>VLOOKUP(Tabel3[[#This Row],[P-nr]],'data Chauffeur'!A:F,5,FALSE)</f>
        <v>TW24</v>
      </c>
      <c r="I285" s="8" t="s">
        <v>128</v>
      </c>
      <c r="J285" s="2" t="s">
        <v>25</v>
      </c>
      <c r="K285" t="s">
        <v>178</v>
      </c>
      <c r="L285" s="11">
        <v>46036</v>
      </c>
      <c r="M285" t="s">
        <v>103</v>
      </c>
      <c r="O285" t="s">
        <v>161</v>
      </c>
      <c r="P285" t="s">
        <v>69</v>
      </c>
    </row>
    <row r="286" spans="2:16" x14ac:dyDescent="0.3">
      <c r="B286">
        <v>36505</v>
      </c>
      <c r="C286" s="30" t="str">
        <f>VLOOKUP(Tabel3[[#This Row],[P-nr]],'data Chauffeur'!A:F,2,FALSE)</f>
        <v>De Lange</v>
      </c>
      <c r="D286" s="30" t="str">
        <f>VLOOKUP(Tabel3[[#This Row],[P-nr]],'data Chauffeur'!A:F,3,FALSE)</f>
        <v>Ruben</v>
      </c>
      <c r="E286" s="30" t="str">
        <f>CONCATENATE(Tabel3[[#This Row],[P-nr]]," ",Tabel3[[#This Row],[Naam]]," ",Tabel3[[#This Row],[Voornaam]])</f>
        <v>36505 De Lange Ruben</v>
      </c>
      <c r="F286" s="30" t="str">
        <f>VLOOKUP(Tabel3[[#This Row],[P-nr]],'data Chauffeur'!A:F,6)</f>
        <v>Gent stad</v>
      </c>
      <c r="G286" s="30" t="str">
        <f>VLOOKUP(Tabel3[[#This Row],[P-nr]],'data Chauffeur'!A:F,4,FALSE)</f>
        <v>Kenneth De Rick</v>
      </c>
      <c r="H286" t="str">
        <f>VLOOKUP(Tabel3[[#This Row],[P-nr]],'data Chauffeur'!A:F,5,FALSE)</f>
        <v>RESF</v>
      </c>
      <c r="I286" s="8" t="s">
        <v>128</v>
      </c>
      <c r="J286" s="2" t="s">
        <v>25</v>
      </c>
      <c r="K286" t="s">
        <v>178</v>
      </c>
      <c r="L286" s="11">
        <v>46036</v>
      </c>
      <c r="M286" t="s">
        <v>103</v>
      </c>
      <c r="O286" t="s">
        <v>161</v>
      </c>
      <c r="P286" t="s">
        <v>69</v>
      </c>
    </row>
    <row r="287" spans="2:16" x14ac:dyDescent="0.3">
      <c r="B287" s="48"/>
      <c r="C287" s="30" t="e">
        <f>VLOOKUP(Tabel3[[#This Row],[P-nr]],'data Chauffeur'!A:F,2,FALSE)</f>
        <v>#N/A</v>
      </c>
      <c r="D287" s="30" t="e">
        <f>VLOOKUP(Tabel3[[#This Row],[P-nr]],'data Chauffeur'!A:F,3,FALSE)</f>
        <v>#N/A</v>
      </c>
      <c r="E287" s="30" t="e">
        <f>CONCATENATE(Tabel3[[#This Row],[P-nr]]," ",Tabel3[[#This Row],[Naam]]," ",Tabel3[[#This Row],[Voornaam]])</f>
        <v>#N/A</v>
      </c>
      <c r="F287" s="30" t="e">
        <f>VLOOKUP(Tabel3[[#This Row],[P-nr]],'data Chauffeur'!A:F,6)</f>
        <v>#N/A</v>
      </c>
      <c r="G287" s="30" t="e">
        <f>VLOOKUP(Tabel3[[#This Row],[P-nr]],'data Chauffeur'!A:F,4,FALSE)</f>
        <v>#N/A</v>
      </c>
      <c r="H287" t="e">
        <f>VLOOKUP(Tabel3[[#This Row],[P-nr]],'data Chauffeur'!A:F,5,FALSE)</f>
        <v>#N/A</v>
      </c>
      <c r="K287" s="30"/>
      <c r="L287" s="37"/>
      <c r="O287" s="57" t="s">
        <v>140</v>
      </c>
    </row>
    <row r="288" spans="2:16" x14ac:dyDescent="0.3">
      <c r="B288" s="48"/>
      <c r="C288" s="30" t="e">
        <f>VLOOKUP(Tabel3[[#This Row],[P-nr]],'data Chauffeur'!A:F,2,FALSE)</f>
        <v>#N/A</v>
      </c>
      <c r="D288" s="30" t="e">
        <f>VLOOKUP(Tabel3[[#This Row],[P-nr]],'data Chauffeur'!A:F,3,FALSE)</f>
        <v>#N/A</v>
      </c>
      <c r="E288" s="30" t="e">
        <f>CONCATENATE(Tabel3[[#This Row],[P-nr]]," ",Tabel3[[#This Row],[Naam]]," ",Tabel3[[#This Row],[Voornaam]])</f>
        <v>#N/A</v>
      </c>
      <c r="F288" s="30" t="e">
        <f>VLOOKUP(Tabel3[[#This Row],[P-nr]],'data Chauffeur'!A:F,6)</f>
        <v>#N/A</v>
      </c>
      <c r="G288" s="30" t="e">
        <f>VLOOKUP(Tabel3[[#This Row],[P-nr]],'data Chauffeur'!A:F,4,FALSE)</f>
        <v>#N/A</v>
      </c>
      <c r="H288" t="e">
        <f>VLOOKUP(Tabel3[[#This Row],[P-nr]],'data Chauffeur'!A:F,5,FALSE)</f>
        <v>#N/A</v>
      </c>
      <c r="K288" s="30"/>
      <c r="L288" s="37"/>
      <c r="O288" s="57" t="s">
        <v>140</v>
      </c>
    </row>
    <row r="289" spans="1:16" x14ac:dyDescent="0.3">
      <c r="A289" s="41"/>
      <c r="E289" s="30"/>
      <c r="F289" s="30"/>
      <c r="K289" s="30"/>
      <c r="L289" s="11"/>
    </row>
    <row r="290" spans="1:16" x14ac:dyDescent="0.3">
      <c r="A290" s="41"/>
      <c r="E290" s="30"/>
      <c r="F290" s="30"/>
      <c r="K290" s="30"/>
      <c r="L290" s="11"/>
    </row>
    <row r="291" spans="1:16" x14ac:dyDescent="0.3">
      <c r="A291" s="39"/>
      <c r="E291" s="30"/>
      <c r="F291" s="30"/>
      <c r="K291" s="30"/>
      <c r="M291" s="44"/>
    </row>
    <row r="292" spans="1:16" x14ac:dyDescent="0.3">
      <c r="A292" s="45"/>
      <c r="E292" s="30"/>
      <c r="F292" s="30"/>
      <c r="K292" s="30"/>
      <c r="M292" s="44"/>
    </row>
    <row r="293" spans="1:16" x14ac:dyDescent="0.3">
      <c r="A293" s="11"/>
      <c r="M293" s="44"/>
    </row>
    <row r="295" spans="1:16" x14ac:dyDescent="0.3">
      <c r="A295" s="60" t="s">
        <v>197</v>
      </c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</row>
    <row r="296" spans="1:16" x14ac:dyDescent="0.3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</row>
    <row r="297" spans="1:16" x14ac:dyDescent="0.3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</row>
    <row r="298" spans="1:16" x14ac:dyDescent="0.3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</row>
    <row r="299" spans="1:16" x14ac:dyDescent="0.3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</row>
  </sheetData>
  <mergeCells count="1">
    <mergeCell ref="A295:P299"/>
  </mergeCells>
  <phoneticPr fontId="3" type="noConversion"/>
  <conditionalFormatting sqref="A1:A295 A300:A1048576">
    <cfRule type="cellIs" dxfId="67" priority="482" operator="equal">
      <formula>"ja"</formula>
    </cfRule>
  </conditionalFormatting>
  <conditionalFormatting sqref="B218:B220 B229:B238">
    <cfRule type="duplicateValues" dxfId="66" priority="940"/>
  </conditionalFormatting>
  <conditionalFormatting sqref="B221 B224">
    <cfRule type="cellIs" dxfId="65" priority="137" operator="equal">
      <formula>"ja"</formula>
    </cfRule>
  </conditionalFormatting>
  <conditionalFormatting sqref="B222:B223">
    <cfRule type="duplicateValues" dxfId="64" priority="136"/>
  </conditionalFormatting>
  <conditionalFormatting sqref="B239:B241">
    <cfRule type="duplicateValues" dxfId="63" priority="122"/>
  </conditionalFormatting>
  <conditionalFormatting sqref="B242">
    <cfRule type="duplicateValues" dxfId="62" priority="115"/>
  </conditionalFormatting>
  <conditionalFormatting sqref="B243">
    <cfRule type="duplicateValues" dxfId="61" priority="108"/>
  </conditionalFormatting>
  <conditionalFormatting sqref="B247">
    <cfRule type="duplicateValues" dxfId="60" priority="101"/>
  </conditionalFormatting>
  <conditionalFormatting sqref="B248">
    <cfRule type="duplicateValues" dxfId="59" priority="94"/>
  </conditionalFormatting>
  <conditionalFormatting sqref="B249:B250">
    <cfRule type="duplicateValues" dxfId="58" priority="87"/>
  </conditionalFormatting>
  <conditionalFormatting sqref="B251">
    <cfRule type="duplicateValues" dxfId="57" priority="80"/>
  </conditionalFormatting>
  <conditionalFormatting sqref="B252">
    <cfRule type="duplicateValues" dxfId="56" priority="73"/>
  </conditionalFormatting>
  <conditionalFormatting sqref="B253">
    <cfRule type="duplicateValues" dxfId="55" priority="66"/>
  </conditionalFormatting>
  <conditionalFormatting sqref="B254:B256">
    <cfRule type="duplicateValues" dxfId="54" priority="59"/>
  </conditionalFormatting>
  <conditionalFormatting sqref="B259">
    <cfRule type="duplicateValues" dxfId="53" priority="45"/>
  </conditionalFormatting>
  <conditionalFormatting sqref="B260">
    <cfRule type="duplicateValues" dxfId="52" priority="38"/>
  </conditionalFormatting>
  <conditionalFormatting sqref="B261:B263">
    <cfRule type="duplicateValues" dxfId="51" priority="31"/>
  </conditionalFormatting>
  <conditionalFormatting sqref="B264">
    <cfRule type="duplicateValues" dxfId="50" priority="24"/>
  </conditionalFormatting>
  <conditionalFormatting sqref="B268:B269 B257:B258 B287:B288">
    <cfRule type="duplicateValues" dxfId="49" priority="52"/>
  </conditionalFormatting>
  <conditionalFormatting sqref="B270:B271">
    <cfRule type="duplicateValues" dxfId="48" priority="17"/>
  </conditionalFormatting>
  <conditionalFormatting sqref="B273">
    <cfRule type="duplicateValues" dxfId="47" priority="16"/>
  </conditionalFormatting>
  <conditionalFormatting sqref="B274:B275">
    <cfRule type="duplicateValues" dxfId="46" priority="15"/>
  </conditionalFormatting>
  <conditionalFormatting sqref="B277">
    <cfRule type="duplicateValues" dxfId="45" priority="14"/>
  </conditionalFormatting>
  <conditionalFormatting sqref="N207:N216">
    <cfRule type="duplicateValues" dxfId="44" priority="145"/>
  </conditionalFormatting>
  <conditionalFormatting sqref="O2:O238">
    <cfRule type="cellIs" dxfId="43" priority="945" operator="equal">
      <formula>"zeer goed"</formula>
    </cfRule>
    <cfRule type="cellIs" dxfId="42" priority="946" operator="equal">
      <formula>"Goed"</formula>
    </cfRule>
    <cfRule type="cellIs" dxfId="41" priority="947" operator="equal">
      <formula>"onvoldoende"</formula>
    </cfRule>
    <cfRule type="cellIs" dxfId="40" priority="948" operator="equal">
      <formula>"slecht"</formula>
    </cfRule>
    <cfRule type="cellIs" dxfId="39" priority="949" operator="equal">
      <formula>"zeer slecht"</formula>
    </cfRule>
    <cfRule type="containsText" dxfId="38" priority="950" operator="containsText" text="zeer slecht">
      <formula>NOT(ISERROR(SEARCH("zeer slecht",O2)))</formula>
    </cfRule>
    <cfRule type="containsText" dxfId="37" priority="951" operator="containsText" text="slecht">
      <formula>NOT(ISERROR(SEARCH("slecht",O2)))</formula>
    </cfRule>
    <cfRule type="containsText" dxfId="36" priority="952" operator="containsText" text="onvoldoende">
      <formula>NOT(ISERROR(SEARCH("onvoldoende",O2)))</formula>
    </cfRule>
    <cfRule type="containsText" dxfId="35" priority="953" operator="containsText" text="voldoende">
      <formula>NOT(ISERROR(SEARCH("voldoende",O2)))</formula>
    </cfRule>
    <cfRule type="containsText" dxfId="34" priority="954" operator="containsText" text="goed">
      <formula>NOT(ISERROR(SEARCH("goed",O2)))</formula>
    </cfRule>
    <cfRule type="containsText" dxfId="33" priority="955" operator="containsText" text="zeer goed">
      <formula>NOT(ISERROR(SEARCH("zeer goed",O2)))</formula>
    </cfRule>
    <cfRule type="cellIs" dxfId="32" priority="956" operator="equal">
      <formula>"voldoende"</formula>
    </cfRule>
    <cfRule type="cellIs" dxfId="31" priority="957" operator="equal">
      <formula>"zeer goed"</formula>
    </cfRule>
    <cfRule type="cellIs" dxfId="30" priority="958" operator="equal">
      <formula>"Goed"</formula>
    </cfRule>
    <cfRule type="cellIs" dxfId="29" priority="959" operator="equal">
      <formula>"onvoldoende"</formula>
    </cfRule>
    <cfRule type="cellIs" dxfId="28" priority="960" operator="equal">
      <formula>"slecht"</formula>
    </cfRule>
    <cfRule type="cellIs" dxfId="27" priority="961" operator="equal">
      <formula>"zeer slecht"</formula>
    </cfRule>
    <cfRule type="duplicateValues" dxfId="26" priority="962"/>
  </conditionalFormatting>
  <conditionalFormatting sqref="O239:O277 O287:O288">
    <cfRule type="containsText" dxfId="25" priority="18" operator="containsText" text="zeer slecht">
      <formula>NOT(ISERROR(SEARCH("zeer slecht",O239)))</formula>
    </cfRule>
    <cfRule type="containsText" dxfId="24" priority="19" operator="containsText" text="slecht">
      <formula>NOT(ISERROR(SEARCH("slecht",O239)))</formula>
    </cfRule>
    <cfRule type="containsText" dxfId="23" priority="20" operator="containsText" text="onvoldoende">
      <formula>NOT(ISERROR(SEARCH("onvoldoende",O239)))</formula>
    </cfRule>
    <cfRule type="containsText" dxfId="22" priority="21" operator="containsText" text="voldoende">
      <formula>NOT(ISERROR(SEARCH("voldoende",O239)))</formula>
    </cfRule>
    <cfRule type="containsText" dxfId="21" priority="22" operator="containsText" text="goed">
      <formula>NOT(ISERROR(SEARCH("goed",O239)))</formula>
    </cfRule>
    <cfRule type="containsText" dxfId="20" priority="23" operator="containsText" text="zeer goed">
      <formula>NOT(ISERROR(SEARCH("zeer goed",O239)))</formula>
    </cfRule>
  </conditionalFormatting>
  <conditionalFormatting sqref="P221:P224">
    <cfRule type="cellIs" dxfId="19" priority="130" operator="equal">
      <formula>"zeer goed"</formula>
    </cfRule>
    <cfRule type="cellIs" dxfId="18" priority="131" operator="equal">
      <formula>"Goed"</formula>
    </cfRule>
    <cfRule type="cellIs" dxfId="17" priority="132" operator="equal">
      <formula>"onvoldoende"</formula>
    </cfRule>
    <cfRule type="cellIs" dxfId="16" priority="133" operator="equal">
      <formula>"slecht"</formula>
    </cfRule>
    <cfRule type="cellIs" dxfId="15" priority="134" operator="equal">
      <formula>"zeer slecht"</formula>
    </cfRule>
    <cfRule type="duplicateValues" dxfId="14" priority="135"/>
  </conditionalFormatting>
  <conditionalFormatting sqref="P1:Q196 Q197:Q202 P203:Q220 Q221:Q228 P225:P228 P229:Q229 O230:Q238 Q239:Q245 P246:Q246 Q247:Q288 P289:Q290 P291:P294 P300 N301 P302:P1048576">
    <cfRule type="cellIs" dxfId="13" priority="481" operator="equal">
      <formula>"ja"</formula>
    </cfRule>
  </conditionalFormatting>
  <conditionalFormatting sqref="B278:B286">
    <cfRule type="duplicateValues" dxfId="12" priority="13"/>
  </conditionalFormatting>
  <conditionalFormatting sqref="O278:O281 O283:O286">
    <cfRule type="containsText" dxfId="11" priority="7" operator="containsText" text="zeer slecht">
      <formula>NOT(ISERROR(SEARCH("zeer slecht",O278)))</formula>
    </cfRule>
    <cfRule type="containsText" dxfId="10" priority="8" operator="containsText" text="slecht">
      <formula>NOT(ISERROR(SEARCH("slecht",O278)))</formula>
    </cfRule>
    <cfRule type="containsText" dxfId="9" priority="9" operator="containsText" text="onvoldoende">
      <formula>NOT(ISERROR(SEARCH("onvoldoende",O278)))</formula>
    </cfRule>
    <cfRule type="containsText" dxfId="8" priority="10" operator="containsText" text="voldoende">
      <formula>NOT(ISERROR(SEARCH("voldoende",O278)))</formula>
    </cfRule>
    <cfRule type="containsText" dxfId="7" priority="11" operator="containsText" text="goed">
      <formula>NOT(ISERROR(SEARCH("goed",O278)))</formula>
    </cfRule>
    <cfRule type="containsText" dxfId="6" priority="12" operator="containsText" text="zeer goed">
      <formula>NOT(ISERROR(SEARCH("zeer goed",O278)))</formula>
    </cfRule>
  </conditionalFormatting>
  <conditionalFormatting sqref="O282">
    <cfRule type="containsText" dxfId="5" priority="1" operator="containsText" text="zeer slecht">
      <formula>NOT(ISERROR(SEARCH("zeer slecht",O282)))</formula>
    </cfRule>
    <cfRule type="containsText" dxfId="4" priority="2" operator="containsText" text="slecht">
      <formula>NOT(ISERROR(SEARCH("slecht",O282)))</formula>
    </cfRule>
    <cfRule type="containsText" dxfId="3" priority="3" operator="containsText" text="onvoldoende">
      <formula>NOT(ISERROR(SEARCH("onvoldoende",O282)))</formula>
    </cfRule>
    <cfRule type="containsText" dxfId="2" priority="4" operator="containsText" text="voldoende">
      <formula>NOT(ISERROR(SEARCH("voldoende",O282)))</formula>
    </cfRule>
    <cfRule type="containsText" dxfId="1" priority="5" operator="containsText" text="goed">
      <formula>NOT(ISERROR(SEARCH("goed",O282)))</formula>
    </cfRule>
    <cfRule type="containsText" dxfId="0" priority="6" operator="containsText" text="zeer goed">
      <formula>NOT(ISERROR(SEARCH("zeer goed",O282)))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Instructeur" prompt="selecteer je naam" xr:uid="{B79B0DB3-793F-46F6-BF15-18BE1319F87C}">
          <x14:formula1>
            <xm:f>Vervolglijsten!$E$1:$E$23</xm:f>
          </x14:formula1>
          <xm:sqref>K55:K56 K59:K60 K22 K7</xm:sqref>
        </x14:dataValidation>
        <x14:dataValidation type="list" allowBlank="1" showInputMessage="1" showErrorMessage="1" xr:uid="{62458A8A-90D0-44EB-A6DB-1CD720610765}">
          <x14:formula1>
            <xm:f>Vervolglijsten!$I:$I</xm:f>
          </x14:formula1>
          <xm:sqref>T117:T120</xm:sqref>
        </x14:dataValidation>
        <x14:dataValidation type="list" allowBlank="1" showInputMessage="1" showErrorMessage="1" xr:uid="{4FDECB82-B3E7-4F54-87D5-C964CBE0BF5F}">
          <x14:formula1>
            <xm:f>Vervolglijsten!$B:$B</xm:f>
          </x14:formula1>
          <xm:sqref>S117:S120 P197:P202 P239:P245 P247:P288</xm:sqref>
        </x14:dataValidation>
        <x14:dataValidation type="list" allowBlank="1" showInputMessage="1" showErrorMessage="1" xr:uid="{D07AD92F-D14B-4D2D-9F89-CA837DB6449D}">
          <x14:formula1>
            <xm:f>Vervolglijsten!$G:$G</xm:f>
          </x14:formula1>
          <xm:sqref>N197:N202 N239:N245 N247:N288</xm:sqref>
        </x14:dataValidation>
        <x14:dataValidation type="list" allowBlank="1" showInputMessage="1" showErrorMessage="1" xr:uid="{3D2B9196-D476-4D41-A7E7-ACD4E73F0F77}">
          <x14:formula1>
            <xm:f>Vervolglijsten!$F:$F</xm:f>
          </x14:formula1>
          <xm:sqref>M197:M202 M239:M245 M48 M247:M288</xm:sqref>
        </x14:dataValidation>
        <x14:dataValidation type="list" allowBlank="1" showInputMessage="1" showErrorMessage="1" xr:uid="{89B9C36A-6FB4-4EA1-AFF6-FD1416D6D176}">
          <x14:formula1>
            <xm:f>Vervolglijsten!$H:$H</xm:f>
          </x14:formula1>
          <xm:sqref>O197:O202 O239:O288</xm:sqref>
        </x14:dataValidation>
        <x14:dataValidation type="list" allowBlank="1" showInputMessage="1" showErrorMessage="1" xr:uid="{C8D5CD61-C318-4B7D-9176-F68147EF324A}">
          <x14:formula1>
            <xm:f>Vervolglijsten!$E:$E</xm:f>
          </x14:formula1>
          <xm:sqref>K239:K245 K247:K288</xm:sqref>
        </x14:dataValidation>
        <x14:dataValidation type="list" allowBlank="1" showInputMessage="1" showErrorMessage="1" xr:uid="{81751397-3804-49B8-8D57-72860EEF7475}">
          <x14:formula1>
            <xm:f>Vervolglijsten!$D:$D</xm:f>
          </x14:formula1>
          <xm:sqref>J239:J245 J247:J262 K263 J264:J288</xm:sqref>
        </x14:dataValidation>
        <x14:dataValidation type="list" allowBlank="1" showInputMessage="1" showErrorMessage="1" xr:uid="{03FEE85A-249F-47CA-8A24-CE6637EE7D68}">
          <x14:formula1>
            <xm:f>Vervolglijsten!$C:$C</xm:f>
          </x14:formula1>
          <xm:sqref>F274:F286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83DA-3936-4006-A4AB-5F6A28E8ACE6}">
  <dimension ref="A1:M340"/>
  <sheetViews>
    <sheetView workbookViewId="0">
      <selection activeCell="B12" sqref="B12"/>
    </sheetView>
  </sheetViews>
  <sheetFormatPr defaultRowHeight="14.4" x14ac:dyDescent="0.3"/>
  <cols>
    <col min="1" max="1" width="92.21875" bestFit="1" customWidth="1"/>
    <col min="2" max="2" width="13.6640625" bestFit="1" customWidth="1"/>
    <col min="3" max="4" width="8.88671875" bestFit="1" customWidth="1"/>
    <col min="5" max="5" width="11.6640625" bestFit="1" customWidth="1"/>
    <col min="6" max="6" width="6.109375" bestFit="1" customWidth="1"/>
    <col min="7" max="7" width="9.6640625" bestFit="1" customWidth="1"/>
    <col min="8" max="8" width="8.88671875" bestFit="1" customWidth="1"/>
    <col min="9" max="9" width="10.109375" style="18" bestFit="1" customWidth="1"/>
    <col min="10" max="10" width="9.5546875" style="18" bestFit="1" customWidth="1"/>
    <col min="11" max="11" width="27.33203125" style="18" bestFit="1" customWidth="1"/>
    <col min="12" max="12" width="13.6640625" style="18" bestFit="1" customWidth="1"/>
    <col min="13" max="13" width="18" style="18" bestFit="1" customWidth="1"/>
    <col min="14" max="14" width="30.44140625" bestFit="1" customWidth="1"/>
    <col min="15" max="15" width="34.6640625" bestFit="1" customWidth="1"/>
    <col min="16" max="16" width="31" bestFit="1" customWidth="1"/>
    <col min="17" max="17" width="35.33203125" bestFit="1" customWidth="1"/>
    <col min="18" max="18" width="17.6640625" bestFit="1" customWidth="1"/>
    <col min="19" max="19" width="4.44140625" bestFit="1" customWidth="1"/>
    <col min="20" max="20" width="6.33203125" bestFit="1" customWidth="1"/>
    <col min="21" max="21" width="22" bestFit="1" customWidth="1"/>
    <col min="22" max="22" width="20.33203125" bestFit="1" customWidth="1"/>
    <col min="23" max="23" width="6.33203125" bestFit="1" customWidth="1"/>
    <col min="24" max="24" width="24.44140625" bestFit="1" customWidth="1"/>
    <col min="25" max="25" width="7" bestFit="1" customWidth="1"/>
    <col min="26" max="26" width="4.44140625" bestFit="1" customWidth="1"/>
    <col min="27" max="27" width="6.33203125" bestFit="1" customWidth="1"/>
    <col min="28" max="28" width="11" bestFit="1" customWidth="1"/>
    <col min="29" max="29" width="24.109375" bestFit="1" customWidth="1"/>
    <col min="30" max="30" width="28.33203125" bestFit="1" customWidth="1"/>
    <col min="31" max="31" width="9.33203125" bestFit="1" customWidth="1"/>
    <col min="32" max="32" width="4.44140625" bestFit="1" customWidth="1"/>
    <col min="33" max="33" width="6.33203125" bestFit="1" customWidth="1"/>
    <col min="34" max="34" width="13.44140625" bestFit="1" customWidth="1"/>
    <col min="35" max="35" width="11.88671875" bestFit="1" customWidth="1"/>
    <col min="36" max="36" width="16" bestFit="1" customWidth="1"/>
    <col min="37" max="37" width="6.33203125" bestFit="1" customWidth="1"/>
    <col min="38" max="38" width="9" bestFit="1" customWidth="1"/>
    <col min="39" max="39" width="10.6640625" bestFit="1" customWidth="1"/>
    <col min="40" max="40" width="4.44140625" bestFit="1" customWidth="1"/>
    <col min="41" max="41" width="6.33203125" bestFit="1" customWidth="1"/>
    <col min="42" max="42" width="14.88671875" bestFit="1" customWidth="1"/>
    <col min="43" max="43" width="26.6640625" bestFit="1" customWidth="1"/>
    <col min="44" max="44" width="31" bestFit="1" customWidth="1"/>
    <col min="45" max="45" width="10.6640625" bestFit="1" customWidth="1"/>
    <col min="46" max="46" width="14.88671875" bestFit="1" customWidth="1"/>
    <col min="47" max="47" width="10.44140625" bestFit="1" customWidth="1"/>
    <col min="48" max="48" width="14.5546875" bestFit="1" customWidth="1"/>
    <col min="49" max="49" width="39.88671875" bestFit="1" customWidth="1"/>
    <col min="50" max="50" width="44" bestFit="1" customWidth="1"/>
    <col min="51" max="51" width="16" bestFit="1" customWidth="1"/>
    <col min="52" max="52" width="20.109375" bestFit="1" customWidth="1"/>
    <col min="53" max="53" width="27.44140625" bestFit="1" customWidth="1"/>
    <col min="54" max="54" width="31.5546875" bestFit="1" customWidth="1"/>
    <col min="55" max="55" width="10" bestFit="1" customWidth="1"/>
    <col min="56" max="56" width="6.33203125" bestFit="1" customWidth="1"/>
    <col min="57" max="57" width="14.109375" bestFit="1" customWidth="1"/>
    <col min="58" max="58" width="20.6640625" bestFit="1" customWidth="1"/>
    <col min="59" max="59" width="24.88671875" bestFit="1" customWidth="1"/>
    <col min="60" max="60" width="10" bestFit="1" customWidth="1"/>
    <col min="61" max="61" width="14.109375" bestFit="1" customWidth="1"/>
    <col min="62" max="62" width="23.33203125" bestFit="1" customWidth="1"/>
    <col min="63" max="63" width="27.44140625" bestFit="1" customWidth="1"/>
    <col min="64" max="64" width="10.6640625" bestFit="1" customWidth="1"/>
    <col min="65" max="65" width="14.88671875" bestFit="1" customWidth="1"/>
    <col min="66" max="66" width="12.5546875" bestFit="1" customWidth="1"/>
    <col min="67" max="67" width="6.33203125" bestFit="1" customWidth="1"/>
    <col min="68" max="68" width="16.6640625" bestFit="1" customWidth="1"/>
    <col min="69" max="69" width="10.88671875" bestFit="1" customWidth="1"/>
    <col min="70" max="70" width="15" bestFit="1" customWidth="1"/>
    <col min="71" max="71" width="12.33203125" bestFit="1" customWidth="1"/>
    <col min="72" max="72" width="16.44140625" bestFit="1" customWidth="1"/>
    <col min="73" max="73" width="8.109375" bestFit="1" customWidth="1"/>
    <col min="74" max="74" width="4.44140625" bestFit="1" customWidth="1"/>
    <col min="75" max="75" width="6.33203125" bestFit="1" customWidth="1"/>
    <col min="76" max="76" width="12.109375" bestFit="1" customWidth="1"/>
    <col min="77" max="77" width="10.109375" bestFit="1" customWidth="1"/>
    <col min="78" max="78" width="10.88671875" bestFit="1" customWidth="1"/>
    <col min="79" max="79" width="15" bestFit="1" customWidth="1"/>
    <col min="80" max="80" width="8.109375" bestFit="1" customWidth="1"/>
    <col min="81" max="81" width="12.109375" bestFit="1" customWidth="1"/>
    <col min="82" max="82" width="14.88671875" bestFit="1" customWidth="1"/>
    <col min="83" max="83" width="18.5546875" bestFit="1" customWidth="1"/>
    <col min="84" max="84" width="12.109375" bestFit="1" customWidth="1"/>
    <col min="85" max="85" width="22.88671875" bestFit="1" customWidth="1"/>
    <col min="86" max="86" width="39.88671875" bestFit="1" customWidth="1"/>
    <col min="87" max="87" width="44" bestFit="1" customWidth="1"/>
    <col min="88" max="88" width="13.5546875" bestFit="1" customWidth="1"/>
    <col min="89" max="89" width="16" bestFit="1" customWidth="1"/>
    <col min="90" max="90" width="12.109375" bestFit="1" customWidth="1"/>
    <col min="91" max="91" width="20.109375" bestFit="1" customWidth="1"/>
    <col min="92" max="92" width="10" bestFit="1" customWidth="1"/>
    <col min="93" max="93" width="12.109375" bestFit="1" customWidth="1"/>
    <col min="94" max="94" width="14.109375" bestFit="1" customWidth="1"/>
    <col min="95" max="95" width="20.6640625" bestFit="1" customWidth="1"/>
    <col min="96" max="96" width="6.33203125" bestFit="1" customWidth="1"/>
    <col min="97" max="97" width="20.88671875" bestFit="1" customWidth="1"/>
    <col min="98" max="98" width="17.6640625" bestFit="1" customWidth="1"/>
    <col min="99" max="99" width="4.44140625" bestFit="1" customWidth="1"/>
    <col min="100" max="100" width="6.33203125" bestFit="1" customWidth="1"/>
    <col min="101" max="101" width="22" bestFit="1" customWidth="1"/>
    <col min="102" max="102" width="20.33203125" bestFit="1" customWidth="1"/>
    <col min="103" max="103" width="24.44140625" bestFit="1" customWidth="1"/>
    <col min="104" max="104" width="10.6640625" bestFit="1" customWidth="1"/>
    <col min="105" max="105" width="14.88671875" bestFit="1" customWidth="1"/>
    <col min="106" max="106" width="10" bestFit="1" customWidth="1"/>
    <col min="107" max="107" width="14.109375" bestFit="1" customWidth="1"/>
    <col min="108" max="108" width="8.109375" bestFit="1" customWidth="1"/>
    <col min="109" max="109" width="6.33203125" bestFit="1" customWidth="1"/>
    <col min="110" max="110" width="12.109375" bestFit="1" customWidth="1"/>
    <col min="111" max="111" width="24.88671875" bestFit="1" customWidth="1"/>
    <col min="112" max="112" width="16.6640625" bestFit="1" customWidth="1"/>
    <col min="113" max="113" width="20.88671875" bestFit="1" customWidth="1"/>
    <col min="114" max="114" width="17.5546875" bestFit="1" customWidth="1"/>
    <col min="115" max="115" width="21.88671875" bestFit="1" customWidth="1"/>
    <col min="116" max="116" width="23" bestFit="1" customWidth="1"/>
    <col min="117" max="117" width="27.33203125" bestFit="1" customWidth="1"/>
    <col min="118" max="118" width="30.44140625" bestFit="1" customWidth="1"/>
    <col min="119" max="119" width="34.6640625" bestFit="1" customWidth="1"/>
    <col min="120" max="120" width="17.6640625" bestFit="1" customWidth="1"/>
    <col min="121" max="121" width="22" bestFit="1" customWidth="1"/>
    <col min="122" max="122" width="7" bestFit="1" customWidth="1"/>
    <col min="123" max="123" width="4.44140625" bestFit="1" customWidth="1"/>
    <col min="124" max="124" width="6.33203125" bestFit="1" customWidth="1"/>
    <col min="125" max="125" width="11" bestFit="1" customWidth="1"/>
    <col min="126" max="126" width="9.33203125" bestFit="1" customWidth="1"/>
    <col min="127" max="127" width="13.44140625" bestFit="1" customWidth="1"/>
    <col min="128" max="128" width="6.33203125" bestFit="1" customWidth="1"/>
    <col min="129" max="129" width="9" bestFit="1" customWidth="1"/>
    <col min="130" max="130" width="10.6640625" bestFit="1" customWidth="1"/>
    <col min="131" max="131" width="4.44140625" bestFit="1" customWidth="1"/>
    <col min="132" max="132" width="6.33203125" bestFit="1" customWidth="1"/>
    <col min="133" max="133" width="14.88671875" bestFit="1" customWidth="1"/>
    <col min="134" max="134" width="10.6640625" bestFit="1" customWidth="1"/>
    <col min="135" max="135" width="14.88671875" bestFit="1" customWidth="1"/>
    <col min="136" max="136" width="10.6640625" bestFit="1" customWidth="1"/>
    <col min="137" max="137" width="14.88671875" bestFit="1" customWidth="1"/>
    <col min="138" max="138" width="8.109375" bestFit="1" customWidth="1"/>
    <col min="139" max="139" width="4.44140625" bestFit="1" customWidth="1"/>
    <col min="140" max="140" width="6.33203125" bestFit="1" customWidth="1"/>
    <col min="141" max="141" width="12.109375" bestFit="1" customWidth="1"/>
    <col min="142" max="142" width="15" bestFit="1" customWidth="1"/>
    <col min="143" max="143" width="10.6640625" bestFit="1" customWidth="1"/>
    <col min="144" max="144" width="14.88671875" bestFit="1" customWidth="1"/>
    <col min="145" max="145" width="27.44140625" bestFit="1" customWidth="1"/>
    <col min="146" max="146" width="31.5546875" bestFit="1" customWidth="1"/>
    <col min="147" max="147" width="12.33203125" bestFit="1" customWidth="1"/>
    <col min="148" max="148" width="16.44140625" bestFit="1" customWidth="1"/>
    <col min="149" max="149" width="8.109375" bestFit="1" customWidth="1"/>
    <col min="150" max="150" width="4.44140625" bestFit="1" customWidth="1"/>
    <col min="151" max="151" width="6.33203125" bestFit="1" customWidth="1"/>
    <col min="152" max="153" width="12.109375" bestFit="1" customWidth="1"/>
    <col min="154" max="154" width="10.109375" bestFit="1" customWidth="1"/>
  </cols>
  <sheetData>
    <row r="1" spans="1:10" s="18" customFormat="1" x14ac:dyDescent="0.3"/>
    <row r="2" spans="1:10" x14ac:dyDescent="0.3">
      <c r="A2" s="53" t="s">
        <v>198</v>
      </c>
      <c r="B2" s="53" t="s">
        <v>199</v>
      </c>
      <c r="I2"/>
      <c r="J2"/>
    </row>
    <row r="3" spans="1:10" x14ac:dyDescent="0.3">
      <c r="A3" s="53" t="s">
        <v>200</v>
      </c>
      <c r="B3" t="s">
        <v>75</v>
      </c>
      <c r="C3" t="s">
        <v>201</v>
      </c>
      <c r="D3" t="s">
        <v>202</v>
      </c>
      <c r="E3" t="s">
        <v>79</v>
      </c>
      <c r="F3" t="s">
        <v>98</v>
      </c>
      <c r="G3" t="s">
        <v>73</v>
      </c>
      <c r="H3" t="s">
        <v>68</v>
      </c>
      <c r="I3" t="s">
        <v>184</v>
      </c>
      <c r="J3" t="s">
        <v>203</v>
      </c>
    </row>
    <row r="4" spans="1:10" x14ac:dyDescent="0.3">
      <c r="A4" s="30" t="s">
        <v>83</v>
      </c>
      <c r="B4">
        <v>1</v>
      </c>
      <c r="I4"/>
      <c r="J4">
        <v>1</v>
      </c>
    </row>
    <row r="5" spans="1:10" x14ac:dyDescent="0.3">
      <c r="A5" s="30" t="s">
        <v>103</v>
      </c>
      <c r="B5">
        <v>12</v>
      </c>
      <c r="H5">
        <v>12</v>
      </c>
      <c r="I5"/>
      <c r="J5">
        <v>24</v>
      </c>
    </row>
    <row r="6" spans="1:10" x14ac:dyDescent="0.3">
      <c r="A6" s="30" t="s">
        <v>114</v>
      </c>
      <c r="B6">
        <v>1</v>
      </c>
      <c r="E6">
        <v>1</v>
      </c>
      <c r="I6"/>
      <c r="J6">
        <v>2</v>
      </c>
    </row>
    <row r="7" spans="1:10" x14ac:dyDescent="0.3">
      <c r="A7" s="30" t="s">
        <v>91</v>
      </c>
      <c r="B7">
        <v>5</v>
      </c>
      <c r="E7">
        <v>6</v>
      </c>
      <c r="G7">
        <v>8</v>
      </c>
      <c r="H7">
        <v>2</v>
      </c>
      <c r="I7"/>
      <c r="J7">
        <v>21</v>
      </c>
    </row>
    <row r="8" spans="1:10" x14ac:dyDescent="0.3">
      <c r="A8" s="30" t="s">
        <v>143</v>
      </c>
      <c r="G8">
        <v>1</v>
      </c>
      <c r="I8"/>
      <c r="J8">
        <v>1</v>
      </c>
    </row>
    <row r="9" spans="1:10" x14ac:dyDescent="0.3">
      <c r="A9" s="30" t="s">
        <v>149</v>
      </c>
      <c r="E9">
        <v>1</v>
      </c>
      <c r="I9"/>
      <c r="J9">
        <v>1</v>
      </c>
    </row>
    <row r="10" spans="1:10" x14ac:dyDescent="0.3">
      <c r="A10" s="30" t="s">
        <v>87</v>
      </c>
      <c r="B10">
        <v>3</v>
      </c>
      <c r="E10">
        <v>1</v>
      </c>
      <c r="G10">
        <v>2</v>
      </c>
      <c r="I10"/>
      <c r="J10">
        <v>6</v>
      </c>
    </row>
    <row r="11" spans="1:10" x14ac:dyDescent="0.3">
      <c r="A11" s="30" t="s">
        <v>110</v>
      </c>
      <c r="B11">
        <v>2</v>
      </c>
      <c r="I11"/>
      <c r="J11">
        <v>2</v>
      </c>
    </row>
    <row r="12" spans="1:10" x14ac:dyDescent="0.3">
      <c r="A12" s="30" t="s">
        <v>157</v>
      </c>
      <c r="B12">
        <v>1</v>
      </c>
      <c r="I12"/>
      <c r="J12">
        <v>1</v>
      </c>
    </row>
    <row r="13" spans="1:10" x14ac:dyDescent="0.3">
      <c r="A13" s="30" t="s">
        <v>112</v>
      </c>
      <c r="G13">
        <v>1</v>
      </c>
      <c r="I13"/>
      <c r="J13">
        <v>1</v>
      </c>
    </row>
    <row r="14" spans="1:10" x14ac:dyDescent="0.3">
      <c r="A14" s="30" t="s">
        <v>105</v>
      </c>
      <c r="B14">
        <v>5</v>
      </c>
      <c r="E14">
        <v>1</v>
      </c>
      <c r="F14">
        <v>1</v>
      </c>
      <c r="G14">
        <v>2</v>
      </c>
      <c r="I14"/>
      <c r="J14">
        <v>9</v>
      </c>
    </row>
    <row r="15" spans="1:10" x14ac:dyDescent="0.3">
      <c r="A15" s="30" t="s">
        <v>88</v>
      </c>
      <c r="B15">
        <v>1</v>
      </c>
      <c r="I15"/>
      <c r="J15">
        <v>1</v>
      </c>
    </row>
    <row r="16" spans="1:10" x14ac:dyDescent="0.3">
      <c r="A16" s="30" t="s">
        <v>126</v>
      </c>
      <c r="H16">
        <v>1</v>
      </c>
      <c r="I16"/>
      <c r="J16">
        <v>1</v>
      </c>
    </row>
    <row r="17" spans="1:10" x14ac:dyDescent="0.3">
      <c r="A17" s="30" t="s">
        <v>96</v>
      </c>
      <c r="B17">
        <v>12</v>
      </c>
      <c r="G17">
        <v>8</v>
      </c>
      <c r="H17">
        <v>1</v>
      </c>
      <c r="I17">
        <v>1</v>
      </c>
      <c r="J17">
        <v>22</v>
      </c>
    </row>
    <row r="18" spans="1:10" x14ac:dyDescent="0.3">
      <c r="A18" s="30" t="s">
        <v>72</v>
      </c>
      <c r="B18">
        <v>15</v>
      </c>
      <c r="E18">
        <v>7</v>
      </c>
      <c r="F18">
        <v>2</v>
      </c>
      <c r="G18">
        <v>21</v>
      </c>
      <c r="I18">
        <v>1</v>
      </c>
      <c r="J18">
        <v>46</v>
      </c>
    </row>
    <row r="19" spans="1:10" x14ac:dyDescent="0.3">
      <c r="A19" s="30" t="s">
        <v>204</v>
      </c>
      <c r="B19">
        <v>41</v>
      </c>
      <c r="E19">
        <v>2</v>
      </c>
      <c r="G19">
        <v>22</v>
      </c>
      <c r="H19">
        <v>67</v>
      </c>
      <c r="I19"/>
      <c r="J19">
        <v>132</v>
      </c>
    </row>
    <row r="20" spans="1:10" x14ac:dyDescent="0.3">
      <c r="A20" s="30" t="s">
        <v>187</v>
      </c>
      <c r="B20">
        <v>1</v>
      </c>
      <c r="I20"/>
      <c r="J20">
        <v>1</v>
      </c>
    </row>
    <row r="21" spans="1:10" s="18" customFormat="1" x14ac:dyDescent="0.3">
      <c r="A21" s="30" t="s">
        <v>191</v>
      </c>
      <c r="B21"/>
      <c r="C21"/>
      <c r="D21"/>
      <c r="E21"/>
      <c r="F21"/>
      <c r="G21"/>
      <c r="H21">
        <v>1</v>
      </c>
      <c r="I21"/>
      <c r="J21">
        <v>1</v>
      </c>
    </row>
    <row r="22" spans="1:10" s="18" customFormat="1" x14ac:dyDescent="0.3">
      <c r="A22" s="58" t="s">
        <v>130</v>
      </c>
      <c r="B22"/>
      <c r="C22"/>
      <c r="D22"/>
      <c r="E22"/>
      <c r="F22"/>
      <c r="G22"/>
      <c r="H22"/>
      <c r="I22"/>
      <c r="J22"/>
    </row>
    <row r="23" spans="1:10" s="18" customFormat="1" x14ac:dyDescent="0.3">
      <c r="A23" s="58" t="s">
        <v>136</v>
      </c>
      <c r="B23"/>
      <c r="C23"/>
      <c r="D23"/>
      <c r="E23"/>
      <c r="F23"/>
      <c r="G23"/>
      <c r="H23"/>
      <c r="I23"/>
      <c r="J23"/>
    </row>
    <row r="24" spans="1:10" s="18" customFormat="1" x14ac:dyDescent="0.3">
      <c r="A24" s="58" t="s">
        <v>85</v>
      </c>
      <c r="B24"/>
      <c r="C24"/>
      <c r="D24"/>
      <c r="E24"/>
      <c r="F24"/>
      <c r="G24"/>
      <c r="H24"/>
      <c r="I24"/>
      <c r="J24"/>
    </row>
    <row r="25" spans="1:10" s="18" customFormat="1" x14ac:dyDescent="0.3">
      <c r="A25" s="58" t="s">
        <v>141</v>
      </c>
      <c r="B25"/>
      <c r="C25"/>
      <c r="D25"/>
      <c r="E25"/>
      <c r="F25"/>
      <c r="G25"/>
      <c r="H25"/>
      <c r="I25"/>
      <c r="J25"/>
    </row>
    <row r="26" spans="1:10" s="18" customFormat="1" x14ac:dyDescent="0.3">
      <c r="A26" s="58" t="s">
        <v>181</v>
      </c>
      <c r="B26"/>
      <c r="C26"/>
      <c r="D26"/>
      <c r="E26"/>
      <c r="F26"/>
      <c r="G26"/>
      <c r="H26"/>
      <c r="I26"/>
      <c r="J26"/>
    </row>
    <row r="27" spans="1:10" s="18" customFormat="1" x14ac:dyDescent="0.3">
      <c r="A27" s="58" t="s">
        <v>152</v>
      </c>
      <c r="B27"/>
      <c r="C27"/>
      <c r="D27"/>
      <c r="E27"/>
      <c r="F27"/>
      <c r="G27"/>
      <c r="H27"/>
      <c r="I27"/>
      <c r="J27"/>
    </row>
    <row r="28" spans="1:10" s="18" customFormat="1" x14ac:dyDescent="0.3">
      <c r="A28" s="58" t="s">
        <v>129</v>
      </c>
      <c r="B28"/>
      <c r="C28"/>
      <c r="D28"/>
      <c r="E28"/>
      <c r="F28"/>
      <c r="G28"/>
      <c r="H28"/>
      <c r="I28"/>
      <c r="J28"/>
    </row>
    <row r="29" spans="1:10" s="18" customFormat="1" x14ac:dyDescent="0.3">
      <c r="A29" s="58" t="s">
        <v>108</v>
      </c>
      <c r="B29"/>
      <c r="C29"/>
      <c r="D29"/>
      <c r="E29"/>
      <c r="F29"/>
      <c r="G29"/>
      <c r="H29"/>
      <c r="I29"/>
      <c r="J29"/>
    </row>
    <row r="30" spans="1:10" s="18" customFormat="1" x14ac:dyDescent="0.3">
      <c r="A30" s="58" t="s">
        <v>103</v>
      </c>
      <c r="B30"/>
      <c r="C30"/>
      <c r="D30"/>
      <c r="E30"/>
      <c r="F30"/>
      <c r="G30"/>
      <c r="H30"/>
      <c r="I30"/>
      <c r="J30"/>
    </row>
    <row r="31" spans="1:10" s="18" customFormat="1" x14ac:dyDescent="0.3">
      <c r="A31" s="58" t="s">
        <v>74</v>
      </c>
      <c r="B31"/>
      <c r="C31"/>
      <c r="D31"/>
      <c r="E31"/>
      <c r="F31"/>
      <c r="G31"/>
      <c r="H31"/>
      <c r="I31"/>
      <c r="J31"/>
    </row>
    <row r="32" spans="1:10" s="18" customFormat="1" x14ac:dyDescent="0.3">
      <c r="A32" s="58" t="s">
        <v>91</v>
      </c>
      <c r="B32"/>
      <c r="C32"/>
      <c r="D32"/>
      <c r="E32"/>
      <c r="F32"/>
      <c r="G32"/>
      <c r="H32"/>
      <c r="I32"/>
      <c r="J32"/>
    </row>
    <row r="33" spans="1:10" s="18" customFormat="1" x14ac:dyDescent="0.3">
      <c r="A33" s="58" t="s">
        <v>81</v>
      </c>
      <c r="B33"/>
      <c r="C33"/>
      <c r="D33"/>
      <c r="E33"/>
      <c r="F33"/>
      <c r="G33"/>
      <c r="H33"/>
      <c r="I33"/>
      <c r="J33"/>
    </row>
    <row r="34" spans="1:10" s="18" customFormat="1" x14ac:dyDescent="0.3">
      <c r="A34" s="58" t="s">
        <v>120</v>
      </c>
      <c r="B34"/>
      <c r="C34"/>
      <c r="D34"/>
      <c r="E34"/>
      <c r="F34"/>
      <c r="G34"/>
      <c r="H34"/>
      <c r="I34"/>
      <c r="J34"/>
    </row>
    <row r="35" spans="1:10" s="18" customFormat="1" x14ac:dyDescent="0.3">
      <c r="A35" s="58" t="s">
        <v>148</v>
      </c>
      <c r="B35"/>
      <c r="C35"/>
      <c r="D35"/>
      <c r="E35"/>
      <c r="F35"/>
      <c r="G35"/>
      <c r="H35"/>
      <c r="I35"/>
      <c r="J35"/>
    </row>
    <row r="36" spans="1:10" s="18" customFormat="1" x14ac:dyDescent="0.3">
      <c r="A36" s="58" t="s">
        <v>38</v>
      </c>
      <c r="B36"/>
      <c r="C36"/>
      <c r="D36"/>
      <c r="E36"/>
      <c r="F36"/>
      <c r="G36"/>
      <c r="H36"/>
      <c r="I36"/>
      <c r="J36"/>
    </row>
    <row r="37" spans="1:10" s="18" customFormat="1" x14ac:dyDescent="0.3">
      <c r="A37" s="58" t="s">
        <v>144</v>
      </c>
      <c r="B37"/>
      <c r="C37"/>
      <c r="D37"/>
      <c r="E37"/>
      <c r="F37"/>
      <c r="G37"/>
      <c r="H37"/>
      <c r="I37"/>
      <c r="J37"/>
    </row>
    <row r="38" spans="1:10" s="18" customFormat="1" x14ac:dyDescent="0.3">
      <c r="A38" s="58" t="s">
        <v>170</v>
      </c>
      <c r="B38"/>
      <c r="C38"/>
      <c r="D38"/>
      <c r="E38"/>
      <c r="F38"/>
      <c r="G38"/>
      <c r="H38"/>
      <c r="I38"/>
      <c r="J38"/>
    </row>
    <row r="39" spans="1:10" s="18" customFormat="1" x14ac:dyDescent="0.3">
      <c r="A39" s="58" t="s">
        <v>104</v>
      </c>
      <c r="B39"/>
      <c r="C39"/>
      <c r="D39"/>
      <c r="E39"/>
      <c r="F39"/>
      <c r="G39"/>
      <c r="H39"/>
      <c r="I39"/>
      <c r="J39"/>
    </row>
    <row r="40" spans="1:10" s="18" customFormat="1" x14ac:dyDescent="0.3">
      <c r="A40" s="58" t="s">
        <v>111</v>
      </c>
      <c r="B40"/>
      <c r="C40"/>
      <c r="D40"/>
      <c r="E40"/>
      <c r="F40"/>
      <c r="G40"/>
      <c r="H40"/>
      <c r="I40"/>
      <c r="J40"/>
    </row>
    <row r="41" spans="1:10" s="18" customFormat="1" x14ac:dyDescent="0.3">
      <c r="A41" s="58" t="s">
        <v>88</v>
      </c>
      <c r="B41"/>
      <c r="C41"/>
      <c r="D41"/>
      <c r="E41"/>
      <c r="F41"/>
      <c r="G41"/>
      <c r="H41"/>
      <c r="I41"/>
      <c r="J41"/>
    </row>
    <row r="42" spans="1:10" s="18" customFormat="1" x14ac:dyDescent="0.3">
      <c r="A42" s="58" t="s">
        <v>102</v>
      </c>
      <c r="B42"/>
      <c r="C42"/>
      <c r="D42"/>
      <c r="E42"/>
      <c r="F42"/>
      <c r="G42"/>
      <c r="H42"/>
      <c r="I42"/>
      <c r="J42"/>
    </row>
    <row r="43" spans="1:10" s="18" customFormat="1" x14ac:dyDescent="0.3">
      <c r="A43" s="58" t="s">
        <v>126</v>
      </c>
      <c r="B43"/>
      <c r="C43"/>
      <c r="D43"/>
      <c r="E43"/>
      <c r="F43"/>
      <c r="G43"/>
      <c r="H43"/>
      <c r="I43"/>
      <c r="J43"/>
    </row>
    <row r="44" spans="1:10" s="18" customFormat="1" x14ac:dyDescent="0.3">
      <c r="A44" s="58" t="s">
        <v>96</v>
      </c>
      <c r="B44"/>
      <c r="C44"/>
      <c r="D44"/>
      <c r="E44"/>
      <c r="F44"/>
      <c r="G44"/>
      <c r="H44"/>
      <c r="I44"/>
      <c r="J44"/>
    </row>
    <row r="45" spans="1:10" s="18" customFormat="1" x14ac:dyDescent="0.3">
      <c r="A45" s="58" t="s">
        <v>154</v>
      </c>
      <c r="B45"/>
      <c r="C45"/>
      <c r="D45"/>
      <c r="E45"/>
      <c r="F45"/>
      <c r="G45"/>
      <c r="H45"/>
      <c r="I45"/>
      <c r="J45"/>
    </row>
    <row r="46" spans="1:10" s="18" customFormat="1" x14ac:dyDescent="0.3">
      <c r="A46" s="58" t="s">
        <v>106</v>
      </c>
      <c r="B46"/>
      <c r="C46"/>
      <c r="D46"/>
      <c r="E46"/>
      <c r="F46"/>
      <c r="G46"/>
      <c r="H46"/>
      <c r="I46"/>
      <c r="J46"/>
    </row>
    <row r="47" spans="1:10" s="18" customFormat="1" x14ac:dyDescent="0.3">
      <c r="A47" s="58" t="s">
        <v>160</v>
      </c>
      <c r="B47"/>
      <c r="C47"/>
      <c r="D47"/>
      <c r="E47"/>
      <c r="F47"/>
      <c r="G47"/>
      <c r="H47"/>
      <c r="I47"/>
      <c r="J47"/>
    </row>
    <row r="48" spans="1:10" s="18" customFormat="1" x14ac:dyDescent="0.3">
      <c r="A48" s="58" t="s">
        <v>179</v>
      </c>
      <c r="B48"/>
      <c r="C48"/>
      <c r="D48"/>
      <c r="E48"/>
      <c r="F48"/>
      <c r="G48"/>
      <c r="H48"/>
      <c r="I48"/>
      <c r="J48"/>
    </row>
    <row r="49" spans="1:10" s="18" customFormat="1" x14ac:dyDescent="0.3">
      <c r="A49" s="58" t="s">
        <v>72</v>
      </c>
      <c r="B49"/>
      <c r="C49"/>
      <c r="D49"/>
      <c r="E49"/>
      <c r="F49"/>
      <c r="G49"/>
      <c r="H49"/>
      <c r="I49"/>
      <c r="J49"/>
    </row>
    <row r="50" spans="1:10" s="18" customFormat="1" x14ac:dyDescent="0.3">
      <c r="A50" s="59">
        <v>45838</v>
      </c>
      <c r="B50"/>
      <c r="C50"/>
      <c r="D50"/>
      <c r="E50"/>
      <c r="F50"/>
      <c r="G50"/>
      <c r="H50"/>
      <c r="I50"/>
      <c r="J50"/>
    </row>
    <row r="51" spans="1:10" s="18" customFormat="1" x14ac:dyDescent="0.3">
      <c r="A51" s="58" t="s">
        <v>204</v>
      </c>
      <c r="B51"/>
      <c r="C51"/>
      <c r="D51"/>
      <c r="E51"/>
      <c r="F51"/>
      <c r="G51"/>
      <c r="H51">
        <v>1</v>
      </c>
      <c r="I51"/>
      <c r="J51">
        <v>1</v>
      </c>
    </row>
    <row r="52" spans="1:10" s="18" customFormat="1" x14ac:dyDescent="0.3">
      <c r="A52" s="30">
        <v>46014</v>
      </c>
      <c r="B52"/>
      <c r="C52"/>
      <c r="D52"/>
      <c r="E52"/>
      <c r="F52"/>
      <c r="G52">
        <v>1</v>
      </c>
      <c r="H52"/>
      <c r="I52"/>
      <c r="J52">
        <v>1</v>
      </c>
    </row>
    <row r="53" spans="1:10" s="18" customFormat="1" x14ac:dyDescent="0.3">
      <c r="A53" s="58" t="s">
        <v>130</v>
      </c>
      <c r="B53"/>
      <c r="C53"/>
      <c r="D53"/>
      <c r="E53"/>
      <c r="F53"/>
      <c r="G53"/>
      <c r="H53"/>
      <c r="I53"/>
      <c r="J53"/>
    </row>
    <row r="54" spans="1:10" s="18" customFormat="1" x14ac:dyDescent="0.3">
      <c r="A54" s="58" t="s">
        <v>136</v>
      </c>
      <c r="B54"/>
      <c r="C54"/>
      <c r="D54"/>
      <c r="E54"/>
      <c r="F54"/>
      <c r="G54"/>
      <c r="H54"/>
      <c r="I54"/>
      <c r="J54"/>
    </row>
    <row r="55" spans="1:10" s="18" customFormat="1" x14ac:dyDescent="0.3">
      <c r="A55" s="58" t="s">
        <v>85</v>
      </c>
      <c r="B55"/>
      <c r="C55"/>
      <c r="D55"/>
      <c r="E55"/>
      <c r="F55"/>
      <c r="G55"/>
      <c r="H55"/>
      <c r="I55"/>
      <c r="J55"/>
    </row>
    <row r="56" spans="1:10" s="18" customFormat="1" x14ac:dyDescent="0.3">
      <c r="A56" s="58" t="s">
        <v>141</v>
      </c>
      <c r="B56"/>
      <c r="C56"/>
      <c r="D56"/>
      <c r="E56"/>
      <c r="F56"/>
      <c r="G56"/>
      <c r="H56"/>
      <c r="I56"/>
      <c r="J56"/>
    </row>
    <row r="57" spans="1:10" s="18" customFormat="1" x14ac:dyDescent="0.3">
      <c r="A57" s="58" t="s">
        <v>181</v>
      </c>
      <c r="B57"/>
      <c r="C57"/>
      <c r="D57"/>
      <c r="E57"/>
      <c r="F57"/>
      <c r="G57"/>
      <c r="H57"/>
      <c r="I57"/>
      <c r="J57"/>
    </row>
    <row r="58" spans="1:10" s="18" customFormat="1" x14ac:dyDescent="0.3">
      <c r="A58" s="58" t="s">
        <v>152</v>
      </c>
      <c r="B58"/>
      <c r="C58"/>
      <c r="D58"/>
      <c r="E58"/>
      <c r="F58"/>
      <c r="G58"/>
      <c r="H58"/>
      <c r="I58"/>
      <c r="J58"/>
    </row>
    <row r="59" spans="1:10" s="18" customFormat="1" x14ac:dyDescent="0.3">
      <c r="A59" s="58" t="s">
        <v>129</v>
      </c>
      <c r="B59"/>
      <c r="C59"/>
      <c r="D59"/>
      <c r="E59"/>
      <c r="F59"/>
      <c r="G59"/>
      <c r="H59"/>
      <c r="I59"/>
      <c r="J59"/>
    </row>
    <row r="60" spans="1:10" s="18" customFormat="1" x14ac:dyDescent="0.3">
      <c r="A60" s="58" t="s">
        <v>108</v>
      </c>
      <c r="B60"/>
      <c r="C60"/>
      <c r="D60"/>
      <c r="E60"/>
      <c r="F60"/>
      <c r="G60"/>
      <c r="H60"/>
      <c r="I60"/>
      <c r="J60"/>
    </row>
    <row r="61" spans="1:10" s="18" customFormat="1" x14ac:dyDescent="0.3">
      <c r="A61" s="58" t="s">
        <v>103</v>
      </c>
      <c r="B61"/>
      <c r="C61"/>
      <c r="D61"/>
      <c r="E61"/>
      <c r="F61"/>
      <c r="G61"/>
      <c r="H61"/>
      <c r="I61"/>
      <c r="J61"/>
    </row>
    <row r="62" spans="1:10" s="18" customFormat="1" x14ac:dyDescent="0.3">
      <c r="A62" s="58" t="s">
        <v>74</v>
      </c>
      <c r="B62"/>
      <c r="C62"/>
      <c r="D62"/>
      <c r="E62"/>
      <c r="F62"/>
      <c r="G62"/>
      <c r="H62"/>
      <c r="I62"/>
      <c r="J62"/>
    </row>
    <row r="63" spans="1:10" s="18" customFormat="1" x14ac:dyDescent="0.3">
      <c r="A63" s="58" t="s">
        <v>91</v>
      </c>
      <c r="B63"/>
      <c r="C63"/>
      <c r="D63"/>
      <c r="E63"/>
      <c r="F63"/>
      <c r="G63"/>
      <c r="H63"/>
      <c r="I63"/>
      <c r="J63"/>
    </row>
    <row r="64" spans="1:10" s="18" customFormat="1" x14ac:dyDescent="0.3">
      <c r="A64" s="58" t="s">
        <v>81</v>
      </c>
      <c r="B64"/>
      <c r="C64"/>
      <c r="D64"/>
      <c r="E64"/>
      <c r="F64"/>
      <c r="G64"/>
      <c r="H64"/>
      <c r="I64"/>
      <c r="J64"/>
    </row>
    <row r="65" spans="1:10" s="18" customFormat="1" x14ac:dyDescent="0.3">
      <c r="A65" s="58" t="s">
        <v>120</v>
      </c>
      <c r="B65"/>
      <c r="C65"/>
      <c r="D65"/>
      <c r="E65"/>
      <c r="F65"/>
      <c r="G65"/>
      <c r="H65"/>
      <c r="I65"/>
      <c r="J65"/>
    </row>
    <row r="66" spans="1:10" s="18" customFormat="1" x14ac:dyDescent="0.3">
      <c r="A66" s="58" t="s">
        <v>148</v>
      </c>
      <c r="B66"/>
      <c r="C66"/>
      <c r="D66"/>
      <c r="E66"/>
      <c r="F66"/>
      <c r="G66"/>
      <c r="H66"/>
      <c r="I66"/>
      <c r="J66"/>
    </row>
    <row r="67" spans="1:10" s="18" customFormat="1" x14ac:dyDescent="0.3">
      <c r="A67" s="58" t="s">
        <v>38</v>
      </c>
      <c r="B67"/>
      <c r="C67"/>
      <c r="D67"/>
      <c r="E67"/>
      <c r="F67"/>
      <c r="G67"/>
      <c r="H67"/>
      <c r="I67"/>
      <c r="J67"/>
    </row>
    <row r="68" spans="1:10" s="18" customFormat="1" x14ac:dyDescent="0.3">
      <c r="A68" s="58" t="s">
        <v>144</v>
      </c>
      <c r="B68"/>
      <c r="C68"/>
      <c r="D68"/>
      <c r="E68"/>
      <c r="F68"/>
      <c r="G68"/>
      <c r="H68"/>
      <c r="I68"/>
      <c r="J68"/>
    </row>
    <row r="69" spans="1:10" s="18" customFormat="1" x14ac:dyDescent="0.3">
      <c r="A69" s="58" t="s">
        <v>170</v>
      </c>
      <c r="B69"/>
      <c r="C69"/>
      <c r="D69"/>
      <c r="E69"/>
      <c r="F69"/>
      <c r="G69"/>
      <c r="H69"/>
      <c r="I69"/>
      <c r="J69"/>
    </row>
    <row r="70" spans="1:10" s="18" customFormat="1" x14ac:dyDescent="0.3">
      <c r="A70" s="58" t="s">
        <v>104</v>
      </c>
      <c r="B70"/>
      <c r="C70"/>
      <c r="D70"/>
      <c r="E70"/>
      <c r="F70"/>
      <c r="G70"/>
      <c r="H70"/>
      <c r="I70"/>
      <c r="J70"/>
    </row>
    <row r="71" spans="1:10" s="18" customFormat="1" x14ac:dyDescent="0.3">
      <c r="A71" s="58" t="s">
        <v>111</v>
      </c>
      <c r="B71"/>
      <c r="C71"/>
      <c r="D71"/>
      <c r="E71"/>
      <c r="F71"/>
      <c r="G71"/>
      <c r="H71"/>
      <c r="I71"/>
      <c r="J71"/>
    </row>
    <row r="72" spans="1:10" s="18" customFormat="1" x14ac:dyDescent="0.3">
      <c r="A72" s="58" t="s">
        <v>88</v>
      </c>
      <c r="B72"/>
      <c r="C72"/>
      <c r="D72"/>
      <c r="E72"/>
      <c r="F72"/>
      <c r="G72"/>
      <c r="H72"/>
      <c r="I72"/>
      <c r="J72"/>
    </row>
    <row r="73" spans="1:10" s="18" customFormat="1" x14ac:dyDescent="0.3">
      <c r="A73" s="58" t="s">
        <v>102</v>
      </c>
      <c r="B73"/>
      <c r="C73"/>
      <c r="D73"/>
      <c r="E73"/>
      <c r="F73"/>
      <c r="G73"/>
      <c r="H73"/>
      <c r="I73"/>
      <c r="J73"/>
    </row>
    <row r="74" spans="1:10" s="18" customFormat="1" x14ac:dyDescent="0.3">
      <c r="A74" s="58" t="s">
        <v>126</v>
      </c>
      <c r="B74"/>
      <c r="C74"/>
      <c r="D74"/>
      <c r="E74"/>
      <c r="F74"/>
      <c r="G74"/>
      <c r="H74"/>
      <c r="I74"/>
      <c r="J74"/>
    </row>
    <row r="75" spans="1:10" s="18" customFormat="1" x14ac:dyDescent="0.3">
      <c r="A75" s="58" t="s">
        <v>96</v>
      </c>
      <c r="B75"/>
      <c r="C75"/>
      <c r="D75"/>
      <c r="E75"/>
      <c r="F75"/>
      <c r="G75"/>
      <c r="H75"/>
      <c r="I75"/>
      <c r="J75"/>
    </row>
    <row r="76" spans="1:10" s="18" customFormat="1" x14ac:dyDescent="0.3">
      <c r="A76" s="58" t="s">
        <v>154</v>
      </c>
      <c r="B76"/>
      <c r="C76"/>
      <c r="D76"/>
      <c r="E76"/>
      <c r="F76"/>
      <c r="G76"/>
      <c r="H76"/>
      <c r="I76"/>
      <c r="J76"/>
    </row>
    <row r="77" spans="1:10" s="18" customFormat="1" x14ac:dyDescent="0.3">
      <c r="A77" s="58" t="s">
        <v>106</v>
      </c>
      <c r="B77"/>
      <c r="C77"/>
      <c r="D77"/>
      <c r="E77"/>
      <c r="F77"/>
      <c r="G77"/>
      <c r="H77"/>
      <c r="I77"/>
      <c r="J77"/>
    </row>
    <row r="78" spans="1:10" s="18" customFormat="1" x14ac:dyDescent="0.3">
      <c r="A78" s="58" t="s">
        <v>160</v>
      </c>
      <c r="B78"/>
      <c r="C78"/>
      <c r="D78"/>
      <c r="E78"/>
      <c r="F78"/>
      <c r="G78"/>
      <c r="H78"/>
      <c r="I78"/>
      <c r="J78"/>
    </row>
    <row r="79" spans="1:10" s="18" customFormat="1" x14ac:dyDescent="0.3">
      <c r="A79" s="58" t="s">
        <v>179</v>
      </c>
      <c r="B79"/>
      <c r="C79"/>
      <c r="D79"/>
      <c r="E79"/>
      <c r="F79"/>
      <c r="G79"/>
      <c r="H79"/>
      <c r="I79"/>
      <c r="J79"/>
    </row>
    <row r="80" spans="1:10" s="18" customFormat="1" x14ac:dyDescent="0.3">
      <c r="A80" s="58" t="s">
        <v>72</v>
      </c>
      <c r="B80"/>
      <c r="C80"/>
      <c r="D80"/>
      <c r="E80"/>
      <c r="F80"/>
      <c r="G80"/>
      <c r="H80"/>
      <c r="I80"/>
      <c r="J80"/>
    </row>
    <row r="81" spans="1:10" s="18" customFormat="1" x14ac:dyDescent="0.3">
      <c r="A81" s="59">
        <v>45838</v>
      </c>
      <c r="B81"/>
      <c r="C81"/>
      <c r="D81"/>
      <c r="E81"/>
      <c r="F81"/>
      <c r="G81"/>
      <c r="H81"/>
      <c r="I81"/>
      <c r="J81"/>
    </row>
    <row r="82" spans="1:10" s="18" customFormat="1" x14ac:dyDescent="0.3">
      <c r="A82" s="58" t="s">
        <v>204</v>
      </c>
      <c r="B82"/>
      <c r="C82"/>
      <c r="D82"/>
      <c r="E82"/>
      <c r="F82"/>
      <c r="G82">
        <v>1</v>
      </c>
      <c r="H82"/>
      <c r="I82"/>
      <c r="J82">
        <v>1</v>
      </c>
    </row>
    <row r="83" spans="1:10" s="18" customFormat="1" x14ac:dyDescent="0.3">
      <c r="A83" s="30" t="s">
        <v>203</v>
      </c>
      <c r="B83">
        <v>100</v>
      </c>
      <c r="C83"/>
      <c r="D83"/>
      <c r="E83">
        <v>19</v>
      </c>
      <c r="F83">
        <v>3</v>
      </c>
      <c r="G83">
        <v>66</v>
      </c>
      <c r="H83">
        <v>84</v>
      </c>
      <c r="I83">
        <v>2</v>
      </c>
      <c r="J83">
        <v>274</v>
      </c>
    </row>
    <row r="84" spans="1:10" s="18" customFormat="1" x14ac:dyDescent="0.3">
      <c r="A84"/>
      <c r="B84"/>
      <c r="C84"/>
      <c r="D84"/>
      <c r="E84"/>
      <c r="F84"/>
      <c r="G84"/>
      <c r="H84"/>
      <c r="I84"/>
      <c r="J84"/>
    </row>
    <row r="85" spans="1:10" s="18" customFormat="1" x14ac:dyDescent="0.3">
      <c r="A85"/>
      <c r="B85"/>
      <c r="C85"/>
      <c r="D85"/>
      <c r="E85"/>
      <c r="F85"/>
      <c r="G85"/>
      <c r="H85"/>
      <c r="I85"/>
      <c r="J85"/>
    </row>
    <row r="86" spans="1:10" s="18" customFormat="1" x14ac:dyDescent="0.3">
      <c r="A86"/>
      <c r="B86"/>
      <c r="C86"/>
      <c r="D86"/>
      <c r="E86"/>
      <c r="F86"/>
      <c r="G86"/>
      <c r="H86"/>
      <c r="I86"/>
      <c r="J86"/>
    </row>
    <row r="87" spans="1:10" s="18" customFormat="1" x14ac:dyDescent="0.3">
      <c r="A87"/>
      <c r="B87"/>
      <c r="C87"/>
      <c r="D87"/>
      <c r="E87"/>
      <c r="F87"/>
      <c r="G87"/>
      <c r="H87"/>
      <c r="I87"/>
      <c r="J87"/>
    </row>
    <row r="88" spans="1:10" s="18" customFormat="1" x14ac:dyDescent="0.3">
      <c r="A88"/>
      <c r="B88"/>
      <c r="C88"/>
      <c r="D88"/>
      <c r="E88"/>
      <c r="F88"/>
      <c r="G88"/>
      <c r="H88"/>
      <c r="I88"/>
      <c r="J88"/>
    </row>
    <row r="89" spans="1:10" s="18" customFormat="1" x14ac:dyDescent="0.3">
      <c r="A89"/>
      <c r="B89"/>
      <c r="C89"/>
      <c r="D89"/>
      <c r="E89"/>
      <c r="F89"/>
      <c r="G89"/>
      <c r="H89"/>
      <c r="I89"/>
      <c r="J89"/>
    </row>
    <row r="90" spans="1:10" s="18" customFormat="1" x14ac:dyDescent="0.3">
      <c r="A90"/>
      <c r="B90"/>
      <c r="C90"/>
      <c r="D90"/>
      <c r="E90"/>
      <c r="F90"/>
      <c r="G90"/>
      <c r="H90"/>
      <c r="I90"/>
      <c r="J90"/>
    </row>
    <row r="91" spans="1:10" s="18" customFormat="1" x14ac:dyDescent="0.3">
      <c r="A91"/>
      <c r="B91"/>
      <c r="C91"/>
      <c r="D91"/>
      <c r="E91"/>
      <c r="F91"/>
      <c r="G91"/>
      <c r="H91"/>
      <c r="I91"/>
      <c r="J91"/>
    </row>
    <row r="92" spans="1:10" s="18" customFormat="1" x14ac:dyDescent="0.3">
      <c r="A92"/>
      <c r="B92"/>
      <c r="C92"/>
      <c r="D92"/>
      <c r="E92"/>
      <c r="F92"/>
      <c r="G92"/>
      <c r="H92"/>
      <c r="I92"/>
      <c r="J92"/>
    </row>
    <row r="93" spans="1:10" s="18" customFormat="1" x14ac:dyDescent="0.3">
      <c r="A93"/>
      <c r="B93"/>
      <c r="C93"/>
      <c r="D93"/>
      <c r="E93"/>
      <c r="F93"/>
      <c r="G93"/>
      <c r="H93"/>
      <c r="I93"/>
      <c r="J93"/>
    </row>
    <row r="94" spans="1:10" s="18" customFormat="1" x14ac:dyDescent="0.3">
      <c r="A94"/>
      <c r="B94"/>
      <c r="C94"/>
      <c r="D94"/>
      <c r="E94"/>
      <c r="F94"/>
      <c r="G94"/>
      <c r="H94"/>
      <c r="I94"/>
      <c r="J94"/>
    </row>
    <row r="95" spans="1:10" s="18" customFormat="1" x14ac:dyDescent="0.3">
      <c r="A95"/>
      <c r="B95"/>
      <c r="C95"/>
      <c r="D95"/>
      <c r="E95"/>
      <c r="F95"/>
      <c r="G95"/>
      <c r="H95"/>
      <c r="I95"/>
      <c r="J95"/>
    </row>
    <row r="96" spans="1:10" s="18" customFormat="1" x14ac:dyDescent="0.3">
      <c r="A96"/>
      <c r="B96"/>
      <c r="C96"/>
      <c r="D96"/>
      <c r="E96"/>
      <c r="F96"/>
      <c r="G96"/>
      <c r="H96"/>
      <c r="I96"/>
      <c r="J96"/>
    </row>
    <row r="97" spans="1:10" s="18" customFormat="1" x14ac:dyDescent="0.3">
      <c r="A97"/>
      <c r="B97"/>
      <c r="C97"/>
      <c r="D97"/>
      <c r="E97"/>
      <c r="F97"/>
      <c r="G97"/>
      <c r="H97"/>
      <c r="I97"/>
      <c r="J97"/>
    </row>
    <row r="98" spans="1:10" s="18" customFormat="1" x14ac:dyDescent="0.3">
      <c r="A98"/>
      <c r="B98"/>
      <c r="C98"/>
      <c r="D98"/>
      <c r="E98"/>
      <c r="F98"/>
      <c r="G98"/>
      <c r="H98"/>
      <c r="I98"/>
      <c r="J98"/>
    </row>
    <row r="99" spans="1:10" s="18" customFormat="1" x14ac:dyDescent="0.3">
      <c r="A99"/>
      <c r="B99"/>
      <c r="C99"/>
      <c r="D99"/>
      <c r="E99"/>
      <c r="F99"/>
      <c r="G99"/>
      <c r="H99"/>
      <c r="I99"/>
      <c r="J99"/>
    </row>
    <row r="100" spans="1:10" s="18" customFormat="1" x14ac:dyDescent="0.3">
      <c r="A100"/>
      <c r="B100"/>
      <c r="C100"/>
      <c r="D100"/>
      <c r="E100"/>
      <c r="F100"/>
      <c r="G100"/>
      <c r="H100"/>
      <c r="I100"/>
      <c r="J100"/>
    </row>
    <row r="101" spans="1:10" s="18" customFormat="1" x14ac:dyDescent="0.3">
      <c r="A101"/>
      <c r="B101"/>
      <c r="C101"/>
      <c r="D101"/>
      <c r="E101"/>
      <c r="F101"/>
      <c r="G101"/>
      <c r="H101"/>
      <c r="I101"/>
      <c r="J101"/>
    </row>
    <row r="102" spans="1:10" s="18" customFormat="1" x14ac:dyDescent="0.3">
      <c r="A102"/>
      <c r="B102"/>
      <c r="C102"/>
      <c r="D102"/>
      <c r="E102"/>
      <c r="F102"/>
      <c r="G102"/>
      <c r="H102"/>
      <c r="I102"/>
      <c r="J102"/>
    </row>
    <row r="103" spans="1:10" s="18" customFormat="1" x14ac:dyDescent="0.3">
      <c r="A103"/>
      <c r="B103"/>
      <c r="C103"/>
      <c r="D103"/>
      <c r="E103"/>
      <c r="F103"/>
      <c r="G103"/>
      <c r="H103"/>
      <c r="I103"/>
      <c r="J103"/>
    </row>
    <row r="104" spans="1:10" s="18" customFormat="1" x14ac:dyDescent="0.3">
      <c r="A104"/>
      <c r="B104"/>
      <c r="C104"/>
      <c r="D104"/>
      <c r="E104"/>
      <c r="F104"/>
      <c r="G104"/>
      <c r="H104"/>
      <c r="I104"/>
      <c r="J104"/>
    </row>
    <row r="105" spans="1:10" s="18" customFormat="1" x14ac:dyDescent="0.3">
      <c r="A105"/>
      <c r="B105"/>
      <c r="C105"/>
      <c r="D105"/>
      <c r="E105"/>
      <c r="F105"/>
      <c r="G105"/>
      <c r="H105"/>
      <c r="I105"/>
      <c r="J105"/>
    </row>
    <row r="106" spans="1:10" s="18" customFormat="1" x14ac:dyDescent="0.3">
      <c r="A106"/>
      <c r="B106"/>
      <c r="C106"/>
      <c r="D106"/>
      <c r="E106"/>
      <c r="F106"/>
      <c r="G106"/>
      <c r="H106"/>
      <c r="I106"/>
      <c r="J106"/>
    </row>
    <row r="107" spans="1:10" s="18" customFormat="1" x14ac:dyDescent="0.3">
      <c r="A107"/>
      <c r="B107"/>
      <c r="C107"/>
      <c r="D107"/>
      <c r="E107"/>
      <c r="F107"/>
      <c r="G107"/>
      <c r="H107"/>
      <c r="I107"/>
      <c r="J107"/>
    </row>
    <row r="108" spans="1:10" s="18" customFormat="1" x14ac:dyDescent="0.3">
      <c r="A108"/>
      <c r="B108"/>
      <c r="C108"/>
      <c r="D108"/>
      <c r="E108"/>
      <c r="F108"/>
      <c r="G108"/>
      <c r="H108"/>
      <c r="I108"/>
      <c r="J108"/>
    </row>
    <row r="109" spans="1:10" s="18" customFormat="1" x14ac:dyDescent="0.3">
      <c r="A109"/>
      <c r="B109"/>
      <c r="C109"/>
      <c r="D109"/>
      <c r="E109"/>
      <c r="F109"/>
      <c r="G109"/>
      <c r="H109"/>
      <c r="I109"/>
      <c r="J109"/>
    </row>
    <row r="110" spans="1:10" s="18" customFormat="1" x14ac:dyDescent="0.3">
      <c r="A110"/>
      <c r="B110"/>
      <c r="C110"/>
      <c r="D110"/>
      <c r="E110"/>
      <c r="F110"/>
      <c r="G110"/>
      <c r="H110"/>
      <c r="I110"/>
      <c r="J110"/>
    </row>
    <row r="111" spans="1:10" s="18" customFormat="1" x14ac:dyDescent="0.3">
      <c r="A111"/>
      <c r="B111"/>
      <c r="C111"/>
      <c r="D111"/>
      <c r="E111"/>
      <c r="F111"/>
      <c r="G111"/>
      <c r="H111"/>
      <c r="I111"/>
      <c r="J111"/>
    </row>
    <row r="112" spans="1:10" s="18" customFormat="1" x14ac:dyDescent="0.3">
      <c r="A112"/>
      <c r="B112"/>
      <c r="C112"/>
      <c r="D112"/>
      <c r="E112"/>
      <c r="F112"/>
      <c r="G112"/>
      <c r="H112"/>
      <c r="I112"/>
      <c r="J112"/>
    </row>
    <row r="113" spans="1:10" s="18" customFormat="1" x14ac:dyDescent="0.3">
      <c r="A113"/>
      <c r="B113"/>
      <c r="C113"/>
      <c r="D113"/>
      <c r="E113"/>
      <c r="F113"/>
      <c r="G113"/>
      <c r="H113"/>
      <c r="I113"/>
      <c r="J113"/>
    </row>
    <row r="114" spans="1:10" s="18" customFormat="1" x14ac:dyDescent="0.3"/>
    <row r="115" spans="1:10" s="18" customFormat="1" x14ac:dyDescent="0.3"/>
    <row r="116" spans="1:10" s="18" customFormat="1" x14ac:dyDescent="0.3"/>
    <row r="117" spans="1:10" s="18" customFormat="1" x14ac:dyDescent="0.3"/>
    <row r="118" spans="1:10" s="18" customFormat="1" x14ac:dyDescent="0.3"/>
    <row r="119" spans="1:10" s="18" customFormat="1" x14ac:dyDescent="0.3"/>
    <row r="120" spans="1:10" s="18" customFormat="1" x14ac:dyDescent="0.3"/>
    <row r="121" spans="1:10" s="18" customFormat="1" x14ac:dyDescent="0.3"/>
    <row r="122" spans="1:10" s="18" customFormat="1" x14ac:dyDescent="0.3"/>
    <row r="123" spans="1:10" s="18" customFormat="1" x14ac:dyDescent="0.3"/>
    <row r="124" spans="1:10" s="18" customFormat="1" x14ac:dyDescent="0.3"/>
    <row r="125" spans="1:10" s="18" customFormat="1" x14ac:dyDescent="0.3"/>
    <row r="126" spans="1:10" s="18" customFormat="1" x14ac:dyDescent="0.3"/>
    <row r="127" spans="1:10" s="18" customFormat="1" x14ac:dyDescent="0.3"/>
    <row r="128" spans="1:10" s="18" customFormat="1" x14ac:dyDescent="0.3"/>
    <row r="129" s="18" customFormat="1" x14ac:dyDescent="0.3"/>
    <row r="130" s="18" customFormat="1" x14ac:dyDescent="0.3"/>
    <row r="131" s="18" customFormat="1" x14ac:dyDescent="0.3"/>
    <row r="132" s="18" customFormat="1" x14ac:dyDescent="0.3"/>
    <row r="133" s="18" customFormat="1" x14ac:dyDescent="0.3"/>
    <row r="134" s="18" customFormat="1" x14ac:dyDescent="0.3"/>
    <row r="135" s="18" customFormat="1" x14ac:dyDescent="0.3"/>
    <row r="136" s="18" customFormat="1" x14ac:dyDescent="0.3"/>
    <row r="137" s="18" customFormat="1" x14ac:dyDescent="0.3"/>
    <row r="138" s="18" customFormat="1" x14ac:dyDescent="0.3"/>
    <row r="139" s="18" customFormat="1" x14ac:dyDescent="0.3"/>
    <row r="140" s="18" customFormat="1" x14ac:dyDescent="0.3"/>
    <row r="141" s="18" customFormat="1" x14ac:dyDescent="0.3"/>
    <row r="142" s="18" customFormat="1" x14ac:dyDescent="0.3"/>
    <row r="143" s="18" customFormat="1" x14ac:dyDescent="0.3"/>
    <row r="144" s="18" customFormat="1" x14ac:dyDescent="0.3"/>
    <row r="145" s="18" customFormat="1" x14ac:dyDescent="0.3"/>
    <row r="146" s="18" customFormat="1" x14ac:dyDescent="0.3"/>
    <row r="147" s="18" customFormat="1" x14ac:dyDescent="0.3"/>
    <row r="148" s="18" customFormat="1" x14ac:dyDescent="0.3"/>
    <row r="149" s="18" customFormat="1" x14ac:dyDescent="0.3"/>
    <row r="150" s="18" customFormat="1" x14ac:dyDescent="0.3"/>
    <row r="151" s="18" customFormat="1" x14ac:dyDescent="0.3"/>
    <row r="152" s="18" customFormat="1" x14ac:dyDescent="0.3"/>
    <row r="153" s="18" customFormat="1" x14ac:dyDescent="0.3"/>
    <row r="154" s="18" customFormat="1" x14ac:dyDescent="0.3"/>
    <row r="155" s="18" customFormat="1" x14ac:dyDescent="0.3"/>
    <row r="156" s="18" customFormat="1" x14ac:dyDescent="0.3"/>
    <row r="157" s="18" customFormat="1" x14ac:dyDescent="0.3"/>
    <row r="158" s="18" customFormat="1" x14ac:dyDescent="0.3"/>
    <row r="159" s="18" customFormat="1" x14ac:dyDescent="0.3"/>
    <row r="160" s="18" customFormat="1" x14ac:dyDescent="0.3"/>
    <row r="161" s="18" customFormat="1" x14ac:dyDescent="0.3"/>
    <row r="162" s="18" customFormat="1" x14ac:dyDescent="0.3"/>
    <row r="163" s="18" customFormat="1" x14ac:dyDescent="0.3"/>
    <row r="164" s="18" customFormat="1" x14ac:dyDescent="0.3"/>
    <row r="165" s="18" customFormat="1" x14ac:dyDescent="0.3"/>
    <row r="166" s="18" customFormat="1" x14ac:dyDescent="0.3"/>
    <row r="167" s="18" customFormat="1" x14ac:dyDescent="0.3"/>
    <row r="168" s="18" customFormat="1" x14ac:dyDescent="0.3"/>
    <row r="169" s="18" customFormat="1" x14ac:dyDescent="0.3"/>
    <row r="170" s="18" customFormat="1" x14ac:dyDescent="0.3"/>
    <row r="171" s="18" customFormat="1" x14ac:dyDescent="0.3"/>
    <row r="172" s="18" customFormat="1" x14ac:dyDescent="0.3"/>
    <row r="173" s="18" customFormat="1" x14ac:dyDescent="0.3"/>
    <row r="174" s="18" customFormat="1" x14ac:dyDescent="0.3"/>
    <row r="175" s="18" customFormat="1" x14ac:dyDescent="0.3"/>
    <row r="176" s="18" customFormat="1" x14ac:dyDescent="0.3"/>
    <row r="177" s="18" customFormat="1" x14ac:dyDescent="0.3"/>
    <row r="178" s="18" customFormat="1" x14ac:dyDescent="0.3"/>
    <row r="179" s="18" customFormat="1" x14ac:dyDescent="0.3"/>
    <row r="180" s="18" customFormat="1" x14ac:dyDescent="0.3"/>
    <row r="181" s="18" customFormat="1" x14ac:dyDescent="0.3"/>
    <row r="182" s="18" customFormat="1" x14ac:dyDescent="0.3"/>
    <row r="183" s="18" customFormat="1" x14ac:dyDescent="0.3"/>
    <row r="184" s="18" customFormat="1" x14ac:dyDescent="0.3"/>
    <row r="185" s="18" customFormat="1" x14ac:dyDescent="0.3"/>
    <row r="186" s="18" customFormat="1" x14ac:dyDescent="0.3"/>
    <row r="187" s="18" customFormat="1" x14ac:dyDescent="0.3"/>
    <row r="188" s="18" customFormat="1" x14ac:dyDescent="0.3"/>
    <row r="189" s="18" customFormat="1" x14ac:dyDescent="0.3"/>
    <row r="190" s="18" customFormat="1" x14ac:dyDescent="0.3"/>
    <row r="191" s="18" customFormat="1" x14ac:dyDescent="0.3"/>
    <row r="192" s="18" customFormat="1" x14ac:dyDescent="0.3"/>
    <row r="193" s="18" customFormat="1" x14ac:dyDescent="0.3"/>
    <row r="194" s="18" customFormat="1" x14ac:dyDescent="0.3"/>
    <row r="195" s="18" customFormat="1" x14ac:dyDescent="0.3"/>
    <row r="196" s="18" customFormat="1" x14ac:dyDescent="0.3"/>
    <row r="197" s="18" customFormat="1" x14ac:dyDescent="0.3"/>
    <row r="198" s="18" customFormat="1" x14ac:dyDescent="0.3"/>
    <row r="199" s="18" customFormat="1" x14ac:dyDescent="0.3"/>
    <row r="200" s="18" customFormat="1" x14ac:dyDescent="0.3"/>
    <row r="201" s="18" customFormat="1" x14ac:dyDescent="0.3"/>
    <row r="202" s="18" customFormat="1" x14ac:dyDescent="0.3"/>
    <row r="203" s="18" customFormat="1" x14ac:dyDescent="0.3"/>
    <row r="204" s="18" customFormat="1" x14ac:dyDescent="0.3"/>
    <row r="205" s="18" customFormat="1" x14ac:dyDescent="0.3"/>
    <row r="206" s="18" customFormat="1" x14ac:dyDescent="0.3"/>
    <row r="207" s="18" customFormat="1" x14ac:dyDescent="0.3"/>
    <row r="208" s="18" customFormat="1" x14ac:dyDescent="0.3"/>
    <row r="209" s="18" customFormat="1" x14ac:dyDescent="0.3"/>
    <row r="210" s="18" customFormat="1" x14ac:dyDescent="0.3"/>
    <row r="211" s="18" customFormat="1" x14ac:dyDescent="0.3"/>
    <row r="212" s="18" customFormat="1" x14ac:dyDescent="0.3"/>
    <row r="213" s="18" customFormat="1" x14ac:dyDescent="0.3"/>
    <row r="214" s="18" customFormat="1" x14ac:dyDescent="0.3"/>
    <row r="215" s="18" customFormat="1" x14ac:dyDescent="0.3"/>
    <row r="216" s="18" customFormat="1" x14ac:dyDescent="0.3"/>
    <row r="217" s="18" customFormat="1" x14ac:dyDescent="0.3"/>
    <row r="218" s="18" customFormat="1" x14ac:dyDescent="0.3"/>
    <row r="219" s="18" customFormat="1" x14ac:dyDescent="0.3"/>
    <row r="220" s="18" customFormat="1" x14ac:dyDescent="0.3"/>
    <row r="221" s="18" customFormat="1" x14ac:dyDescent="0.3"/>
    <row r="222" s="18" customFormat="1" x14ac:dyDescent="0.3"/>
    <row r="223" s="18" customFormat="1" x14ac:dyDescent="0.3"/>
    <row r="224" s="18" customFormat="1" x14ac:dyDescent="0.3"/>
    <row r="225" s="18" customFormat="1" x14ac:dyDescent="0.3"/>
    <row r="226" s="18" customFormat="1" x14ac:dyDescent="0.3"/>
    <row r="227" s="18" customFormat="1" x14ac:dyDescent="0.3"/>
    <row r="228" s="18" customFormat="1" x14ac:dyDescent="0.3"/>
    <row r="229" s="18" customFormat="1" x14ac:dyDescent="0.3"/>
    <row r="230" s="18" customFormat="1" x14ac:dyDescent="0.3"/>
    <row r="231" s="18" customFormat="1" x14ac:dyDescent="0.3"/>
    <row r="232" s="18" customFormat="1" x14ac:dyDescent="0.3"/>
    <row r="233" s="18" customFormat="1" x14ac:dyDescent="0.3"/>
    <row r="234" s="18" customFormat="1" x14ac:dyDescent="0.3"/>
    <row r="235" s="18" customFormat="1" x14ac:dyDescent="0.3"/>
    <row r="236" s="18" customFormat="1" x14ac:dyDescent="0.3"/>
    <row r="237" s="18" customFormat="1" x14ac:dyDescent="0.3"/>
    <row r="238" s="18" customFormat="1" x14ac:dyDescent="0.3"/>
    <row r="239" s="18" customFormat="1" x14ac:dyDescent="0.3"/>
    <row r="240" s="18" customFormat="1" x14ac:dyDescent="0.3"/>
    <row r="241" s="18" customFormat="1" x14ac:dyDescent="0.3"/>
    <row r="242" s="18" customFormat="1" x14ac:dyDescent="0.3"/>
    <row r="243" s="18" customFormat="1" x14ac:dyDescent="0.3"/>
    <row r="244" s="18" customFormat="1" x14ac:dyDescent="0.3"/>
    <row r="245" s="18" customFormat="1" x14ac:dyDescent="0.3"/>
    <row r="246" s="18" customFormat="1" x14ac:dyDescent="0.3"/>
    <row r="247" s="18" customFormat="1" x14ac:dyDescent="0.3"/>
    <row r="248" s="18" customFormat="1" x14ac:dyDescent="0.3"/>
    <row r="249" s="18" customFormat="1" x14ac:dyDescent="0.3"/>
    <row r="250" s="18" customFormat="1" x14ac:dyDescent="0.3"/>
    <row r="251" s="18" customFormat="1" x14ac:dyDescent="0.3"/>
    <row r="252" s="18" customFormat="1" x14ac:dyDescent="0.3"/>
    <row r="253" s="18" customFormat="1" x14ac:dyDescent="0.3"/>
    <row r="254" s="18" customFormat="1" x14ac:dyDescent="0.3"/>
    <row r="255" s="18" customFormat="1" x14ac:dyDescent="0.3"/>
    <row r="256" s="18" customFormat="1" x14ac:dyDescent="0.3"/>
    <row r="257" s="18" customFormat="1" x14ac:dyDescent="0.3"/>
    <row r="258" s="18" customFormat="1" x14ac:dyDescent="0.3"/>
    <row r="259" s="18" customFormat="1" x14ac:dyDescent="0.3"/>
    <row r="260" s="18" customFormat="1" x14ac:dyDescent="0.3"/>
    <row r="261" s="18" customFormat="1" x14ac:dyDescent="0.3"/>
    <row r="262" s="18" customFormat="1" x14ac:dyDescent="0.3"/>
    <row r="263" s="18" customFormat="1" x14ac:dyDescent="0.3"/>
    <row r="264" s="18" customFormat="1" x14ac:dyDescent="0.3"/>
    <row r="265" s="18" customFormat="1" x14ac:dyDescent="0.3"/>
    <row r="266" s="18" customFormat="1" x14ac:dyDescent="0.3"/>
    <row r="267" s="18" customFormat="1" x14ac:dyDescent="0.3"/>
    <row r="268" s="18" customFormat="1" x14ac:dyDescent="0.3"/>
    <row r="269" s="18" customFormat="1" x14ac:dyDescent="0.3"/>
    <row r="270" s="18" customFormat="1" x14ac:dyDescent="0.3"/>
    <row r="271" s="18" customFormat="1" x14ac:dyDescent="0.3"/>
    <row r="272" s="18" customFormat="1" x14ac:dyDescent="0.3"/>
    <row r="273" s="18" customFormat="1" x14ac:dyDescent="0.3"/>
    <row r="274" s="18" customFormat="1" x14ac:dyDescent="0.3"/>
    <row r="275" s="18" customFormat="1" x14ac:dyDescent="0.3"/>
    <row r="276" s="18" customFormat="1" x14ac:dyDescent="0.3"/>
    <row r="277" s="18" customFormat="1" x14ac:dyDescent="0.3"/>
    <row r="278" s="18" customFormat="1" x14ac:dyDescent="0.3"/>
    <row r="279" s="18" customFormat="1" x14ac:dyDescent="0.3"/>
    <row r="280" s="18" customFormat="1" x14ac:dyDescent="0.3"/>
    <row r="281" s="18" customFormat="1" x14ac:dyDescent="0.3"/>
    <row r="282" s="18" customFormat="1" x14ac:dyDescent="0.3"/>
    <row r="283" s="18" customFormat="1" x14ac:dyDescent="0.3"/>
    <row r="284" s="18" customFormat="1" x14ac:dyDescent="0.3"/>
    <row r="285" s="18" customFormat="1" x14ac:dyDescent="0.3"/>
    <row r="286" s="18" customFormat="1" x14ac:dyDescent="0.3"/>
    <row r="287" s="18" customFormat="1" x14ac:dyDescent="0.3"/>
    <row r="288" s="18" customFormat="1" x14ac:dyDescent="0.3"/>
    <row r="289" s="18" customFormat="1" x14ac:dyDescent="0.3"/>
    <row r="290" s="18" customFormat="1" x14ac:dyDescent="0.3"/>
    <row r="291" s="18" customFormat="1" x14ac:dyDescent="0.3"/>
    <row r="292" s="18" customFormat="1" x14ac:dyDescent="0.3"/>
    <row r="293" s="18" customFormat="1" x14ac:dyDescent="0.3"/>
    <row r="294" s="18" customFormat="1" x14ac:dyDescent="0.3"/>
    <row r="295" s="18" customFormat="1" x14ac:dyDescent="0.3"/>
    <row r="296" s="18" customFormat="1" x14ac:dyDescent="0.3"/>
    <row r="297" s="18" customFormat="1" x14ac:dyDescent="0.3"/>
    <row r="298" s="18" customFormat="1" x14ac:dyDescent="0.3"/>
    <row r="299" s="18" customFormat="1" x14ac:dyDescent="0.3"/>
    <row r="300" s="18" customFormat="1" x14ac:dyDescent="0.3"/>
    <row r="301" s="18" customFormat="1" x14ac:dyDescent="0.3"/>
    <row r="302" s="18" customFormat="1" x14ac:dyDescent="0.3"/>
    <row r="303" s="18" customFormat="1" x14ac:dyDescent="0.3"/>
    <row r="304" s="18" customFormat="1" x14ac:dyDescent="0.3"/>
    <row r="305" s="18" customFormat="1" x14ac:dyDescent="0.3"/>
    <row r="306" s="18" customFormat="1" x14ac:dyDescent="0.3"/>
    <row r="307" s="18" customFormat="1" x14ac:dyDescent="0.3"/>
    <row r="308" s="18" customFormat="1" x14ac:dyDescent="0.3"/>
    <row r="309" s="18" customFormat="1" x14ac:dyDescent="0.3"/>
    <row r="310" s="18" customFormat="1" x14ac:dyDescent="0.3"/>
    <row r="311" s="18" customFormat="1" x14ac:dyDescent="0.3"/>
    <row r="312" s="18" customFormat="1" x14ac:dyDescent="0.3"/>
    <row r="313" s="18" customFormat="1" x14ac:dyDescent="0.3"/>
    <row r="314" s="18" customFormat="1" x14ac:dyDescent="0.3"/>
    <row r="315" s="18" customFormat="1" x14ac:dyDescent="0.3"/>
    <row r="316" s="18" customFormat="1" x14ac:dyDescent="0.3"/>
    <row r="317" s="18" customFormat="1" x14ac:dyDescent="0.3"/>
    <row r="318" s="18" customFormat="1" x14ac:dyDescent="0.3"/>
    <row r="319" s="18" customFormat="1" x14ac:dyDescent="0.3"/>
    <row r="320" s="18" customFormat="1" x14ac:dyDescent="0.3"/>
    <row r="321" s="18" customFormat="1" x14ac:dyDescent="0.3"/>
    <row r="322" s="18" customFormat="1" x14ac:dyDescent="0.3"/>
    <row r="323" s="18" customFormat="1" x14ac:dyDescent="0.3"/>
    <row r="324" s="18" customFormat="1" x14ac:dyDescent="0.3"/>
    <row r="325" s="18" customFormat="1" x14ac:dyDescent="0.3"/>
    <row r="326" s="18" customFormat="1" x14ac:dyDescent="0.3"/>
    <row r="327" s="18" customFormat="1" x14ac:dyDescent="0.3"/>
    <row r="328" s="18" customFormat="1" x14ac:dyDescent="0.3"/>
    <row r="329" s="18" customFormat="1" x14ac:dyDescent="0.3"/>
    <row r="330" s="18" customFormat="1" x14ac:dyDescent="0.3"/>
    <row r="331" s="18" customFormat="1" x14ac:dyDescent="0.3"/>
    <row r="332" s="18" customFormat="1" x14ac:dyDescent="0.3"/>
    <row r="333" s="18" customFormat="1" x14ac:dyDescent="0.3"/>
    <row r="334" s="18" customFormat="1" x14ac:dyDescent="0.3"/>
    <row r="335" s="18" customFormat="1" x14ac:dyDescent="0.3"/>
    <row r="336" s="18" customFormat="1" x14ac:dyDescent="0.3"/>
    <row r="337" s="18" customFormat="1" x14ac:dyDescent="0.3"/>
    <row r="338" s="18" customFormat="1" x14ac:dyDescent="0.3"/>
    <row r="339" s="18" customFormat="1" x14ac:dyDescent="0.3"/>
    <row r="340" s="18" customForma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BA40-4D8D-447B-9ED2-92052B4B36EE}">
  <dimension ref="A1:E9"/>
  <sheetViews>
    <sheetView workbookViewId="0">
      <selection activeCell="E15" sqref="E15"/>
    </sheetView>
  </sheetViews>
  <sheetFormatPr defaultRowHeight="14.4" x14ac:dyDescent="0.3"/>
  <cols>
    <col min="1" max="1" width="12" customWidth="1"/>
    <col min="2" max="2" width="18.109375" bestFit="1" customWidth="1"/>
    <col min="4" max="4" width="10.5546875" customWidth="1"/>
    <col min="5" max="5" width="19.5546875" bestFit="1" customWidth="1"/>
  </cols>
  <sheetData>
    <row r="1" spans="1:5" x14ac:dyDescent="0.3">
      <c r="A1" t="s">
        <v>205</v>
      </c>
      <c r="B1" t="s">
        <v>8</v>
      </c>
      <c r="D1" t="s">
        <v>206</v>
      </c>
      <c r="E1" t="s">
        <v>207</v>
      </c>
    </row>
    <row r="2" spans="1:5" x14ac:dyDescent="0.3">
      <c r="A2" s="3">
        <f>COUNTIF(Coaching!I1:I9880,Tabel1[[#This Row],[Teamcoach]])</f>
        <v>4</v>
      </c>
      <c r="B2" s="3" t="s">
        <v>50</v>
      </c>
      <c r="D2">
        <f>COUNTIF('Voltooide coachings'!G:G,Tabel1[[#This Row],[Teamcoach]])</f>
        <v>46</v>
      </c>
      <c r="E2" t="str">
        <f>Tabel1[[#This Row],[Teamcoach]]</f>
        <v>Christoff Rotty</v>
      </c>
    </row>
    <row r="3" spans="1:5" x14ac:dyDescent="0.3">
      <c r="A3" s="3">
        <f>COUNTIF(Coaching!I2:I9881,Tabel1[[#This Row],[Teamcoach]])</f>
        <v>14</v>
      </c>
      <c r="B3" s="3" t="s">
        <v>208</v>
      </c>
      <c r="D3">
        <f>COUNTIF('Voltooide coachings'!G:G,Tabel1[[#This Row],[Teamcoach]])</f>
        <v>34</v>
      </c>
      <c r="E3" t="str">
        <f>Tabel1[[#This Row],[Teamcoach]]</f>
        <v>Bart Van der Beken</v>
      </c>
    </row>
    <row r="4" spans="1:5" x14ac:dyDescent="0.3">
      <c r="A4" s="3">
        <f>COUNTIF(Coaching!I2:I9882,Tabel1[[#This Row],[Teamcoach]])</f>
        <v>5</v>
      </c>
      <c r="B4" s="3" t="s">
        <v>55</v>
      </c>
      <c r="D4">
        <f>COUNTIF('Voltooide coachings'!G:G,Tabel1[[#This Row],[Teamcoach]])</f>
        <v>29</v>
      </c>
      <c r="E4" t="str">
        <f>Tabel1[[#This Row],[Teamcoach]]</f>
        <v>Els Dewulf</v>
      </c>
    </row>
    <row r="5" spans="1:5" x14ac:dyDescent="0.3">
      <c r="A5" s="3">
        <f>COUNTIF(Coaching!I2:I9883,Tabel1[[#This Row],[Teamcoach]])</f>
        <v>9</v>
      </c>
      <c r="B5" s="3" t="s">
        <v>209</v>
      </c>
      <c r="D5">
        <f>COUNTIF('Voltooide coachings'!G:G,Tabel1[[#This Row],[Teamcoach]])</f>
        <v>39</v>
      </c>
      <c r="E5" t="str">
        <f>Tabel1[[#This Row],[Teamcoach]]</f>
        <v>Els Vanhoe</v>
      </c>
    </row>
    <row r="6" spans="1:5" x14ac:dyDescent="0.3">
      <c r="A6" s="3">
        <f>COUNTIF(Coaching!I3:I9884,Tabel1[[#This Row],[Teamcoach]])</f>
        <v>5</v>
      </c>
      <c r="B6" s="3" t="s">
        <v>210</v>
      </c>
      <c r="D6">
        <f>COUNTIF('Voltooide coachings'!G:G,Tabel1[[#This Row],[Teamcoach]])</f>
        <v>45</v>
      </c>
      <c r="E6" t="str">
        <f>Tabel1[[#This Row],[Teamcoach]]</f>
        <v>Dominique De Clercq</v>
      </c>
    </row>
    <row r="7" spans="1:5" x14ac:dyDescent="0.3">
      <c r="A7" s="3">
        <f>COUNTIF(Coaching!I4:I9885,Tabel1[[#This Row],[Teamcoach]])</f>
        <v>4</v>
      </c>
      <c r="B7" s="3" t="s">
        <v>211</v>
      </c>
      <c r="D7">
        <f>COUNTIF('Voltooide coachings'!G:G,Tabel1[[#This Row],[Teamcoach]])</f>
        <v>21</v>
      </c>
      <c r="E7" t="str">
        <f>Tabel1[[#This Row],[Teamcoach]]</f>
        <v>Steven Storm</v>
      </c>
    </row>
    <row r="8" spans="1:5" x14ac:dyDescent="0.3">
      <c r="A8" s="3">
        <f>COUNTIF(Coaching!I4:I9886,Tabel1[[#This Row],[Teamcoach]])</f>
        <v>10</v>
      </c>
      <c r="B8" s="3" t="s">
        <v>175</v>
      </c>
      <c r="D8">
        <f>COUNTIF('Voltooide coachings'!G:G,Tabel1[[#This Row],[Teamcoach]])</f>
        <v>30</v>
      </c>
      <c r="E8" t="str">
        <f>Tabel1[[#This Row],[Teamcoach]]</f>
        <v>Lucie Vande Velde</v>
      </c>
    </row>
    <row r="9" spans="1:5" x14ac:dyDescent="0.3">
      <c r="A9" s="3">
        <f>COUNTIF(Coaching!I4:I9887,Tabel1[[#This Row],[Teamcoach]])</f>
        <v>8</v>
      </c>
      <c r="B9" s="9" t="s">
        <v>212</v>
      </c>
      <c r="D9">
        <f>COUNTIF('Voltooide coachings'!G:G,Tabel1[[#This Row],[Teamcoach]])</f>
        <v>36</v>
      </c>
      <c r="E9" t="str">
        <f>Tabel1[[#This Row],[Teamcoach]]</f>
        <v>Kenneth De Rick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2CE1-F971-4B97-A453-3EBB60C6B7BA}">
  <dimension ref="A1:I23"/>
  <sheetViews>
    <sheetView showFormulas="1" workbookViewId="0">
      <selection activeCell="G14" sqref="G14"/>
    </sheetView>
  </sheetViews>
  <sheetFormatPr defaultRowHeight="14.4" x14ac:dyDescent="0.3"/>
  <cols>
    <col min="3" max="3" width="12.44140625" bestFit="1" customWidth="1"/>
    <col min="5" max="5" width="26.5546875" bestFit="1" customWidth="1"/>
    <col min="6" max="6" width="10.5546875" bestFit="1" customWidth="1"/>
    <col min="8" max="8" width="10.44140625" bestFit="1" customWidth="1"/>
  </cols>
  <sheetData>
    <row r="1" spans="1:9" x14ac:dyDescent="0.3">
      <c r="A1" t="s">
        <v>213</v>
      </c>
      <c r="B1" t="s">
        <v>40</v>
      </c>
      <c r="C1" t="s">
        <v>7</v>
      </c>
      <c r="D1" t="s">
        <v>11</v>
      </c>
      <c r="E1" t="s">
        <v>214</v>
      </c>
      <c r="F1" t="s">
        <v>191</v>
      </c>
      <c r="G1" t="s">
        <v>215</v>
      </c>
      <c r="H1" t="s">
        <v>216</v>
      </c>
      <c r="I1" t="s">
        <v>217</v>
      </c>
    </row>
    <row r="2" spans="1:9" x14ac:dyDescent="0.3">
      <c r="A2" t="s">
        <v>23</v>
      </c>
      <c r="B2" t="s">
        <v>23</v>
      </c>
      <c r="C2" t="s">
        <v>42</v>
      </c>
      <c r="D2" t="s">
        <v>32</v>
      </c>
      <c r="E2" t="s">
        <v>8</v>
      </c>
      <c r="F2" t="s">
        <v>162</v>
      </c>
      <c r="G2" t="s">
        <v>108</v>
      </c>
      <c r="H2" t="s">
        <v>184</v>
      </c>
      <c r="I2" t="s">
        <v>218</v>
      </c>
    </row>
    <row r="3" spans="1:9" x14ac:dyDescent="0.3">
      <c r="A3" t="s">
        <v>219</v>
      </c>
      <c r="B3" t="s">
        <v>69</v>
      </c>
      <c r="C3" t="s">
        <v>220</v>
      </c>
      <c r="D3" t="s">
        <v>25</v>
      </c>
      <c r="E3" t="s">
        <v>221</v>
      </c>
      <c r="F3" t="s">
        <v>165</v>
      </c>
      <c r="G3" t="s">
        <v>222</v>
      </c>
      <c r="H3" t="s">
        <v>223</v>
      </c>
      <c r="I3" t="s">
        <v>69</v>
      </c>
    </row>
    <row r="4" spans="1:9" x14ac:dyDescent="0.3">
      <c r="A4" t="s">
        <v>224</v>
      </c>
      <c r="E4" t="s">
        <v>225</v>
      </c>
      <c r="F4" t="s">
        <v>169</v>
      </c>
      <c r="G4" t="s">
        <v>163</v>
      </c>
      <c r="H4" t="s">
        <v>180</v>
      </c>
    </row>
    <row r="5" spans="1:9" x14ac:dyDescent="0.3">
      <c r="A5" t="s">
        <v>69</v>
      </c>
      <c r="E5" t="s">
        <v>94</v>
      </c>
      <c r="F5" t="s">
        <v>87</v>
      </c>
      <c r="G5" t="s">
        <v>226</v>
      </c>
      <c r="H5" t="s">
        <v>140</v>
      </c>
    </row>
    <row r="6" spans="1:9" x14ac:dyDescent="0.3">
      <c r="E6" t="s">
        <v>178</v>
      </c>
      <c r="F6" t="s">
        <v>103</v>
      </c>
      <c r="G6" t="s">
        <v>166</v>
      </c>
      <c r="H6" t="s">
        <v>164</v>
      </c>
    </row>
    <row r="7" spans="1:9" x14ac:dyDescent="0.3">
      <c r="E7" t="s">
        <v>135</v>
      </c>
      <c r="G7" t="s">
        <v>167</v>
      </c>
      <c r="H7" t="s">
        <v>161</v>
      </c>
    </row>
    <row r="8" spans="1:9" x14ac:dyDescent="0.3">
      <c r="E8" t="s">
        <v>77</v>
      </c>
      <c r="G8" t="s">
        <v>186</v>
      </c>
    </row>
    <row r="9" spans="1:9" x14ac:dyDescent="0.3">
      <c r="E9" t="s">
        <v>137</v>
      </c>
      <c r="G9" t="s">
        <v>74</v>
      </c>
    </row>
    <row r="10" spans="1:9" x14ac:dyDescent="0.3">
      <c r="E10" t="s">
        <v>227</v>
      </c>
      <c r="G10" t="s">
        <v>139</v>
      </c>
    </row>
    <row r="11" spans="1:9" x14ac:dyDescent="0.3">
      <c r="E11" t="s">
        <v>47</v>
      </c>
      <c r="G11" t="s">
        <v>228</v>
      </c>
    </row>
    <row r="12" spans="1:9" x14ac:dyDescent="0.3">
      <c r="E12" t="s">
        <v>89</v>
      </c>
      <c r="G12" t="s">
        <v>179</v>
      </c>
    </row>
    <row r="13" spans="1:9" x14ac:dyDescent="0.3">
      <c r="E13" t="s">
        <v>229</v>
      </c>
      <c r="G13" t="s">
        <v>181</v>
      </c>
    </row>
    <row r="14" spans="1:9" x14ac:dyDescent="0.3">
      <c r="E14" t="s">
        <v>52</v>
      </c>
      <c r="G14" t="s">
        <v>230</v>
      </c>
    </row>
    <row r="15" spans="1:9" x14ac:dyDescent="0.3">
      <c r="E15" t="s">
        <v>82</v>
      </c>
      <c r="G15" t="s">
        <v>103</v>
      </c>
    </row>
    <row r="16" spans="1:9" x14ac:dyDescent="0.3">
      <c r="E16" t="s">
        <v>117</v>
      </c>
    </row>
    <row r="17" spans="5:5" x14ac:dyDescent="0.3">
      <c r="E17" t="s">
        <v>131</v>
      </c>
    </row>
    <row r="18" spans="5:5" x14ac:dyDescent="0.3">
      <c r="E18" t="s">
        <v>101</v>
      </c>
    </row>
    <row r="19" spans="5:5" x14ac:dyDescent="0.3">
      <c r="E19" t="s">
        <v>231</v>
      </c>
    </row>
    <row r="20" spans="5:5" x14ac:dyDescent="0.3">
      <c r="E20" t="s">
        <v>232</v>
      </c>
    </row>
    <row r="21" spans="5:5" x14ac:dyDescent="0.3">
      <c r="E21" t="s">
        <v>233</v>
      </c>
    </row>
    <row r="22" spans="5:5" x14ac:dyDescent="0.3">
      <c r="E22" t="s">
        <v>234</v>
      </c>
    </row>
    <row r="23" spans="5:5" x14ac:dyDescent="0.3">
      <c r="E23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5464-A526-46B1-B5C8-6207B8CEF138}">
  <dimension ref="A1:F598"/>
  <sheetViews>
    <sheetView topLeftCell="A565" workbookViewId="0">
      <selection activeCell="A599" sqref="A599:XFD600"/>
    </sheetView>
  </sheetViews>
  <sheetFormatPr defaultRowHeight="14.4" x14ac:dyDescent="0.3"/>
  <cols>
    <col min="1" max="1" width="13.44140625" bestFit="1" customWidth="1"/>
    <col min="2" max="2" width="28.44140625" bestFit="1" customWidth="1"/>
    <col min="3" max="3" width="20.44140625" bestFit="1" customWidth="1"/>
    <col min="4" max="4" width="19.5546875" bestFit="1" customWidth="1"/>
    <col min="5" max="5" width="19.5546875" customWidth="1"/>
  </cols>
  <sheetData>
    <row r="1" spans="1:6" x14ac:dyDescent="0.3">
      <c r="A1" s="4" t="s">
        <v>236</v>
      </c>
      <c r="B1" s="5" t="s">
        <v>4</v>
      </c>
      <c r="C1" s="5" t="s">
        <v>5</v>
      </c>
      <c r="D1" s="5" t="s">
        <v>8</v>
      </c>
      <c r="E1" s="6" t="s">
        <v>59</v>
      </c>
      <c r="F1" s="6" t="s">
        <v>237</v>
      </c>
    </row>
    <row r="2" spans="1:6" x14ac:dyDescent="0.3">
      <c r="A2">
        <v>32458</v>
      </c>
      <c r="B2" t="s">
        <v>238</v>
      </c>
      <c r="C2" t="s">
        <v>239</v>
      </c>
      <c r="D2" t="s">
        <v>55</v>
      </c>
      <c r="E2" t="s">
        <v>240</v>
      </c>
      <c r="F2" s="1" t="s">
        <v>174</v>
      </c>
    </row>
    <row r="3" spans="1:6" x14ac:dyDescent="0.3">
      <c r="A3">
        <v>34198</v>
      </c>
      <c r="B3" t="s">
        <v>241</v>
      </c>
      <c r="C3" t="s">
        <v>242</v>
      </c>
      <c r="D3" t="s">
        <v>209</v>
      </c>
      <c r="E3" t="s">
        <v>240</v>
      </c>
      <c r="F3" s="1" t="s">
        <v>174</v>
      </c>
    </row>
    <row r="4" spans="1:6" x14ac:dyDescent="0.3">
      <c r="A4">
        <v>34325</v>
      </c>
      <c r="B4" t="s">
        <v>243</v>
      </c>
      <c r="C4" t="s">
        <v>244</v>
      </c>
      <c r="D4" t="s">
        <v>211</v>
      </c>
      <c r="E4" t="s">
        <v>240</v>
      </c>
      <c r="F4" s="1" t="s">
        <v>174</v>
      </c>
    </row>
    <row r="5" spans="1:6" x14ac:dyDescent="0.3">
      <c r="A5">
        <v>35220</v>
      </c>
      <c r="B5" t="s">
        <v>245</v>
      </c>
      <c r="C5" t="s">
        <v>246</v>
      </c>
      <c r="D5" t="s">
        <v>175</v>
      </c>
      <c r="E5" t="s">
        <v>240</v>
      </c>
      <c r="F5" s="1" t="s">
        <v>174</v>
      </c>
    </row>
    <row r="6" spans="1:6" x14ac:dyDescent="0.3">
      <c r="A6">
        <v>35055</v>
      </c>
      <c r="B6" t="s">
        <v>247</v>
      </c>
      <c r="C6" t="s">
        <v>248</v>
      </c>
      <c r="D6" t="s">
        <v>209</v>
      </c>
      <c r="E6" t="s">
        <v>240</v>
      </c>
      <c r="F6" s="1" t="s">
        <v>174</v>
      </c>
    </row>
    <row r="7" spans="1:6" x14ac:dyDescent="0.3">
      <c r="A7">
        <v>35107</v>
      </c>
      <c r="B7" t="s">
        <v>249</v>
      </c>
      <c r="C7" t="s">
        <v>250</v>
      </c>
      <c r="D7" t="s">
        <v>57</v>
      </c>
      <c r="E7" t="s">
        <v>240</v>
      </c>
      <c r="F7" s="1" t="s">
        <v>174</v>
      </c>
    </row>
    <row r="8" spans="1:6" x14ac:dyDescent="0.3">
      <c r="A8">
        <v>35493</v>
      </c>
      <c r="B8" t="s">
        <v>251</v>
      </c>
      <c r="C8" t="s">
        <v>252</v>
      </c>
      <c r="D8" t="s">
        <v>175</v>
      </c>
      <c r="E8" t="s">
        <v>240</v>
      </c>
      <c r="F8" s="1" t="s">
        <v>174</v>
      </c>
    </row>
    <row r="9" spans="1:6" x14ac:dyDescent="0.3">
      <c r="A9">
        <v>35490</v>
      </c>
      <c r="B9" t="s">
        <v>253</v>
      </c>
      <c r="C9" t="s">
        <v>254</v>
      </c>
      <c r="D9" t="s">
        <v>211</v>
      </c>
      <c r="E9" t="s">
        <v>240</v>
      </c>
      <c r="F9" s="1" t="s">
        <v>174</v>
      </c>
    </row>
    <row r="10" spans="1:6" x14ac:dyDescent="0.3">
      <c r="A10">
        <v>35494</v>
      </c>
      <c r="B10" t="s">
        <v>255</v>
      </c>
      <c r="C10" t="s">
        <v>256</v>
      </c>
      <c r="D10" t="s">
        <v>209</v>
      </c>
      <c r="E10" t="s">
        <v>240</v>
      </c>
      <c r="F10" s="1" t="s">
        <v>174</v>
      </c>
    </row>
    <row r="11" spans="1:6" x14ac:dyDescent="0.3">
      <c r="A11">
        <v>35495</v>
      </c>
      <c r="B11" t="s">
        <v>257</v>
      </c>
      <c r="C11" t="s">
        <v>258</v>
      </c>
      <c r="D11" t="s">
        <v>212</v>
      </c>
      <c r="E11" t="s">
        <v>240</v>
      </c>
      <c r="F11" s="1" t="s">
        <v>174</v>
      </c>
    </row>
    <row r="12" spans="1:6" x14ac:dyDescent="0.3">
      <c r="A12">
        <v>35430</v>
      </c>
      <c r="B12" t="s">
        <v>259</v>
      </c>
      <c r="C12" t="s">
        <v>260</v>
      </c>
      <c r="D12" t="s">
        <v>209</v>
      </c>
      <c r="E12" t="s">
        <v>240</v>
      </c>
      <c r="F12" s="1" t="s">
        <v>174</v>
      </c>
    </row>
    <row r="13" spans="1:6" x14ac:dyDescent="0.3">
      <c r="A13">
        <v>35588</v>
      </c>
      <c r="B13" t="s">
        <v>261</v>
      </c>
      <c r="C13" t="s">
        <v>54</v>
      </c>
      <c r="D13" t="s">
        <v>175</v>
      </c>
      <c r="E13" t="s">
        <v>240</v>
      </c>
      <c r="F13" s="1" t="s">
        <v>174</v>
      </c>
    </row>
    <row r="14" spans="1:6" x14ac:dyDescent="0.3">
      <c r="A14">
        <v>35619</v>
      </c>
      <c r="B14" t="s">
        <v>262</v>
      </c>
      <c r="C14" t="s">
        <v>263</v>
      </c>
      <c r="D14" t="s">
        <v>211</v>
      </c>
      <c r="E14" t="s">
        <v>240</v>
      </c>
      <c r="F14" s="1" t="s">
        <v>174</v>
      </c>
    </row>
    <row r="15" spans="1:6" x14ac:dyDescent="0.3">
      <c r="A15">
        <v>35862</v>
      </c>
      <c r="B15" t="s">
        <v>53</v>
      </c>
      <c r="C15" t="s">
        <v>264</v>
      </c>
      <c r="D15" t="s">
        <v>55</v>
      </c>
      <c r="E15" t="s">
        <v>240</v>
      </c>
      <c r="F15" s="1" t="s">
        <v>174</v>
      </c>
    </row>
    <row r="16" spans="1:6" x14ac:dyDescent="0.3">
      <c r="A16">
        <v>36378</v>
      </c>
      <c r="B16" t="s">
        <v>265</v>
      </c>
      <c r="C16" t="s">
        <v>266</v>
      </c>
      <c r="D16" t="s">
        <v>175</v>
      </c>
      <c r="E16" t="s">
        <v>240</v>
      </c>
      <c r="F16" s="1" t="s">
        <v>174</v>
      </c>
    </row>
    <row r="17" spans="1:6" x14ac:dyDescent="0.3">
      <c r="A17">
        <v>37131</v>
      </c>
      <c r="B17" t="s">
        <v>267</v>
      </c>
      <c r="C17" t="s">
        <v>268</v>
      </c>
      <c r="D17" t="s">
        <v>212</v>
      </c>
      <c r="E17" t="s">
        <v>240</v>
      </c>
      <c r="F17" s="1" t="s">
        <v>174</v>
      </c>
    </row>
    <row r="18" spans="1:6" x14ac:dyDescent="0.3">
      <c r="A18">
        <v>37208</v>
      </c>
      <c r="B18" t="s">
        <v>269</v>
      </c>
      <c r="C18" t="s">
        <v>270</v>
      </c>
      <c r="D18" t="s">
        <v>212</v>
      </c>
      <c r="E18" t="s">
        <v>240</v>
      </c>
      <c r="F18" s="1" t="s">
        <v>174</v>
      </c>
    </row>
    <row r="19" spans="1:6" x14ac:dyDescent="0.3">
      <c r="A19">
        <v>37313</v>
      </c>
      <c r="B19" t="s">
        <v>271</v>
      </c>
      <c r="C19" t="s">
        <v>272</v>
      </c>
      <c r="D19" t="s">
        <v>57</v>
      </c>
      <c r="E19" t="s">
        <v>240</v>
      </c>
      <c r="F19" s="1" t="s">
        <v>174</v>
      </c>
    </row>
    <row r="20" spans="1:6" x14ac:dyDescent="0.3">
      <c r="A20">
        <v>38555</v>
      </c>
      <c r="B20" t="s">
        <v>273</v>
      </c>
      <c r="C20" t="s">
        <v>274</v>
      </c>
      <c r="D20" t="s">
        <v>209</v>
      </c>
      <c r="E20" t="s">
        <v>240</v>
      </c>
      <c r="F20" s="1" t="s">
        <v>174</v>
      </c>
    </row>
    <row r="21" spans="1:6" x14ac:dyDescent="0.3">
      <c r="A21">
        <v>38551</v>
      </c>
      <c r="B21" t="s">
        <v>275</v>
      </c>
      <c r="C21" t="s">
        <v>276</v>
      </c>
      <c r="D21" t="s">
        <v>57</v>
      </c>
      <c r="E21" t="s">
        <v>240</v>
      </c>
      <c r="F21" s="1" t="s">
        <v>174</v>
      </c>
    </row>
    <row r="22" spans="1:6" x14ac:dyDescent="0.3">
      <c r="A22">
        <v>19520</v>
      </c>
      <c r="B22" t="s">
        <v>277</v>
      </c>
      <c r="C22" t="s">
        <v>278</v>
      </c>
      <c r="D22" t="s">
        <v>55</v>
      </c>
      <c r="E22" t="s">
        <v>279</v>
      </c>
      <c r="F22" s="1" t="s">
        <v>174</v>
      </c>
    </row>
    <row r="23" spans="1:6" x14ac:dyDescent="0.3">
      <c r="A23">
        <v>27209</v>
      </c>
      <c r="B23" t="s">
        <v>280</v>
      </c>
      <c r="C23" t="s">
        <v>281</v>
      </c>
      <c r="D23" t="s">
        <v>55</v>
      </c>
      <c r="E23" t="s">
        <v>279</v>
      </c>
      <c r="F23" s="1" t="s">
        <v>174</v>
      </c>
    </row>
    <row r="24" spans="1:6" x14ac:dyDescent="0.3">
      <c r="A24">
        <v>28995</v>
      </c>
      <c r="B24" t="s">
        <v>282</v>
      </c>
      <c r="C24" t="s">
        <v>283</v>
      </c>
      <c r="D24" t="s">
        <v>50</v>
      </c>
      <c r="E24" t="s">
        <v>279</v>
      </c>
      <c r="F24" s="1" t="s">
        <v>174</v>
      </c>
    </row>
    <row r="25" spans="1:6" x14ac:dyDescent="0.3">
      <c r="A25">
        <v>29181</v>
      </c>
      <c r="B25" t="s">
        <v>284</v>
      </c>
      <c r="C25" t="s">
        <v>285</v>
      </c>
      <c r="D25" t="s">
        <v>57</v>
      </c>
      <c r="E25" t="s">
        <v>279</v>
      </c>
      <c r="F25" s="1" t="s">
        <v>174</v>
      </c>
    </row>
    <row r="26" spans="1:6" x14ac:dyDescent="0.3">
      <c r="A26">
        <v>29746</v>
      </c>
      <c r="B26" t="s">
        <v>286</v>
      </c>
      <c r="C26" t="s">
        <v>287</v>
      </c>
      <c r="D26" t="s">
        <v>57</v>
      </c>
      <c r="E26" t="s">
        <v>279</v>
      </c>
      <c r="F26" s="1" t="s">
        <v>174</v>
      </c>
    </row>
    <row r="27" spans="1:6" x14ac:dyDescent="0.3">
      <c r="A27">
        <v>30121</v>
      </c>
      <c r="B27" t="s">
        <v>288</v>
      </c>
      <c r="C27" t="s">
        <v>289</v>
      </c>
      <c r="D27" t="s">
        <v>50</v>
      </c>
      <c r="E27" t="s">
        <v>279</v>
      </c>
      <c r="F27" s="1" t="s">
        <v>174</v>
      </c>
    </row>
    <row r="28" spans="1:6" x14ac:dyDescent="0.3">
      <c r="A28">
        <v>30323</v>
      </c>
      <c r="B28" t="s">
        <v>290</v>
      </c>
      <c r="C28" t="s">
        <v>291</v>
      </c>
      <c r="D28" t="s">
        <v>57</v>
      </c>
      <c r="E28" t="s">
        <v>279</v>
      </c>
      <c r="F28" s="1" t="s">
        <v>174</v>
      </c>
    </row>
    <row r="29" spans="1:6" x14ac:dyDescent="0.3">
      <c r="A29">
        <v>30999</v>
      </c>
      <c r="B29" t="s">
        <v>292</v>
      </c>
      <c r="C29" t="s">
        <v>293</v>
      </c>
      <c r="D29" t="s">
        <v>209</v>
      </c>
      <c r="E29" t="s">
        <v>279</v>
      </c>
      <c r="F29" s="1" t="s">
        <v>174</v>
      </c>
    </row>
    <row r="30" spans="1:6" x14ac:dyDescent="0.3">
      <c r="A30">
        <v>31092</v>
      </c>
      <c r="B30" t="s">
        <v>294</v>
      </c>
      <c r="C30" t="s">
        <v>295</v>
      </c>
      <c r="D30" t="s">
        <v>175</v>
      </c>
      <c r="E30" t="s">
        <v>279</v>
      </c>
      <c r="F30" s="1" t="s">
        <v>174</v>
      </c>
    </row>
    <row r="31" spans="1:6" x14ac:dyDescent="0.3">
      <c r="A31">
        <v>31361</v>
      </c>
      <c r="B31" t="s">
        <v>296</v>
      </c>
      <c r="C31" t="s">
        <v>297</v>
      </c>
      <c r="D31" t="s">
        <v>209</v>
      </c>
      <c r="E31" t="s">
        <v>279</v>
      </c>
      <c r="F31" s="1" t="s">
        <v>174</v>
      </c>
    </row>
    <row r="32" spans="1:6" x14ac:dyDescent="0.3">
      <c r="A32">
        <v>31776</v>
      </c>
      <c r="B32" t="s">
        <v>298</v>
      </c>
      <c r="C32" t="s">
        <v>299</v>
      </c>
      <c r="D32" t="s">
        <v>210</v>
      </c>
      <c r="E32" t="s">
        <v>279</v>
      </c>
      <c r="F32" s="1" t="s">
        <v>174</v>
      </c>
    </row>
    <row r="33" spans="1:6" x14ac:dyDescent="0.3">
      <c r="A33">
        <v>31668</v>
      </c>
      <c r="B33" t="s">
        <v>300</v>
      </c>
      <c r="C33" t="s">
        <v>301</v>
      </c>
      <c r="D33" t="s">
        <v>210</v>
      </c>
      <c r="E33" t="s">
        <v>279</v>
      </c>
      <c r="F33" s="1" t="s">
        <v>174</v>
      </c>
    </row>
    <row r="34" spans="1:6" x14ac:dyDescent="0.3">
      <c r="A34">
        <v>32092</v>
      </c>
      <c r="B34" t="s">
        <v>302</v>
      </c>
      <c r="C34" t="s">
        <v>303</v>
      </c>
      <c r="D34" t="s">
        <v>57</v>
      </c>
      <c r="E34" t="s">
        <v>279</v>
      </c>
      <c r="F34" s="1" t="s">
        <v>174</v>
      </c>
    </row>
    <row r="35" spans="1:6" x14ac:dyDescent="0.3">
      <c r="A35">
        <v>32169</v>
      </c>
      <c r="B35" t="s">
        <v>304</v>
      </c>
      <c r="C35" t="s">
        <v>305</v>
      </c>
      <c r="D35" t="s">
        <v>211</v>
      </c>
      <c r="E35" t="s">
        <v>279</v>
      </c>
      <c r="F35" s="1" t="s">
        <v>174</v>
      </c>
    </row>
    <row r="36" spans="1:6" x14ac:dyDescent="0.3">
      <c r="A36">
        <v>32387</v>
      </c>
      <c r="B36" t="s">
        <v>306</v>
      </c>
      <c r="C36" t="s">
        <v>307</v>
      </c>
      <c r="D36" t="s">
        <v>211</v>
      </c>
      <c r="E36" t="s">
        <v>279</v>
      </c>
      <c r="F36" s="1" t="s">
        <v>174</v>
      </c>
    </row>
    <row r="37" spans="1:6" x14ac:dyDescent="0.3">
      <c r="A37">
        <v>32951</v>
      </c>
      <c r="B37" t="s">
        <v>308</v>
      </c>
      <c r="C37" t="s">
        <v>309</v>
      </c>
      <c r="D37" t="s">
        <v>175</v>
      </c>
      <c r="E37" t="s">
        <v>279</v>
      </c>
      <c r="F37" s="1" t="s">
        <v>174</v>
      </c>
    </row>
    <row r="38" spans="1:6" x14ac:dyDescent="0.3">
      <c r="A38">
        <v>33488</v>
      </c>
      <c r="B38" t="s">
        <v>310</v>
      </c>
      <c r="C38" t="s">
        <v>311</v>
      </c>
      <c r="D38" t="s">
        <v>209</v>
      </c>
      <c r="E38" t="s">
        <v>279</v>
      </c>
      <c r="F38" s="1" t="s">
        <v>174</v>
      </c>
    </row>
    <row r="39" spans="1:6" x14ac:dyDescent="0.3">
      <c r="A39">
        <v>34351</v>
      </c>
      <c r="B39" t="s">
        <v>312</v>
      </c>
      <c r="C39" t="s">
        <v>313</v>
      </c>
      <c r="D39" t="s">
        <v>209</v>
      </c>
      <c r="E39" t="s">
        <v>279</v>
      </c>
      <c r="F39" s="1" t="s">
        <v>174</v>
      </c>
    </row>
    <row r="40" spans="1:6" x14ac:dyDescent="0.3">
      <c r="A40">
        <v>35491</v>
      </c>
      <c r="B40" t="s">
        <v>314</v>
      </c>
      <c r="C40" t="s">
        <v>315</v>
      </c>
      <c r="D40" t="s">
        <v>209</v>
      </c>
      <c r="E40" t="s">
        <v>279</v>
      </c>
      <c r="F40" s="1" t="s">
        <v>174</v>
      </c>
    </row>
    <row r="41" spans="1:6" x14ac:dyDescent="0.3">
      <c r="A41">
        <v>36627</v>
      </c>
      <c r="B41" t="s">
        <v>316</v>
      </c>
      <c r="C41" t="s">
        <v>317</v>
      </c>
      <c r="D41" t="s">
        <v>55</v>
      </c>
      <c r="E41" t="s">
        <v>279</v>
      </c>
      <c r="F41" s="1" t="s">
        <v>174</v>
      </c>
    </row>
    <row r="42" spans="1:6" x14ac:dyDescent="0.3">
      <c r="A42">
        <v>36425</v>
      </c>
      <c r="B42" t="s">
        <v>318</v>
      </c>
      <c r="C42" t="s">
        <v>319</v>
      </c>
      <c r="D42" t="s">
        <v>209</v>
      </c>
      <c r="E42" t="s">
        <v>279</v>
      </c>
      <c r="F42" s="1" t="s">
        <v>174</v>
      </c>
    </row>
    <row r="43" spans="1:6" x14ac:dyDescent="0.3">
      <c r="A43">
        <v>36507</v>
      </c>
      <c r="B43" t="s">
        <v>320</v>
      </c>
      <c r="C43" t="s">
        <v>321</v>
      </c>
      <c r="D43" t="s">
        <v>211</v>
      </c>
      <c r="E43" t="s">
        <v>279</v>
      </c>
      <c r="F43" s="1" t="s">
        <v>174</v>
      </c>
    </row>
    <row r="44" spans="1:6" x14ac:dyDescent="0.3">
      <c r="A44">
        <v>37254</v>
      </c>
      <c r="B44" t="s">
        <v>322</v>
      </c>
      <c r="C44" t="s">
        <v>323</v>
      </c>
      <c r="D44" t="s">
        <v>212</v>
      </c>
      <c r="E44" t="s">
        <v>279</v>
      </c>
      <c r="F44" s="1" t="s">
        <v>174</v>
      </c>
    </row>
    <row r="45" spans="1:6" x14ac:dyDescent="0.3">
      <c r="A45">
        <v>38808</v>
      </c>
      <c r="B45" t="s">
        <v>324</v>
      </c>
      <c r="C45" t="s">
        <v>325</v>
      </c>
      <c r="D45" t="s">
        <v>55</v>
      </c>
      <c r="E45" t="s">
        <v>279</v>
      </c>
      <c r="F45" s="1" t="s">
        <v>174</v>
      </c>
    </row>
    <row r="46" spans="1:6" x14ac:dyDescent="0.3">
      <c r="A46">
        <v>12024</v>
      </c>
      <c r="B46" t="s">
        <v>326</v>
      </c>
      <c r="C46" t="s">
        <v>327</v>
      </c>
      <c r="D46" t="s">
        <v>175</v>
      </c>
      <c r="E46" t="s">
        <v>328</v>
      </c>
      <c r="F46" s="1" t="s">
        <v>174</v>
      </c>
    </row>
    <row r="47" spans="1:6" x14ac:dyDescent="0.3">
      <c r="A47">
        <v>15218</v>
      </c>
      <c r="B47" t="s">
        <v>329</v>
      </c>
      <c r="C47" t="s">
        <v>330</v>
      </c>
      <c r="D47" t="s">
        <v>209</v>
      </c>
      <c r="E47" t="s">
        <v>328</v>
      </c>
      <c r="F47" s="1" t="s">
        <v>174</v>
      </c>
    </row>
    <row r="48" spans="1:6" x14ac:dyDescent="0.3">
      <c r="A48">
        <v>15320</v>
      </c>
      <c r="B48" t="s">
        <v>331</v>
      </c>
      <c r="C48" t="s">
        <v>195</v>
      </c>
      <c r="D48" t="s">
        <v>209</v>
      </c>
      <c r="E48" t="s">
        <v>328</v>
      </c>
      <c r="F48" s="1" t="s">
        <v>174</v>
      </c>
    </row>
    <row r="49" spans="1:6" x14ac:dyDescent="0.3">
      <c r="A49">
        <v>19087</v>
      </c>
      <c r="B49" t="s">
        <v>332</v>
      </c>
      <c r="C49" t="s">
        <v>333</v>
      </c>
      <c r="D49" t="s">
        <v>209</v>
      </c>
      <c r="E49" t="s">
        <v>328</v>
      </c>
      <c r="F49" s="1" t="s">
        <v>174</v>
      </c>
    </row>
    <row r="50" spans="1:6" x14ac:dyDescent="0.3">
      <c r="A50">
        <v>25873</v>
      </c>
      <c r="B50" t="s">
        <v>334</v>
      </c>
      <c r="C50" t="s">
        <v>335</v>
      </c>
      <c r="D50" t="s">
        <v>209</v>
      </c>
      <c r="E50" t="s">
        <v>328</v>
      </c>
      <c r="F50" s="1" t="s">
        <v>174</v>
      </c>
    </row>
    <row r="51" spans="1:6" x14ac:dyDescent="0.3">
      <c r="A51">
        <v>26792</v>
      </c>
      <c r="B51" t="s">
        <v>336</v>
      </c>
      <c r="C51" t="s">
        <v>337</v>
      </c>
      <c r="D51" t="s">
        <v>175</v>
      </c>
      <c r="E51" t="s">
        <v>328</v>
      </c>
      <c r="F51" s="1" t="s">
        <v>174</v>
      </c>
    </row>
    <row r="52" spans="1:6" x14ac:dyDescent="0.3">
      <c r="A52">
        <v>26960</v>
      </c>
      <c r="B52" t="s">
        <v>314</v>
      </c>
      <c r="C52" t="s">
        <v>338</v>
      </c>
      <c r="D52" t="s">
        <v>209</v>
      </c>
      <c r="E52" t="s">
        <v>328</v>
      </c>
      <c r="F52" s="1" t="s">
        <v>174</v>
      </c>
    </row>
    <row r="53" spans="1:6" x14ac:dyDescent="0.3">
      <c r="A53">
        <v>28071</v>
      </c>
      <c r="B53" t="s">
        <v>339</v>
      </c>
      <c r="C53" t="s">
        <v>340</v>
      </c>
      <c r="D53" t="s">
        <v>55</v>
      </c>
      <c r="E53" t="s">
        <v>328</v>
      </c>
      <c r="F53" s="1" t="s">
        <v>174</v>
      </c>
    </row>
    <row r="54" spans="1:6" x14ac:dyDescent="0.3">
      <c r="A54">
        <v>28910</v>
      </c>
      <c r="B54" t="s">
        <v>341</v>
      </c>
      <c r="C54" t="s">
        <v>342</v>
      </c>
      <c r="D54" t="s">
        <v>57</v>
      </c>
      <c r="E54" t="s">
        <v>328</v>
      </c>
      <c r="F54" s="1" t="s">
        <v>174</v>
      </c>
    </row>
    <row r="55" spans="1:6" x14ac:dyDescent="0.3">
      <c r="A55">
        <v>29477</v>
      </c>
      <c r="B55" t="s">
        <v>343</v>
      </c>
      <c r="C55" t="s">
        <v>344</v>
      </c>
      <c r="D55" t="s">
        <v>175</v>
      </c>
      <c r="E55" t="s">
        <v>328</v>
      </c>
      <c r="F55" s="1" t="s">
        <v>174</v>
      </c>
    </row>
    <row r="56" spans="1:6" x14ac:dyDescent="0.3">
      <c r="A56">
        <v>29539</v>
      </c>
      <c r="B56" t="s">
        <v>345</v>
      </c>
      <c r="C56" t="s">
        <v>281</v>
      </c>
      <c r="D56" t="s">
        <v>210</v>
      </c>
      <c r="E56" t="s">
        <v>328</v>
      </c>
      <c r="F56" s="1" t="s">
        <v>174</v>
      </c>
    </row>
    <row r="57" spans="1:6" x14ac:dyDescent="0.3">
      <c r="A57">
        <v>30967</v>
      </c>
      <c r="B57" t="s">
        <v>346</v>
      </c>
      <c r="C57" t="s">
        <v>347</v>
      </c>
      <c r="D57" t="s">
        <v>210</v>
      </c>
      <c r="E57" t="s">
        <v>328</v>
      </c>
      <c r="F57" s="1" t="s">
        <v>174</v>
      </c>
    </row>
    <row r="58" spans="1:6" x14ac:dyDescent="0.3">
      <c r="A58">
        <v>19251</v>
      </c>
      <c r="B58" t="s">
        <v>348</v>
      </c>
      <c r="C58" t="s">
        <v>349</v>
      </c>
      <c r="D58" t="s">
        <v>210</v>
      </c>
      <c r="E58" t="s">
        <v>350</v>
      </c>
      <c r="F58" s="1" t="s">
        <v>174</v>
      </c>
    </row>
    <row r="59" spans="1:6" x14ac:dyDescent="0.3">
      <c r="A59">
        <v>29370</v>
      </c>
      <c r="B59" t="s">
        <v>351</v>
      </c>
      <c r="C59" t="s">
        <v>352</v>
      </c>
      <c r="D59" t="s">
        <v>57</v>
      </c>
      <c r="E59" t="s">
        <v>350</v>
      </c>
      <c r="F59" s="1" t="s">
        <v>174</v>
      </c>
    </row>
    <row r="60" spans="1:6" x14ac:dyDescent="0.3">
      <c r="A60">
        <v>32369</v>
      </c>
      <c r="B60" t="s">
        <v>353</v>
      </c>
      <c r="C60" t="s">
        <v>264</v>
      </c>
      <c r="D60" t="s">
        <v>209</v>
      </c>
      <c r="E60" t="s">
        <v>350</v>
      </c>
      <c r="F60" s="1" t="s">
        <v>174</v>
      </c>
    </row>
    <row r="61" spans="1:6" x14ac:dyDescent="0.3">
      <c r="A61">
        <v>32528</v>
      </c>
      <c r="B61" t="s">
        <v>354</v>
      </c>
      <c r="C61" t="s">
        <v>355</v>
      </c>
      <c r="D61" t="s">
        <v>211</v>
      </c>
      <c r="E61" t="s">
        <v>350</v>
      </c>
      <c r="F61" s="1" t="s">
        <v>174</v>
      </c>
    </row>
    <row r="62" spans="1:6" x14ac:dyDescent="0.3">
      <c r="A62">
        <v>33757</v>
      </c>
      <c r="B62" t="s">
        <v>356</v>
      </c>
      <c r="C62" t="s">
        <v>357</v>
      </c>
      <c r="D62" t="s">
        <v>211</v>
      </c>
      <c r="E62" t="s">
        <v>350</v>
      </c>
      <c r="F62" s="1" t="s">
        <v>174</v>
      </c>
    </row>
    <row r="63" spans="1:6" x14ac:dyDescent="0.3">
      <c r="A63">
        <v>33600</v>
      </c>
      <c r="B63" t="s">
        <v>358</v>
      </c>
      <c r="C63" t="s">
        <v>359</v>
      </c>
      <c r="D63" t="s">
        <v>212</v>
      </c>
      <c r="E63" t="s">
        <v>350</v>
      </c>
      <c r="F63" s="1" t="s">
        <v>174</v>
      </c>
    </row>
    <row r="64" spans="1:6" x14ac:dyDescent="0.3">
      <c r="A64">
        <v>35120</v>
      </c>
      <c r="B64" t="s">
        <v>360</v>
      </c>
      <c r="C64" t="s">
        <v>361</v>
      </c>
      <c r="D64" t="s">
        <v>55</v>
      </c>
      <c r="E64" t="s">
        <v>350</v>
      </c>
      <c r="F64" s="1" t="s">
        <v>174</v>
      </c>
    </row>
    <row r="65" spans="1:6" x14ac:dyDescent="0.3">
      <c r="A65">
        <v>35005</v>
      </c>
      <c r="B65" t="s">
        <v>362</v>
      </c>
      <c r="C65" t="s">
        <v>363</v>
      </c>
      <c r="D65" t="s">
        <v>57</v>
      </c>
      <c r="E65" t="s">
        <v>350</v>
      </c>
      <c r="F65" s="1" t="s">
        <v>174</v>
      </c>
    </row>
    <row r="66" spans="1:6" x14ac:dyDescent="0.3">
      <c r="A66">
        <v>35026</v>
      </c>
      <c r="B66" t="s">
        <v>364</v>
      </c>
      <c r="C66" t="s">
        <v>365</v>
      </c>
      <c r="D66" t="s">
        <v>211</v>
      </c>
      <c r="E66" t="s">
        <v>350</v>
      </c>
      <c r="F66" s="1" t="s">
        <v>174</v>
      </c>
    </row>
    <row r="67" spans="1:6" x14ac:dyDescent="0.3">
      <c r="A67">
        <v>35246</v>
      </c>
      <c r="B67" t="s">
        <v>366</v>
      </c>
      <c r="C67" t="s">
        <v>367</v>
      </c>
      <c r="D67" t="s">
        <v>209</v>
      </c>
      <c r="E67" t="s">
        <v>350</v>
      </c>
      <c r="F67" s="1" t="s">
        <v>174</v>
      </c>
    </row>
    <row r="68" spans="1:6" x14ac:dyDescent="0.3">
      <c r="A68">
        <v>35334</v>
      </c>
      <c r="B68" t="s">
        <v>368</v>
      </c>
      <c r="C68" t="s">
        <v>369</v>
      </c>
      <c r="D68" t="s">
        <v>209</v>
      </c>
      <c r="E68" t="s">
        <v>350</v>
      </c>
      <c r="F68" s="1" t="s">
        <v>174</v>
      </c>
    </row>
    <row r="69" spans="1:6" x14ac:dyDescent="0.3">
      <c r="A69">
        <v>35623</v>
      </c>
      <c r="B69" t="s">
        <v>370</v>
      </c>
      <c r="C69" t="s">
        <v>371</v>
      </c>
      <c r="D69" t="s">
        <v>57</v>
      </c>
      <c r="E69" t="s">
        <v>350</v>
      </c>
      <c r="F69" s="1" t="s">
        <v>174</v>
      </c>
    </row>
    <row r="70" spans="1:6" x14ac:dyDescent="0.3">
      <c r="A70">
        <v>35645</v>
      </c>
      <c r="B70" t="s">
        <v>372</v>
      </c>
      <c r="C70" t="s">
        <v>373</v>
      </c>
      <c r="D70" t="s">
        <v>211</v>
      </c>
      <c r="E70" t="s">
        <v>350</v>
      </c>
      <c r="F70" s="1" t="s">
        <v>174</v>
      </c>
    </row>
    <row r="71" spans="1:6" x14ac:dyDescent="0.3">
      <c r="A71">
        <v>35709</v>
      </c>
      <c r="B71" t="s">
        <v>374</v>
      </c>
      <c r="C71" t="s">
        <v>375</v>
      </c>
      <c r="D71" t="s">
        <v>209</v>
      </c>
      <c r="E71" t="s">
        <v>350</v>
      </c>
      <c r="F71" s="1" t="s">
        <v>174</v>
      </c>
    </row>
    <row r="72" spans="1:6" x14ac:dyDescent="0.3">
      <c r="A72">
        <v>36513</v>
      </c>
      <c r="B72" t="s">
        <v>376</v>
      </c>
      <c r="C72" t="s">
        <v>377</v>
      </c>
      <c r="D72" t="s">
        <v>212</v>
      </c>
      <c r="E72" t="s">
        <v>350</v>
      </c>
      <c r="F72" s="1" t="s">
        <v>174</v>
      </c>
    </row>
    <row r="73" spans="1:6" x14ac:dyDescent="0.3">
      <c r="A73">
        <v>36624</v>
      </c>
      <c r="B73" t="s">
        <v>378</v>
      </c>
      <c r="C73" t="s">
        <v>327</v>
      </c>
      <c r="D73" t="s">
        <v>210</v>
      </c>
      <c r="E73" t="s">
        <v>350</v>
      </c>
      <c r="F73" s="1" t="s">
        <v>174</v>
      </c>
    </row>
    <row r="74" spans="1:6" x14ac:dyDescent="0.3">
      <c r="A74">
        <v>37600</v>
      </c>
      <c r="B74" t="s">
        <v>261</v>
      </c>
      <c r="C74" t="s">
        <v>319</v>
      </c>
      <c r="D74" t="s">
        <v>175</v>
      </c>
      <c r="E74" t="s">
        <v>350</v>
      </c>
      <c r="F74" s="1" t="s">
        <v>174</v>
      </c>
    </row>
    <row r="75" spans="1:6" x14ac:dyDescent="0.3">
      <c r="A75">
        <v>37662</v>
      </c>
      <c r="B75" t="s">
        <v>379</v>
      </c>
      <c r="C75" t="s">
        <v>281</v>
      </c>
      <c r="D75" t="s">
        <v>57</v>
      </c>
      <c r="E75" t="s">
        <v>350</v>
      </c>
      <c r="F75" s="1" t="s">
        <v>174</v>
      </c>
    </row>
    <row r="76" spans="1:6" x14ac:dyDescent="0.3">
      <c r="A76">
        <v>37908</v>
      </c>
      <c r="B76" t="s">
        <v>331</v>
      </c>
      <c r="C76" t="s">
        <v>380</v>
      </c>
      <c r="D76" t="s">
        <v>211</v>
      </c>
      <c r="E76" t="s">
        <v>350</v>
      </c>
      <c r="F76" s="1" t="s">
        <v>174</v>
      </c>
    </row>
    <row r="77" spans="1:6" x14ac:dyDescent="0.3">
      <c r="A77">
        <v>37936</v>
      </c>
      <c r="B77" t="s">
        <v>381</v>
      </c>
      <c r="C77" t="s">
        <v>382</v>
      </c>
      <c r="D77" t="s">
        <v>211</v>
      </c>
      <c r="E77" t="s">
        <v>350</v>
      </c>
      <c r="F77" s="1" t="s">
        <v>174</v>
      </c>
    </row>
    <row r="78" spans="1:6" x14ac:dyDescent="0.3">
      <c r="A78">
        <v>38205</v>
      </c>
      <c r="B78" t="s">
        <v>383</v>
      </c>
      <c r="C78" t="s">
        <v>384</v>
      </c>
      <c r="D78" t="s">
        <v>212</v>
      </c>
      <c r="E78" t="s">
        <v>350</v>
      </c>
      <c r="F78" s="1" t="s">
        <v>174</v>
      </c>
    </row>
    <row r="79" spans="1:6" x14ac:dyDescent="0.3">
      <c r="A79">
        <v>38688</v>
      </c>
      <c r="B79" t="s">
        <v>385</v>
      </c>
      <c r="C79" t="s">
        <v>386</v>
      </c>
      <c r="D79" t="s">
        <v>55</v>
      </c>
      <c r="E79" t="s">
        <v>350</v>
      </c>
      <c r="F79" s="1" t="s">
        <v>174</v>
      </c>
    </row>
    <row r="80" spans="1:6" x14ac:dyDescent="0.3">
      <c r="A80">
        <v>31731</v>
      </c>
      <c r="B80" t="s">
        <v>387</v>
      </c>
      <c r="C80" t="s">
        <v>388</v>
      </c>
      <c r="D80" t="s">
        <v>209</v>
      </c>
      <c r="E80" t="s">
        <v>389</v>
      </c>
      <c r="F80" s="1" t="s">
        <v>174</v>
      </c>
    </row>
    <row r="81" spans="1:6" x14ac:dyDescent="0.3">
      <c r="A81">
        <v>32245</v>
      </c>
      <c r="B81" t="s">
        <v>390</v>
      </c>
      <c r="C81" t="s">
        <v>391</v>
      </c>
      <c r="D81" t="s">
        <v>209</v>
      </c>
      <c r="E81" t="s">
        <v>389</v>
      </c>
      <c r="F81" s="1" t="s">
        <v>174</v>
      </c>
    </row>
    <row r="82" spans="1:6" x14ac:dyDescent="0.3">
      <c r="A82">
        <v>37950</v>
      </c>
      <c r="B82" t="s">
        <v>116</v>
      </c>
      <c r="C82" t="s">
        <v>392</v>
      </c>
      <c r="D82" t="s">
        <v>210</v>
      </c>
      <c r="E82" t="s">
        <v>389</v>
      </c>
      <c r="F82" s="1" t="s">
        <v>174</v>
      </c>
    </row>
    <row r="83" spans="1:6" x14ac:dyDescent="0.3">
      <c r="A83">
        <v>40362</v>
      </c>
      <c r="B83" t="s">
        <v>393</v>
      </c>
      <c r="C83" t="s">
        <v>394</v>
      </c>
      <c r="D83" t="s">
        <v>212</v>
      </c>
      <c r="E83" t="s">
        <v>389</v>
      </c>
      <c r="F83" s="1" t="s">
        <v>174</v>
      </c>
    </row>
    <row r="84" spans="1:6" x14ac:dyDescent="0.3">
      <c r="A84">
        <v>41550</v>
      </c>
      <c r="B84" t="s">
        <v>395</v>
      </c>
      <c r="C84" t="s">
        <v>396</v>
      </c>
      <c r="D84" t="s">
        <v>50</v>
      </c>
      <c r="E84" t="s">
        <v>389</v>
      </c>
      <c r="F84" s="1" t="s">
        <v>174</v>
      </c>
    </row>
    <row r="85" spans="1:6" x14ac:dyDescent="0.3">
      <c r="A85">
        <v>23700</v>
      </c>
      <c r="B85" t="s">
        <v>397</v>
      </c>
      <c r="C85" t="s">
        <v>371</v>
      </c>
      <c r="D85" t="s">
        <v>210</v>
      </c>
      <c r="E85" t="s">
        <v>193</v>
      </c>
      <c r="F85" s="1" t="s">
        <v>174</v>
      </c>
    </row>
    <row r="86" spans="1:6" x14ac:dyDescent="0.3">
      <c r="A86">
        <v>31635</v>
      </c>
      <c r="B86" t="s">
        <v>398</v>
      </c>
      <c r="C86" t="s">
        <v>399</v>
      </c>
      <c r="D86" t="s">
        <v>209</v>
      </c>
      <c r="E86" t="s">
        <v>193</v>
      </c>
      <c r="F86" s="1" t="s">
        <v>174</v>
      </c>
    </row>
    <row r="87" spans="1:6" x14ac:dyDescent="0.3">
      <c r="A87">
        <v>33640</v>
      </c>
      <c r="B87" t="s">
        <v>400</v>
      </c>
      <c r="C87" t="s">
        <v>264</v>
      </c>
      <c r="D87" t="s">
        <v>211</v>
      </c>
      <c r="E87" t="s">
        <v>193</v>
      </c>
      <c r="F87" s="1" t="s">
        <v>174</v>
      </c>
    </row>
    <row r="88" spans="1:6" x14ac:dyDescent="0.3">
      <c r="A88">
        <v>35450</v>
      </c>
      <c r="B88" t="s">
        <v>401</v>
      </c>
      <c r="C88" t="s">
        <v>357</v>
      </c>
      <c r="D88" t="s">
        <v>55</v>
      </c>
      <c r="E88" t="s">
        <v>193</v>
      </c>
      <c r="F88" s="1" t="s">
        <v>174</v>
      </c>
    </row>
    <row r="89" spans="1:6" x14ac:dyDescent="0.3">
      <c r="A89">
        <v>35379</v>
      </c>
      <c r="B89" t="s">
        <v>402</v>
      </c>
      <c r="C89" t="s">
        <v>403</v>
      </c>
      <c r="D89" t="s">
        <v>209</v>
      </c>
      <c r="E89" t="s">
        <v>193</v>
      </c>
      <c r="F89" s="1" t="s">
        <v>174</v>
      </c>
    </row>
    <row r="90" spans="1:6" x14ac:dyDescent="0.3">
      <c r="A90">
        <v>36626</v>
      </c>
      <c r="B90" t="s">
        <v>404</v>
      </c>
      <c r="C90" t="s">
        <v>405</v>
      </c>
      <c r="D90" t="s">
        <v>55</v>
      </c>
      <c r="E90" t="s">
        <v>193</v>
      </c>
      <c r="F90" s="1" t="s">
        <v>174</v>
      </c>
    </row>
    <row r="91" spans="1:6" x14ac:dyDescent="0.3">
      <c r="A91">
        <v>36625</v>
      </c>
      <c r="B91" t="s">
        <v>406</v>
      </c>
      <c r="C91" t="s">
        <v>407</v>
      </c>
      <c r="D91" t="s">
        <v>212</v>
      </c>
      <c r="E91" t="s">
        <v>193</v>
      </c>
      <c r="F91" s="1" t="s">
        <v>174</v>
      </c>
    </row>
    <row r="92" spans="1:6" x14ac:dyDescent="0.3">
      <c r="A92">
        <v>36838</v>
      </c>
      <c r="B92" t="s">
        <v>408</v>
      </c>
      <c r="C92" t="s">
        <v>409</v>
      </c>
      <c r="D92" t="s">
        <v>210</v>
      </c>
      <c r="E92" t="s">
        <v>193</v>
      </c>
      <c r="F92" s="1" t="s">
        <v>174</v>
      </c>
    </row>
    <row r="93" spans="1:6" x14ac:dyDescent="0.3">
      <c r="A93">
        <v>38475</v>
      </c>
      <c r="B93" t="s">
        <v>400</v>
      </c>
      <c r="C93" t="s">
        <v>410</v>
      </c>
      <c r="D93" t="s">
        <v>55</v>
      </c>
      <c r="E93" t="s">
        <v>193</v>
      </c>
      <c r="F93" s="1" t="s">
        <v>174</v>
      </c>
    </row>
    <row r="94" spans="1:6" x14ac:dyDescent="0.3">
      <c r="A94">
        <v>39014</v>
      </c>
      <c r="B94" t="s">
        <v>56</v>
      </c>
      <c r="C94" t="s">
        <v>192</v>
      </c>
      <c r="D94" t="s">
        <v>57</v>
      </c>
      <c r="E94" t="s">
        <v>193</v>
      </c>
      <c r="F94" s="1" t="s">
        <v>174</v>
      </c>
    </row>
    <row r="95" spans="1:6" x14ac:dyDescent="0.3">
      <c r="A95">
        <v>39581</v>
      </c>
      <c r="B95" t="s">
        <v>411</v>
      </c>
      <c r="C95" t="s">
        <v>412</v>
      </c>
      <c r="D95" t="s">
        <v>55</v>
      </c>
      <c r="E95" t="s">
        <v>193</v>
      </c>
      <c r="F95" s="1" t="s">
        <v>174</v>
      </c>
    </row>
    <row r="96" spans="1:6" x14ac:dyDescent="0.3">
      <c r="A96">
        <v>40266</v>
      </c>
      <c r="B96" t="s">
        <v>413</v>
      </c>
      <c r="C96" t="s">
        <v>414</v>
      </c>
      <c r="D96" t="s">
        <v>50</v>
      </c>
      <c r="E96" t="s">
        <v>193</v>
      </c>
      <c r="F96" s="1" t="s">
        <v>174</v>
      </c>
    </row>
    <row r="97" spans="1:6" x14ac:dyDescent="0.3">
      <c r="A97">
        <v>11236</v>
      </c>
      <c r="B97" t="s">
        <v>415</v>
      </c>
      <c r="C97" t="s">
        <v>416</v>
      </c>
      <c r="D97" t="s">
        <v>57</v>
      </c>
      <c r="E97" t="s">
        <v>417</v>
      </c>
      <c r="F97" s="1" t="s">
        <v>174</v>
      </c>
    </row>
    <row r="98" spans="1:6" x14ac:dyDescent="0.3">
      <c r="A98">
        <v>12684</v>
      </c>
      <c r="B98" t="s">
        <v>418</v>
      </c>
      <c r="C98" t="s">
        <v>419</v>
      </c>
      <c r="D98" t="s">
        <v>209</v>
      </c>
      <c r="E98" t="s">
        <v>417</v>
      </c>
      <c r="F98" s="1" t="s">
        <v>174</v>
      </c>
    </row>
    <row r="99" spans="1:6" x14ac:dyDescent="0.3">
      <c r="A99">
        <v>14665</v>
      </c>
      <c r="B99" t="s">
        <v>420</v>
      </c>
      <c r="C99" t="s">
        <v>421</v>
      </c>
      <c r="D99" t="s">
        <v>57</v>
      </c>
      <c r="E99" t="s">
        <v>417</v>
      </c>
      <c r="F99" s="1" t="s">
        <v>174</v>
      </c>
    </row>
    <row r="100" spans="1:6" x14ac:dyDescent="0.3">
      <c r="A100">
        <v>15088</v>
      </c>
      <c r="B100" t="s">
        <v>422</v>
      </c>
      <c r="C100" t="s">
        <v>260</v>
      </c>
      <c r="D100" t="s">
        <v>209</v>
      </c>
      <c r="E100" t="s">
        <v>417</v>
      </c>
      <c r="F100" s="1" t="s">
        <v>174</v>
      </c>
    </row>
    <row r="101" spans="1:6" x14ac:dyDescent="0.3">
      <c r="A101">
        <v>15412</v>
      </c>
      <c r="B101" t="s">
        <v>423</v>
      </c>
      <c r="C101" t="s">
        <v>424</v>
      </c>
      <c r="D101" t="s">
        <v>57</v>
      </c>
      <c r="E101" t="s">
        <v>417</v>
      </c>
      <c r="F101" s="1" t="s">
        <v>174</v>
      </c>
    </row>
    <row r="102" spans="1:6" x14ac:dyDescent="0.3">
      <c r="A102">
        <v>15626</v>
      </c>
      <c r="B102" t="s">
        <v>425</v>
      </c>
      <c r="C102" t="s">
        <v>426</v>
      </c>
      <c r="D102" t="s">
        <v>57</v>
      </c>
      <c r="E102" t="s">
        <v>417</v>
      </c>
      <c r="F102" s="1" t="s">
        <v>174</v>
      </c>
    </row>
    <row r="103" spans="1:6" x14ac:dyDescent="0.3">
      <c r="A103">
        <v>16094</v>
      </c>
      <c r="B103" t="s">
        <v>427</v>
      </c>
      <c r="C103" t="s">
        <v>333</v>
      </c>
      <c r="D103" t="s">
        <v>212</v>
      </c>
      <c r="E103" t="s">
        <v>417</v>
      </c>
      <c r="F103" s="1" t="s">
        <v>174</v>
      </c>
    </row>
    <row r="104" spans="1:6" x14ac:dyDescent="0.3">
      <c r="A104">
        <v>16623</v>
      </c>
      <c r="B104" t="s">
        <v>428</v>
      </c>
      <c r="C104" t="s">
        <v>429</v>
      </c>
      <c r="D104" t="s">
        <v>209</v>
      </c>
      <c r="E104" t="s">
        <v>417</v>
      </c>
      <c r="F104" s="1" t="s">
        <v>174</v>
      </c>
    </row>
    <row r="105" spans="1:6" x14ac:dyDescent="0.3">
      <c r="A105">
        <v>16545</v>
      </c>
      <c r="B105" t="s">
        <v>430</v>
      </c>
      <c r="C105" t="s">
        <v>431</v>
      </c>
      <c r="D105" t="s">
        <v>57</v>
      </c>
      <c r="E105" t="s">
        <v>417</v>
      </c>
      <c r="F105" s="1" t="s">
        <v>174</v>
      </c>
    </row>
    <row r="106" spans="1:6" x14ac:dyDescent="0.3">
      <c r="A106">
        <v>17555</v>
      </c>
      <c r="B106" t="s">
        <v>432</v>
      </c>
      <c r="C106" t="s">
        <v>433</v>
      </c>
      <c r="D106" t="s">
        <v>57</v>
      </c>
      <c r="E106" t="s">
        <v>417</v>
      </c>
      <c r="F106" s="1" t="s">
        <v>174</v>
      </c>
    </row>
    <row r="107" spans="1:6" x14ac:dyDescent="0.3">
      <c r="A107">
        <v>18624</v>
      </c>
      <c r="B107" t="s">
        <v>434</v>
      </c>
      <c r="C107" t="s">
        <v>435</v>
      </c>
      <c r="D107" t="s">
        <v>57</v>
      </c>
      <c r="E107" t="s">
        <v>417</v>
      </c>
      <c r="F107" s="1" t="s">
        <v>174</v>
      </c>
    </row>
    <row r="108" spans="1:6" x14ac:dyDescent="0.3">
      <c r="A108">
        <v>19088</v>
      </c>
      <c r="B108" t="s">
        <v>436</v>
      </c>
      <c r="C108" t="s">
        <v>317</v>
      </c>
      <c r="D108" t="s">
        <v>212</v>
      </c>
      <c r="E108" t="s">
        <v>417</v>
      </c>
      <c r="F108" s="1" t="s">
        <v>174</v>
      </c>
    </row>
    <row r="109" spans="1:6" x14ac:dyDescent="0.3">
      <c r="A109">
        <v>19691</v>
      </c>
      <c r="B109" t="s">
        <v>437</v>
      </c>
      <c r="C109" t="s">
        <v>438</v>
      </c>
      <c r="D109" t="s">
        <v>209</v>
      </c>
      <c r="E109" t="s">
        <v>417</v>
      </c>
      <c r="F109" s="1" t="s">
        <v>174</v>
      </c>
    </row>
    <row r="110" spans="1:6" x14ac:dyDescent="0.3">
      <c r="A110">
        <v>20402</v>
      </c>
      <c r="B110" t="s">
        <v>439</v>
      </c>
      <c r="C110" t="s">
        <v>327</v>
      </c>
      <c r="D110" t="s">
        <v>55</v>
      </c>
      <c r="E110" t="s">
        <v>417</v>
      </c>
      <c r="F110" s="1" t="s">
        <v>174</v>
      </c>
    </row>
    <row r="111" spans="1:6" x14ac:dyDescent="0.3">
      <c r="A111">
        <v>22052</v>
      </c>
      <c r="B111" t="s">
        <v>280</v>
      </c>
      <c r="C111" t="s">
        <v>333</v>
      </c>
      <c r="D111" t="s">
        <v>55</v>
      </c>
      <c r="E111" t="s">
        <v>417</v>
      </c>
      <c r="F111" s="1" t="s">
        <v>174</v>
      </c>
    </row>
    <row r="112" spans="1:6" x14ac:dyDescent="0.3">
      <c r="A112">
        <v>22143</v>
      </c>
      <c r="B112" t="s">
        <v>440</v>
      </c>
      <c r="C112" t="s">
        <v>256</v>
      </c>
      <c r="D112" t="s">
        <v>209</v>
      </c>
      <c r="E112" t="s">
        <v>417</v>
      </c>
      <c r="F112" s="1" t="s">
        <v>174</v>
      </c>
    </row>
    <row r="113" spans="1:6" x14ac:dyDescent="0.3">
      <c r="A113">
        <v>23481</v>
      </c>
      <c r="B113" t="s">
        <v>441</v>
      </c>
      <c r="C113" t="s">
        <v>442</v>
      </c>
      <c r="D113" t="s">
        <v>57</v>
      </c>
      <c r="E113" t="s">
        <v>417</v>
      </c>
      <c r="F113" s="1" t="s">
        <v>174</v>
      </c>
    </row>
    <row r="114" spans="1:6" x14ac:dyDescent="0.3">
      <c r="A114">
        <v>25871</v>
      </c>
      <c r="B114" t="s">
        <v>443</v>
      </c>
      <c r="C114" t="s">
        <v>444</v>
      </c>
      <c r="D114" t="s">
        <v>212</v>
      </c>
      <c r="E114" t="s">
        <v>417</v>
      </c>
      <c r="F114" s="1" t="s">
        <v>174</v>
      </c>
    </row>
    <row r="115" spans="1:6" x14ac:dyDescent="0.3">
      <c r="A115">
        <v>26384</v>
      </c>
      <c r="B115" t="s">
        <v>445</v>
      </c>
      <c r="C115" t="s">
        <v>281</v>
      </c>
      <c r="D115" t="s">
        <v>55</v>
      </c>
      <c r="E115" t="s">
        <v>417</v>
      </c>
      <c r="F115" s="1" t="s">
        <v>174</v>
      </c>
    </row>
    <row r="116" spans="1:6" x14ac:dyDescent="0.3">
      <c r="A116">
        <v>4720</v>
      </c>
      <c r="B116" t="s">
        <v>446</v>
      </c>
      <c r="C116" t="s">
        <v>447</v>
      </c>
      <c r="D116" t="s">
        <v>209</v>
      </c>
      <c r="E116" t="s">
        <v>417</v>
      </c>
      <c r="F116" s="1" t="s">
        <v>174</v>
      </c>
    </row>
    <row r="117" spans="1:6" x14ac:dyDescent="0.3">
      <c r="A117">
        <v>4764</v>
      </c>
      <c r="B117" t="s">
        <v>448</v>
      </c>
      <c r="C117" t="s">
        <v>449</v>
      </c>
      <c r="D117" t="s">
        <v>57</v>
      </c>
      <c r="E117" t="s">
        <v>417</v>
      </c>
      <c r="F117" s="1" t="s">
        <v>174</v>
      </c>
    </row>
    <row r="118" spans="1:6" x14ac:dyDescent="0.3">
      <c r="A118">
        <v>5076</v>
      </c>
      <c r="B118" t="s">
        <v>450</v>
      </c>
      <c r="C118" t="s">
        <v>451</v>
      </c>
      <c r="D118" t="s">
        <v>57</v>
      </c>
      <c r="E118" t="s">
        <v>417</v>
      </c>
      <c r="F118" s="1" t="s">
        <v>174</v>
      </c>
    </row>
    <row r="119" spans="1:6" x14ac:dyDescent="0.3">
      <c r="A119">
        <v>7422</v>
      </c>
      <c r="B119" t="s">
        <v>452</v>
      </c>
      <c r="C119" t="s">
        <v>250</v>
      </c>
      <c r="D119" t="s">
        <v>57</v>
      </c>
      <c r="E119" t="s">
        <v>417</v>
      </c>
      <c r="F119" s="1" t="s">
        <v>174</v>
      </c>
    </row>
    <row r="120" spans="1:6" x14ac:dyDescent="0.3">
      <c r="A120">
        <v>8391</v>
      </c>
      <c r="B120" t="s">
        <v>453</v>
      </c>
      <c r="C120" t="s">
        <v>454</v>
      </c>
      <c r="D120" t="s">
        <v>209</v>
      </c>
      <c r="E120" t="s">
        <v>417</v>
      </c>
      <c r="F120" s="1" t="s">
        <v>174</v>
      </c>
    </row>
    <row r="121" spans="1:6" x14ac:dyDescent="0.3">
      <c r="A121">
        <v>13345</v>
      </c>
      <c r="B121" t="s">
        <v>455</v>
      </c>
      <c r="C121" t="s">
        <v>456</v>
      </c>
      <c r="D121" t="s">
        <v>212</v>
      </c>
      <c r="E121" t="s">
        <v>457</v>
      </c>
      <c r="F121" s="1" t="s">
        <v>174</v>
      </c>
    </row>
    <row r="122" spans="1:6" x14ac:dyDescent="0.3">
      <c r="A122">
        <v>18173</v>
      </c>
      <c r="B122" t="s">
        <v>458</v>
      </c>
      <c r="C122" t="s">
        <v>459</v>
      </c>
      <c r="D122" t="s">
        <v>212</v>
      </c>
      <c r="E122" t="s">
        <v>457</v>
      </c>
      <c r="F122" s="1" t="s">
        <v>174</v>
      </c>
    </row>
    <row r="123" spans="1:6" x14ac:dyDescent="0.3">
      <c r="A123">
        <v>26639</v>
      </c>
      <c r="B123" t="s">
        <v>402</v>
      </c>
      <c r="C123" t="s">
        <v>433</v>
      </c>
      <c r="D123" t="s">
        <v>212</v>
      </c>
      <c r="E123" t="s">
        <v>457</v>
      </c>
      <c r="F123" s="1" t="s">
        <v>174</v>
      </c>
    </row>
    <row r="124" spans="1:6" x14ac:dyDescent="0.3">
      <c r="A124">
        <v>28830</v>
      </c>
      <c r="B124" t="s">
        <v>460</v>
      </c>
      <c r="C124" t="s">
        <v>461</v>
      </c>
      <c r="D124" t="s">
        <v>50</v>
      </c>
      <c r="E124" t="s">
        <v>457</v>
      </c>
      <c r="F124" s="1" t="s">
        <v>174</v>
      </c>
    </row>
    <row r="125" spans="1:6" x14ac:dyDescent="0.3">
      <c r="A125">
        <v>29540</v>
      </c>
      <c r="B125" t="s">
        <v>462</v>
      </c>
      <c r="C125" t="s">
        <v>463</v>
      </c>
      <c r="D125" t="s">
        <v>175</v>
      </c>
      <c r="E125" t="s">
        <v>457</v>
      </c>
      <c r="F125" s="1" t="s">
        <v>174</v>
      </c>
    </row>
    <row r="126" spans="1:6" x14ac:dyDescent="0.3">
      <c r="A126">
        <v>30901</v>
      </c>
      <c r="B126" t="s">
        <v>464</v>
      </c>
      <c r="C126" t="s">
        <v>465</v>
      </c>
      <c r="D126" t="s">
        <v>55</v>
      </c>
      <c r="E126" t="s">
        <v>457</v>
      </c>
      <c r="F126" s="1" t="s">
        <v>174</v>
      </c>
    </row>
    <row r="127" spans="1:6" x14ac:dyDescent="0.3">
      <c r="A127">
        <v>31733</v>
      </c>
      <c r="B127" t="s">
        <v>466</v>
      </c>
      <c r="C127" t="s">
        <v>467</v>
      </c>
      <c r="D127" t="s">
        <v>210</v>
      </c>
      <c r="E127" t="s">
        <v>457</v>
      </c>
      <c r="F127" s="1" t="s">
        <v>174</v>
      </c>
    </row>
    <row r="128" spans="1:6" x14ac:dyDescent="0.3">
      <c r="A128">
        <v>36512</v>
      </c>
      <c r="B128" t="s">
        <v>468</v>
      </c>
      <c r="C128" t="s">
        <v>469</v>
      </c>
      <c r="D128" t="s">
        <v>211</v>
      </c>
      <c r="E128" t="s">
        <v>457</v>
      </c>
      <c r="F128" s="1" t="s">
        <v>174</v>
      </c>
    </row>
    <row r="129" spans="1:6" x14ac:dyDescent="0.3">
      <c r="A129">
        <v>36275</v>
      </c>
      <c r="B129" t="s">
        <v>470</v>
      </c>
      <c r="C129" t="s">
        <v>471</v>
      </c>
      <c r="D129" t="s">
        <v>210</v>
      </c>
      <c r="E129" t="s">
        <v>457</v>
      </c>
      <c r="F129" s="1" t="s">
        <v>174</v>
      </c>
    </row>
    <row r="130" spans="1:6" x14ac:dyDescent="0.3">
      <c r="A130">
        <v>36336</v>
      </c>
      <c r="B130" t="s">
        <v>472</v>
      </c>
      <c r="C130" t="s">
        <v>333</v>
      </c>
      <c r="D130" t="s">
        <v>175</v>
      </c>
      <c r="E130" t="s">
        <v>457</v>
      </c>
      <c r="F130" s="1" t="s">
        <v>174</v>
      </c>
    </row>
    <row r="131" spans="1:6" x14ac:dyDescent="0.3">
      <c r="A131">
        <v>38550</v>
      </c>
      <c r="B131" t="s">
        <v>473</v>
      </c>
      <c r="C131" t="s">
        <v>474</v>
      </c>
      <c r="D131" t="s">
        <v>50</v>
      </c>
      <c r="E131" t="s">
        <v>457</v>
      </c>
      <c r="F131" s="1" t="s">
        <v>174</v>
      </c>
    </row>
    <row r="132" spans="1:6" x14ac:dyDescent="0.3">
      <c r="A132">
        <v>5061</v>
      </c>
      <c r="B132" t="s">
        <v>475</v>
      </c>
      <c r="C132" t="s">
        <v>333</v>
      </c>
      <c r="D132" t="s">
        <v>212</v>
      </c>
      <c r="E132" t="s">
        <v>457</v>
      </c>
      <c r="F132" s="1" t="s">
        <v>174</v>
      </c>
    </row>
    <row r="133" spans="1:6" x14ac:dyDescent="0.3">
      <c r="A133">
        <v>14625</v>
      </c>
      <c r="B133" t="s">
        <v>476</v>
      </c>
      <c r="C133" t="s">
        <v>477</v>
      </c>
      <c r="D133" t="s">
        <v>175</v>
      </c>
      <c r="E133" t="s">
        <v>478</v>
      </c>
      <c r="F133" s="1" t="s">
        <v>174</v>
      </c>
    </row>
    <row r="134" spans="1:6" x14ac:dyDescent="0.3">
      <c r="A134">
        <v>19219</v>
      </c>
      <c r="B134" t="s">
        <v>479</v>
      </c>
      <c r="C134" t="s">
        <v>480</v>
      </c>
      <c r="D134" t="s">
        <v>175</v>
      </c>
      <c r="E134" t="s">
        <v>478</v>
      </c>
      <c r="F134" s="1" t="s">
        <v>174</v>
      </c>
    </row>
    <row r="135" spans="1:6" x14ac:dyDescent="0.3">
      <c r="A135">
        <v>21466</v>
      </c>
      <c r="B135" t="s">
        <v>481</v>
      </c>
      <c r="C135" t="s">
        <v>482</v>
      </c>
      <c r="D135" t="s">
        <v>175</v>
      </c>
      <c r="E135" t="s">
        <v>478</v>
      </c>
      <c r="F135" s="1" t="s">
        <v>174</v>
      </c>
    </row>
    <row r="136" spans="1:6" x14ac:dyDescent="0.3">
      <c r="A136">
        <v>21581</v>
      </c>
      <c r="B136" t="s">
        <v>483</v>
      </c>
      <c r="C136" t="s">
        <v>285</v>
      </c>
      <c r="D136" t="s">
        <v>175</v>
      </c>
      <c r="E136" t="s">
        <v>478</v>
      </c>
      <c r="F136" s="1" t="s">
        <v>174</v>
      </c>
    </row>
    <row r="137" spans="1:6" x14ac:dyDescent="0.3">
      <c r="A137">
        <v>23545</v>
      </c>
      <c r="B137" t="s">
        <v>484</v>
      </c>
      <c r="C137" t="s">
        <v>485</v>
      </c>
      <c r="D137" t="s">
        <v>175</v>
      </c>
      <c r="E137" t="s">
        <v>478</v>
      </c>
      <c r="F137" s="1" t="s">
        <v>174</v>
      </c>
    </row>
    <row r="138" spans="1:6" x14ac:dyDescent="0.3">
      <c r="A138">
        <v>30271</v>
      </c>
      <c r="B138" t="s">
        <v>427</v>
      </c>
      <c r="C138" t="s">
        <v>486</v>
      </c>
      <c r="D138" t="s">
        <v>55</v>
      </c>
      <c r="E138" t="s">
        <v>478</v>
      </c>
      <c r="F138" s="1" t="s">
        <v>174</v>
      </c>
    </row>
    <row r="139" spans="1:6" x14ac:dyDescent="0.3">
      <c r="A139">
        <v>4419</v>
      </c>
      <c r="B139" t="s">
        <v>487</v>
      </c>
      <c r="C139" t="s">
        <v>488</v>
      </c>
      <c r="D139" t="s">
        <v>175</v>
      </c>
      <c r="E139" t="s">
        <v>478</v>
      </c>
      <c r="F139" s="1" t="s">
        <v>174</v>
      </c>
    </row>
    <row r="140" spans="1:6" x14ac:dyDescent="0.3">
      <c r="A140">
        <v>4608</v>
      </c>
      <c r="B140" t="s">
        <v>489</v>
      </c>
      <c r="C140" t="s">
        <v>465</v>
      </c>
      <c r="D140" t="s">
        <v>175</v>
      </c>
      <c r="E140" t="s">
        <v>478</v>
      </c>
      <c r="F140" s="1" t="s">
        <v>174</v>
      </c>
    </row>
    <row r="141" spans="1:6" x14ac:dyDescent="0.3">
      <c r="A141">
        <v>6049</v>
      </c>
      <c r="B141" t="s">
        <v>490</v>
      </c>
      <c r="C141" t="s">
        <v>491</v>
      </c>
      <c r="D141" t="s">
        <v>175</v>
      </c>
      <c r="E141" t="s">
        <v>478</v>
      </c>
      <c r="F141" s="1" t="s">
        <v>174</v>
      </c>
    </row>
    <row r="142" spans="1:6" x14ac:dyDescent="0.3">
      <c r="A142">
        <v>6067</v>
      </c>
      <c r="B142" t="s">
        <v>492</v>
      </c>
      <c r="C142" t="s">
        <v>493</v>
      </c>
      <c r="D142" t="s">
        <v>175</v>
      </c>
      <c r="E142" t="s">
        <v>478</v>
      </c>
      <c r="F142" s="1" t="s">
        <v>174</v>
      </c>
    </row>
    <row r="143" spans="1:6" x14ac:dyDescent="0.3">
      <c r="A143">
        <v>8394</v>
      </c>
      <c r="B143" t="s">
        <v>494</v>
      </c>
      <c r="C143" t="s">
        <v>495</v>
      </c>
      <c r="D143" t="s">
        <v>175</v>
      </c>
      <c r="E143" t="s">
        <v>478</v>
      </c>
      <c r="F143" s="1" t="s">
        <v>174</v>
      </c>
    </row>
    <row r="144" spans="1:6" x14ac:dyDescent="0.3">
      <c r="A144">
        <v>8708</v>
      </c>
      <c r="B144" t="s">
        <v>496</v>
      </c>
      <c r="C144" t="s">
        <v>497</v>
      </c>
      <c r="D144" t="s">
        <v>175</v>
      </c>
      <c r="E144" t="s">
        <v>478</v>
      </c>
      <c r="F144" s="1" t="s">
        <v>174</v>
      </c>
    </row>
    <row r="145" spans="1:6" x14ac:dyDescent="0.3">
      <c r="A145">
        <v>10326</v>
      </c>
      <c r="B145" t="s">
        <v>498</v>
      </c>
      <c r="C145" t="s">
        <v>499</v>
      </c>
      <c r="D145" t="s">
        <v>57</v>
      </c>
      <c r="E145" t="s">
        <v>500</v>
      </c>
      <c r="F145" s="1" t="s">
        <v>174</v>
      </c>
    </row>
    <row r="146" spans="1:6" x14ac:dyDescent="0.3">
      <c r="A146">
        <v>15726</v>
      </c>
      <c r="B146" t="s">
        <v>501</v>
      </c>
      <c r="C146" t="s">
        <v>264</v>
      </c>
      <c r="D146" t="s">
        <v>57</v>
      </c>
      <c r="E146" t="s">
        <v>500</v>
      </c>
      <c r="F146" s="1" t="s">
        <v>174</v>
      </c>
    </row>
    <row r="147" spans="1:6" x14ac:dyDescent="0.3">
      <c r="A147">
        <v>19917</v>
      </c>
      <c r="B147" t="s">
        <v>502</v>
      </c>
      <c r="C147" t="s">
        <v>424</v>
      </c>
      <c r="D147" t="s">
        <v>57</v>
      </c>
      <c r="E147" t="s">
        <v>500</v>
      </c>
      <c r="F147" s="1" t="s">
        <v>174</v>
      </c>
    </row>
    <row r="148" spans="1:6" x14ac:dyDescent="0.3">
      <c r="A148">
        <v>22625</v>
      </c>
      <c r="B148" t="s">
        <v>503</v>
      </c>
      <c r="C148" t="s">
        <v>504</v>
      </c>
      <c r="D148" t="s">
        <v>57</v>
      </c>
      <c r="E148" t="s">
        <v>500</v>
      </c>
      <c r="F148" s="1" t="s">
        <v>174</v>
      </c>
    </row>
    <row r="149" spans="1:6" x14ac:dyDescent="0.3">
      <c r="A149">
        <v>22877</v>
      </c>
      <c r="B149" t="s">
        <v>505</v>
      </c>
      <c r="C149" t="s">
        <v>506</v>
      </c>
      <c r="D149" t="s">
        <v>55</v>
      </c>
      <c r="E149" t="s">
        <v>500</v>
      </c>
      <c r="F149" s="1" t="s">
        <v>174</v>
      </c>
    </row>
    <row r="150" spans="1:6" x14ac:dyDescent="0.3">
      <c r="A150">
        <v>26331</v>
      </c>
      <c r="B150" t="s">
        <v>507</v>
      </c>
      <c r="C150" t="s">
        <v>297</v>
      </c>
      <c r="D150" t="s">
        <v>57</v>
      </c>
      <c r="E150" t="s">
        <v>500</v>
      </c>
      <c r="F150" s="1" t="s">
        <v>174</v>
      </c>
    </row>
    <row r="151" spans="1:6" x14ac:dyDescent="0.3">
      <c r="A151">
        <v>27153</v>
      </c>
      <c r="B151" t="s">
        <v>508</v>
      </c>
      <c r="C151" t="s">
        <v>509</v>
      </c>
      <c r="D151" t="s">
        <v>50</v>
      </c>
      <c r="E151" t="s">
        <v>500</v>
      </c>
      <c r="F151" s="1" t="s">
        <v>174</v>
      </c>
    </row>
    <row r="152" spans="1:6" x14ac:dyDescent="0.3">
      <c r="A152">
        <v>28690</v>
      </c>
      <c r="B152" t="s">
        <v>510</v>
      </c>
      <c r="C152" t="s">
        <v>511</v>
      </c>
      <c r="D152" t="s">
        <v>209</v>
      </c>
      <c r="E152" t="s">
        <v>500</v>
      </c>
      <c r="F152" s="1" t="s">
        <v>174</v>
      </c>
    </row>
    <row r="153" spans="1:6" x14ac:dyDescent="0.3">
      <c r="A153">
        <v>28821</v>
      </c>
      <c r="B153" t="s">
        <v>512</v>
      </c>
      <c r="C153" t="s">
        <v>513</v>
      </c>
      <c r="D153" t="s">
        <v>57</v>
      </c>
      <c r="E153" t="s">
        <v>500</v>
      </c>
      <c r="F153" s="1" t="s">
        <v>174</v>
      </c>
    </row>
    <row r="154" spans="1:6" x14ac:dyDescent="0.3">
      <c r="A154">
        <v>29271</v>
      </c>
      <c r="B154" t="s">
        <v>484</v>
      </c>
      <c r="C154" t="s">
        <v>195</v>
      </c>
      <c r="D154" t="s">
        <v>55</v>
      </c>
      <c r="E154" t="s">
        <v>500</v>
      </c>
      <c r="F154" s="1" t="s">
        <v>174</v>
      </c>
    </row>
    <row r="155" spans="1:6" x14ac:dyDescent="0.3">
      <c r="A155">
        <v>31150</v>
      </c>
      <c r="B155" t="s">
        <v>514</v>
      </c>
      <c r="C155" t="s">
        <v>515</v>
      </c>
      <c r="D155" t="s">
        <v>212</v>
      </c>
      <c r="E155" t="s">
        <v>500</v>
      </c>
      <c r="F155" s="1" t="s">
        <v>174</v>
      </c>
    </row>
    <row r="156" spans="1:6" x14ac:dyDescent="0.3">
      <c r="A156">
        <v>31634</v>
      </c>
      <c r="B156" t="s">
        <v>516</v>
      </c>
      <c r="C156" t="s">
        <v>517</v>
      </c>
      <c r="D156" t="s">
        <v>209</v>
      </c>
      <c r="E156" t="s">
        <v>500</v>
      </c>
      <c r="F156" s="1" t="s">
        <v>174</v>
      </c>
    </row>
    <row r="157" spans="1:6" x14ac:dyDescent="0.3">
      <c r="A157">
        <v>21738</v>
      </c>
      <c r="B157" t="s">
        <v>518</v>
      </c>
      <c r="C157" t="s">
        <v>463</v>
      </c>
      <c r="D157" t="s">
        <v>55</v>
      </c>
      <c r="E157" t="s">
        <v>519</v>
      </c>
      <c r="F157" s="1" t="s">
        <v>174</v>
      </c>
    </row>
    <row r="158" spans="1:6" x14ac:dyDescent="0.3">
      <c r="A158">
        <v>26102</v>
      </c>
      <c r="B158" t="s">
        <v>520</v>
      </c>
      <c r="C158" t="s">
        <v>521</v>
      </c>
      <c r="D158" t="s">
        <v>55</v>
      </c>
      <c r="E158" t="s">
        <v>519</v>
      </c>
      <c r="F158" s="1" t="s">
        <v>174</v>
      </c>
    </row>
    <row r="159" spans="1:6" x14ac:dyDescent="0.3">
      <c r="A159">
        <v>26198</v>
      </c>
      <c r="B159" t="s">
        <v>522</v>
      </c>
      <c r="C159" t="s">
        <v>281</v>
      </c>
      <c r="D159" t="s">
        <v>212</v>
      </c>
      <c r="E159" t="s">
        <v>519</v>
      </c>
      <c r="F159" s="1" t="s">
        <v>174</v>
      </c>
    </row>
    <row r="160" spans="1:6" x14ac:dyDescent="0.3">
      <c r="A160">
        <v>28717</v>
      </c>
      <c r="B160" t="s">
        <v>523</v>
      </c>
      <c r="C160" t="s">
        <v>513</v>
      </c>
      <c r="D160" t="s">
        <v>175</v>
      </c>
      <c r="E160" t="s">
        <v>519</v>
      </c>
      <c r="F160" s="1" t="s">
        <v>174</v>
      </c>
    </row>
    <row r="161" spans="1:6" x14ac:dyDescent="0.3">
      <c r="A161">
        <v>31165</v>
      </c>
      <c r="B161" t="s">
        <v>524</v>
      </c>
      <c r="C161" t="s">
        <v>525</v>
      </c>
      <c r="D161" t="s">
        <v>175</v>
      </c>
      <c r="E161" t="s">
        <v>519</v>
      </c>
      <c r="F161" s="1" t="s">
        <v>174</v>
      </c>
    </row>
    <row r="162" spans="1:6" x14ac:dyDescent="0.3">
      <c r="A162">
        <v>31111</v>
      </c>
      <c r="B162" t="s">
        <v>526</v>
      </c>
      <c r="C162" t="s">
        <v>527</v>
      </c>
      <c r="D162" t="s">
        <v>209</v>
      </c>
      <c r="E162" t="s">
        <v>519</v>
      </c>
      <c r="F162" s="1" t="s">
        <v>174</v>
      </c>
    </row>
    <row r="163" spans="1:6" x14ac:dyDescent="0.3">
      <c r="A163">
        <v>31118</v>
      </c>
      <c r="B163" t="s">
        <v>528</v>
      </c>
      <c r="C163" t="s">
        <v>529</v>
      </c>
      <c r="D163" t="s">
        <v>55</v>
      </c>
      <c r="E163" t="s">
        <v>519</v>
      </c>
      <c r="F163" s="1" t="s">
        <v>174</v>
      </c>
    </row>
    <row r="164" spans="1:6" x14ac:dyDescent="0.3">
      <c r="A164">
        <v>33639</v>
      </c>
      <c r="B164" t="s">
        <v>530</v>
      </c>
      <c r="C164" t="s">
        <v>531</v>
      </c>
      <c r="D164" t="s">
        <v>175</v>
      </c>
      <c r="E164" t="s">
        <v>519</v>
      </c>
      <c r="F164" s="1" t="s">
        <v>174</v>
      </c>
    </row>
    <row r="165" spans="1:6" x14ac:dyDescent="0.3">
      <c r="A165">
        <v>33986</v>
      </c>
      <c r="B165" t="s">
        <v>532</v>
      </c>
      <c r="C165" t="s">
        <v>533</v>
      </c>
      <c r="D165" t="s">
        <v>212</v>
      </c>
      <c r="E165" t="s">
        <v>519</v>
      </c>
      <c r="F165" s="1" t="s">
        <v>174</v>
      </c>
    </row>
    <row r="166" spans="1:6" x14ac:dyDescent="0.3">
      <c r="A166">
        <v>35006</v>
      </c>
      <c r="B166" t="s">
        <v>534</v>
      </c>
      <c r="C166" t="s">
        <v>535</v>
      </c>
      <c r="D166" t="s">
        <v>212</v>
      </c>
      <c r="E166" t="s">
        <v>519</v>
      </c>
      <c r="F166" s="1" t="s">
        <v>174</v>
      </c>
    </row>
    <row r="167" spans="1:6" x14ac:dyDescent="0.3">
      <c r="A167">
        <v>35419</v>
      </c>
      <c r="B167" t="s">
        <v>536</v>
      </c>
      <c r="C167" t="s">
        <v>537</v>
      </c>
      <c r="D167" t="s">
        <v>175</v>
      </c>
      <c r="E167" t="s">
        <v>519</v>
      </c>
      <c r="F167" s="1" t="s">
        <v>174</v>
      </c>
    </row>
    <row r="168" spans="1:6" x14ac:dyDescent="0.3">
      <c r="A168">
        <v>36021</v>
      </c>
      <c r="B168" t="s">
        <v>538</v>
      </c>
      <c r="C168" t="s">
        <v>539</v>
      </c>
      <c r="D168" t="s">
        <v>175</v>
      </c>
      <c r="E168" t="s">
        <v>519</v>
      </c>
      <c r="F168" s="1" t="s">
        <v>174</v>
      </c>
    </row>
    <row r="169" spans="1:6" x14ac:dyDescent="0.3">
      <c r="A169">
        <v>15282</v>
      </c>
      <c r="B169" t="s">
        <v>540</v>
      </c>
      <c r="C169" t="s">
        <v>541</v>
      </c>
      <c r="D169" t="s">
        <v>212</v>
      </c>
      <c r="E169" t="s">
        <v>196</v>
      </c>
      <c r="F169" s="1" t="s">
        <v>174</v>
      </c>
    </row>
    <row r="170" spans="1:6" x14ac:dyDescent="0.3">
      <c r="A170">
        <v>16095</v>
      </c>
      <c r="B170" t="s">
        <v>542</v>
      </c>
      <c r="C170" t="s">
        <v>486</v>
      </c>
      <c r="D170" t="s">
        <v>212</v>
      </c>
      <c r="E170" t="s">
        <v>196</v>
      </c>
      <c r="F170" s="1" t="s">
        <v>174</v>
      </c>
    </row>
    <row r="171" spans="1:6" x14ac:dyDescent="0.3">
      <c r="A171">
        <v>18051</v>
      </c>
      <c r="B171" t="s">
        <v>194</v>
      </c>
      <c r="C171" t="s">
        <v>195</v>
      </c>
      <c r="D171" t="s">
        <v>50</v>
      </c>
      <c r="E171" t="s">
        <v>196</v>
      </c>
      <c r="F171" s="1" t="s">
        <v>174</v>
      </c>
    </row>
    <row r="172" spans="1:6" x14ac:dyDescent="0.3">
      <c r="A172">
        <v>21507</v>
      </c>
      <c r="B172" t="s">
        <v>326</v>
      </c>
      <c r="C172" t="s">
        <v>543</v>
      </c>
      <c r="D172" t="s">
        <v>212</v>
      </c>
      <c r="E172" t="s">
        <v>196</v>
      </c>
      <c r="F172" s="1" t="s">
        <v>174</v>
      </c>
    </row>
    <row r="173" spans="1:6" x14ac:dyDescent="0.3">
      <c r="A173">
        <v>23790</v>
      </c>
      <c r="B173" t="s">
        <v>544</v>
      </c>
      <c r="C173" t="s">
        <v>545</v>
      </c>
      <c r="D173" t="s">
        <v>210</v>
      </c>
      <c r="E173" t="s">
        <v>196</v>
      </c>
      <c r="F173" s="1" t="s">
        <v>174</v>
      </c>
    </row>
    <row r="174" spans="1:6" x14ac:dyDescent="0.3">
      <c r="A174">
        <v>23880</v>
      </c>
      <c r="B174" t="s">
        <v>546</v>
      </c>
      <c r="C174" t="s">
        <v>547</v>
      </c>
      <c r="D174" t="s">
        <v>210</v>
      </c>
      <c r="E174" t="s">
        <v>196</v>
      </c>
      <c r="F174" s="1" t="s">
        <v>174</v>
      </c>
    </row>
    <row r="175" spans="1:6" x14ac:dyDescent="0.3">
      <c r="A175">
        <v>25679</v>
      </c>
      <c r="B175" t="s">
        <v>548</v>
      </c>
      <c r="C175" t="s">
        <v>549</v>
      </c>
      <c r="D175" t="s">
        <v>50</v>
      </c>
      <c r="E175" t="s">
        <v>196</v>
      </c>
      <c r="F175" s="1" t="s">
        <v>174</v>
      </c>
    </row>
    <row r="176" spans="1:6" x14ac:dyDescent="0.3">
      <c r="A176">
        <v>26959</v>
      </c>
      <c r="B176" t="s">
        <v>550</v>
      </c>
      <c r="C176" t="s">
        <v>499</v>
      </c>
      <c r="D176" t="s">
        <v>210</v>
      </c>
      <c r="E176" t="s">
        <v>196</v>
      </c>
      <c r="F176" s="1" t="s">
        <v>174</v>
      </c>
    </row>
    <row r="177" spans="1:6" x14ac:dyDescent="0.3">
      <c r="A177">
        <v>28165</v>
      </c>
      <c r="B177" t="s">
        <v>551</v>
      </c>
      <c r="C177" t="s">
        <v>327</v>
      </c>
      <c r="D177" t="s">
        <v>55</v>
      </c>
      <c r="E177" t="s">
        <v>196</v>
      </c>
      <c r="F177" s="1" t="s">
        <v>174</v>
      </c>
    </row>
    <row r="178" spans="1:6" x14ac:dyDescent="0.3">
      <c r="A178">
        <v>29818</v>
      </c>
      <c r="B178" t="s">
        <v>552</v>
      </c>
      <c r="C178" t="s">
        <v>553</v>
      </c>
      <c r="D178" t="s">
        <v>210</v>
      </c>
      <c r="E178" t="s">
        <v>196</v>
      </c>
      <c r="F178" s="1" t="s">
        <v>174</v>
      </c>
    </row>
    <row r="179" spans="1:6" x14ac:dyDescent="0.3">
      <c r="A179">
        <v>4525</v>
      </c>
      <c r="B179" t="s">
        <v>554</v>
      </c>
      <c r="C179" t="s">
        <v>480</v>
      </c>
      <c r="D179" t="s">
        <v>212</v>
      </c>
      <c r="E179" t="s">
        <v>196</v>
      </c>
      <c r="F179" s="1" t="s">
        <v>174</v>
      </c>
    </row>
    <row r="180" spans="1:6" x14ac:dyDescent="0.3">
      <c r="A180">
        <v>4793</v>
      </c>
      <c r="B180" t="s">
        <v>555</v>
      </c>
      <c r="C180" t="s">
        <v>556</v>
      </c>
      <c r="D180" t="s">
        <v>175</v>
      </c>
      <c r="E180" t="s">
        <v>196</v>
      </c>
      <c r="F180" s="1" t="s">
        <v>174</v>
      </c>
    </row>
    <row r="181" spans="1:6" x14ac:dyDescent="0.3">
      <c r="A181">
        <v>5718</v>
      </c>
      <c r="B181" t="s">
        <v>523</v>
      </c>
      <c r="C181" t="s">
        <v>557</v>
      </c>
      <c r="D181" t="s">
        <v>212</v>
      </c>
      <c r="E181" t="s">
        <v>196</v>
      </c>
      <c r="F181" s="1" t="s">
        <v>174</v>
      </c>
    </row>
    <row r="182" spans="1:6" x14ac:dyDescent="0.3">
      <c r="A182">
        <v>8918</v>
      </c>
      <c r="B182" t="s">
        <v>558</v>
      </c>
      <c r="C182" t="s">
        <v>559</v>
      </c>
      <c r="D182" t="s">
        <v>212</v>
      </c>
      <c r="E182" t="s">
        <v>196</v>
      </c>
      <c r="F182" s="1" t="s">
        <v>174</v>
      </c>
    </row>
    <row r="183" spans="1:6" x14ac:dyDescent="0.3">
      <c r="A183">
        <v>15628</v>
      </c>
      <c r="B183" t="s">
        <v>560</v>
      </c>
      <c r="C183" t="s">
        <v>250</v>
      </c>
      <c r="D183" t="s">
        <v>212</v>
      </c>
      <c r="E183" t="s">
        <v>561</v>
      </c>
      <c r="F183" s="1" t="s">
        <v>174</v>
      </c>
    </row>
    <row r="184" spans="1:6" x14ac:dyDescent="0.3">
      <c r="A184">
        <v>22042</v>
      </c>
      <c r="B184" t="s">
        <v>562</v>
      </c>
      <c r="C184" t="s">
        <v>543</v>
      </c>
      <c r="D184" t="s">
        <v>211</v>
      </c>
      <c r="E184" t="s">
        <v>561</v>
      </c>
      <c r="F184" s="1" t="s">
        <v>174</v>
      </c>
    </row>
    <row r="185" spans="1:6" x14ac:dyDescent="0.3">
      <c r="A185">
        <v>28737</v>
      </c>
      <c r="B185" t="s">
        <v>563</v>
      </c>
      <c r="C185" t="s">
        <v>564</v>
      </c>
      <c r="D185" t="s">
        <v>175</v>
      </c>
      <c r="E185" t="s">
        <v>561</v>
      </c>
      <c r="F185" s="1" t="s">
        <v>174</v>
      </c>
    </row>
    <row r="186" spans="1:6" x14ac:dyDescent="0.3">
      <c r="A186">
        <v>28794</v>
      </c>
      <c r="B186" t="s">
        <v>565</v>
      </c>
      <c r="C186" t="s">
        <v>566</v>
      </c>
      <c r="D186" t="s">
        <v>175</v>
      </c>
      <c r="E186" t="s">
        <v>561</v>
      </c>
      <c r="F186" s="1" t="s">
        <v>174</v>
      </c>
    </row>
    <row r="187" spans="1:6" x14ac:dyDescent="0.3">
      <c r="A187">
        <v>29179</v>
      </c>
      <c r="B187" t="s">
        <v>567</v>
      </c>
      <c r="C187" t="s">
        <v>568</v>
      </c>
      <c r="D187" t="s">
        <v>55</v>
      </c>
      <c r="E187" t="s">
        <v>561</v>
      </c>
      <c r="F187" s="1" t="s">
        <v>174</v>
      </c>
    </row>
    <row r="188" spans="1:6" x14ac:dyDescent="0.3">
      <c r="A188">
        <v>30623</v>
      </c>
      <c r="B188" t="s">
        <v>341</v>
      </c>
      <c r="C188" t="s">
        <v>363</v>
      </c>
      <c r="D188" t="s">
        <v>212</v>
      </c>
      <c r="E188" t="s">
        <v>561</v>
      </c>
      <c r="F188" s="1" t="s">
        <v>174</v>
      </c>
    </row>
    <row r="189" spans="1:6" x14ac:dyDescent="0.3">
      <c r="A189">
        <v>31360</v>
      </c>
      <c r="B189" t="s">
        <v>569</v>
      </c>
      <c r="C189" t="s">
        <v>347</v>
      </c>
      <c r="D189" t="s">
        <v>210</v>
      </c>
      <c r="E189" t="s">
        <v>561</v>
      </c>
      <c r="F189" s="1" t="s">
        <v>174</v>
      </c>
    </row>
    <row r="190" spans="1:6" x14ac:dyDescent="0.3">
      <c r="A190">
        <v>31404</v>
      </c>
      <c r="B190" t="s">
        <v>570</v>
      </c>
      <c r="C190" t="s">
        <v>571</v>
      </c>
      <c r="D190" t="s">
        <v>210</v>
      </c>
      <c r="E190" t="s">
        <v>561</v>
      </c>
      <c r="F190" s="1" t="s">
        <v>174</v>
      </c>
    </row>
    <row r="191" spans="1:6" x14ac:dyDescent="0.3">
      <c r="A191">
        <v>31550</v>
      </c>
      <c r="B191" t="s">
        <v>394</v>
      </c>
      <c r="C191" t="s">
        <v>572</v>
      </c>
      <c r="D191" t="s">
        <v>210</v>
      </c>
      <c r="E191" t="s">
        <v>561</v>
      </c>
      <c r="F191" s="1" t="s">
        <v>174</v>
      </c>
    </row>
    <row r="192" spans="1:6" x14ac:dyDescent="0.3">
      <c r="A192">
        <v>31600</v>
      </c>
      <c r="B192" t="s">
        <v>573</v>
      </c>
      <c r="C192" t="s">
        <v>574</v>
      </c>
      <c r="D192" t="s">
        <v>55</v>
      </c>
      <c r="E192" t="s">
        <v>561</v>
      </c>
      <c r="F192" s="1" t="s">
        <v>174</v>
      </c>
    </row>
    <row r="193" spans="1:6" x14ac:dyDescent="0.3">
      <c r="A193">
        <v>31689</v>
      </c>
      <c r="B193" t="s">
        <v>575</v>
      </c>
      <c r="C193" t="s">
        <v>576</v>
      </c>
      <c r="D193" t="s">
        <v>211</v>
      </c>
      <c r="E193" t="s">
        <v>561</v>
      </c>
      <c r="F193" s="1" t="s">
        <v>174</v>
      </c>
    </row>
    <row r="194" spans="1:6" x14ac:dyDescent="0.3">
      <c r="A194">
        <v>32611</v>
      </c>
      <c r="B194" t="s">
        <v>577</v>
      </c>
      <c r="C194" t="s">
        <v>578</v>
      </c>
      <c r="D194" t="s">
        <v>212</v>
      </c>
      <c r="E194" t="s">
        <v>561</v>
      </c>
      <c r="F194" s="1" t="s">
        <v>174</v>
      </c>
    </row>
    <row r="195" spans="1:6" x14ac:dyDescent="0.3">
      <c r="A195">
        <v>13089</v>
      </c>
      <c r="B195" t="s">
        <v>579</v>
      </c>
      <c r="C195" t="s">
        <v>463</v>
      </c>
      <c r="D195" t="s">
        <v>50</v>
      </c>
      <c r="E195" t="s">
        <v>580</v>
      </c>
      <c r="F195" s="1" t="s">
        <v>174</v>
      </c>
    </row>
    <row r="196" spans="1:6" x14ac:dyDescent="0.3">
      <c r="A196">
        <v>21124</v>
      </c>
      <c r="B196" t="s">
        <v>581</v>
      </c>
      <c r="C196" t="s">
        <v>582</v>
      </c>
      <c r="D196" t="s">
        <v>50</v>
      </c>
      <c r="E196" t="s">
        <v>580</v>
      </c>
      <c r="F196" s="1" t="s">
        <v>174</v>
      </c>
    </row>
    <row r="197" spans="1:6" x14ac:dyDescent="0.3">
      <c r="A197">
        <v>21249</v>
      </c>
      <c r="B197" t="s">
        <v>583</v>
      </c>
      <c r="C197" t="s">
        <v>584</v>
      </c>
      <c r="D197" t="s">
        <v>50</v>
      </c>
      <c r="E197" t="s">
        <v>580</v>
      </c>
      <c r="F197" s="1" t="s">
        <v>174</v>
      </c>
    </row>
    <row r="198" spans="1:6" x14ac:dyDescent="0.3">
      <c r="A198">
        <v>24156</v>
      </c>
      <c r="B198" t="s">
        <v>585</v>
      </c>
      <c r="C198" t="s">
        <v>586</v>
      </c>
      <c r="D198" t="s">
        <v>50</v>
      </c>
      <c r="E198" t="s">
        <v>580</v>
      </c>
      <c r="F198" s="1" t="s">
        <v>174</v>
      </c>
    </row>
    <row r="199" spans="1:6" x14ac:dyDescent="0.3">
      <c r="A199">
        <v>25993</v>
      </c>
      <c r="B199" t="s">
        <v>587</v>
      </c>
      <c r="C199" t="s">
        <v>392</v>
      </c>
      <c r="D199" t="s">
        <v>50</v>
      </c>
      <c r="E199" t="s">
        <v>580</v>
      </c>
      <c r="F199" s="1" t="s">
        <v>174</v>
      </c>
    </row>
    <row r="200" spans="1:6" x14ac:dyDescent="0.3">
      <c r="A200">
        <v>25994</v>
      </c>
      <c r="B200" t="s">
        <v>588</v>
      </c>
      <c r="C200" t="s">
        <v>589</v>
      </c>
      <c r="D200" t="s">
        <v>55</v>
      </c>
      <c r="E200" t="s">
        <v>580</v>
      </c>
      <c r="F200" s="1" t="s">
        <v>174</v>
      </c>
    </row>
    <row r="201" spans="1:6" x14ac:dyDescent="0.3">
      <c r="A201">
        <v>30321</v>
      </c>
      <c r="B201" t="s">
        <v>590</v>
      </c>
      <c r="C201" t="s">
        <v>591</v>
      </c>
      <c r="D201" t="s">
        <v>212</v>
      </c>
      <c r="E201" t="s">
        <v>580</v>
      </c>
      <c r="F201" s="1" t="s">
        <v>174</v>
      </c>
    </row>
    <row r="202" spans="1:6" x14ac:dyDescent="0.3">
      <c r="A202">
        <v>32091</v>
      </c>
      <c r="B202" t="s">
        <v>592</v>
      </c>
      <c r="C202" t="s">
        <v>593</v>
      </c>
      <c r="D202" t="s">
        <v>212</v>
      </c>
      <c r="E202" t="s">
        <v>580</v>
      </c>
      <c r="F202" s="1" t="s">
        <v>174</v>
      </c>
    </row>
    <row r="203" spans="1:6" x14ac:dyDescent="0.3">
      <c r="A203">
        <v>33698</v>
      </c>
      <c r="B203" t="s">
        <v>594</v>
      </c>
      <c r="C203" t="s">
        <v>582</v>
      </c>
      <c r="D203" t="s">
        <v>211</v>
      </c>
      <c r="E203" t="s">
        <v>580</v>
      </c>
      <c r="F203" s="1" t="s">
        <v>174</v>
      </c>
    </row>
    <row r="204" spans="1:6" x14ac:dyDescent="0.3">
      <c r="A204">
        <v>34286</v>
      </c>
      <c r="B204" t="s">
        <v>595</v>
      </c>
      <c r="C204" t="s">
        <v>596</v>
      </c>
      <c r="D204" t="s">
        <v>211</v>
      </c>
      <c r="E204" t="s">
        <v>580</v>
      </c>
      <c r="F204" s="1" t="s">
        <v>174</v>
      </c>
    </row>
    <row r="205" spans="1:6" x14ac:dyDescent="0.3">
      <c r="A205">
        <v>34312</v>
      </c>
      <c r="B205" t="s">
        <v>583</v>
      </c>
      <c r="C205" t="s">
        <v>597</v>
      </c>
      <c r="D205" t="s">
        <v>211</v>
      </c>
      <c r="E205" t="s">
        <v>580</v>
      </c>
      <c r="F205" s="1" t="s">
        <v>174</v>
      </c>
    </row>
    <row r="206" spans="1:6" x14ac:dyDescent="0.3">
      <c r="A206">
        <v>34664</v>
      </c>
      <c r="B206" t="s">
        <v>598</v>
      </c>
      <c r="C206" t="s">
        <v>599</v>
      </c>
      <c r="D206" t="s">
        <v>211</v>
      </c>
      <c r="E206" t="s">
        <v>580</v>
      </c>
      <c r="F206" s="1" t="s">
        <v>174</v>
      </c>
    </row>
    <row r="207" spans="1:6" x14ac:dyDescent="0.3">
      <c r="A207">
        <v>35216</v>
      </c>
      <c r="B207" t="s">
        <v>600</v>
      </c>
      <c r="C207" t="s">
        <v>601</v>
      </c>
      <c r="D207" t="s">
        <v>175</v>
      </c>
      <c r="E207" t="s">
        <v>580</v>
      </c>
      <c r="F207" s="1" t="s">
        <v>174</v>
      </c>
    </row>
    <row r="208" spans="1:6" x14ac:dyDescent="0.3">
      <c r="A208">
        <v>35463</v>
      </c>
      <c r="B208" t="s">
        <v>602</v>
      </c>
      <c r="C208" t="s">
        <v>574</v>
      </c>
      <c r="D208" t="s">
        <v>210</v>
      </c>
      <c r="E208" t="s">
        <v>580</v>
      </c>
      <c r="F208" s="1" t="s">
        <v>174</v>
      </c>
    </row>
    <row r="209" spans="1:6" x14ac:dyDescent="0.3">
      <c r="A209">
        <v>35397</v>
      </c>
      <c r="B209" t="s">
        <v>603</v>
      </c>
      <c r="C209" t="s">
        <v>604</v>
      </c>
      <c r="D209" t="s">
        <v>175</v>
      </c>
      <c r="E209" t="s">
        <v>580</v>
      </c>
      <c r="F209" s="1" t="s">
        <v>174</v>
      </c>
    </row>
    <row r="210" spans="1:6" x14ac:dyDescent="0.3">
      <c r="A210">
        <v>35434</v>
      </c>
      <c r="B210" t="s">
        <v>585</v>
      </c>
      <c r="C210" t="s">
        <v>605</v>
      </c>
      <c r="D210" t="s">
        <v>210</v>
      </c>
      <c r="E210" t="s">
        <v>580</v>
      </c>
      <c r="F210" s="1" t="s">
        <v>174</v>
      </c>
    </row>
    <row r="211" spans="1:6" x14ac:dyDescent="0.3">
      <c r="A211">
        <v>35598</v>
      </c>
      <c r="B211" t="s">
        <v>606</v>
      </c>
      <c r="C211" t="s">
        <v>607</v>
      </c>
      <c r="D211" t="s">
        <v>210</v>
      </c>
      <c r="E211" t="s">
        <v>580</v>
      </c>
      <c r="F211" s="1" t="s">
        <v>174</v>
      </c>
    </row>
    <row r="212" spans="1:6" x14ac:dyDescent="0.3">
      <c r="A212">
        <v>36577</v>
      </c>
      <c r="B212" t="s">
        <v>608</v>
      </c>
      <c r="C212" t="s">
        <v>419</v>
      </c>
      <c r="D212" t="s">
        <v>55</v>
      </c>
      <c r="E212" t="s">
        <v>580</v>
      </c>
      <c r="F212" s="1" t="s">
        <v>174</v>
      </c>
    </row>
    <row r="213" spans="1:6" x14ac:dyDescent="0.3">
      <c r="A213">
        <v>36289</v>
      </c>
      <c r="B213" t="s">
        <v>609</v>
      </c>
      <c r="C213" t="s">
        <v>299</v>
      </c>
      <c r="D213" t="s">
        <v>209</v>
      </c>
      <c r="E213" t="s">
        <v>580</v>
      </c>
      <c r="F213" s="1" t="s">
        <v>174</v>
      </c>
    </row>
    <row r="214" spans="1:6" x14ac:dyDescent="0.3">
      <c r="A214">
        <v>36428</v>
      </c>
      <c r="B214" t="s">
        <v>610</v>
      </c>
      <c r="C214" t="s">
        <v>611</v>
      </c>
      <c r="D214" t="s">
        <v>175</v>
      </c>
      <c r="E214" t="s">
        <v>580</v>
      </c>
      <c r="F214" s="1" t="s">
        <v>174</v>
      </c>
    </row>
    <row r="215" spans="1:6" x14ac:dyDescent="0.3">
      <c r="A215">
        <v>37509</v>
      </c>
      <c r="B215" t="s">
        <v>612</v>
      </c>
      <c r="C215" t="s">
        <v>613</v>
      </c>
      <c r="D215" t="s">
        <v>57</v>
      </c>
      <c r="E215" t="s">
        <v>580</v>
      </c>
      <c r="F215" s="1" t="s">
        <v>174</v>
      </c>
    </row>
    <row r="216" spans="1:6" x14ac:dyDescent="0.3">
      <c r="A216">
        <v>37226</v>
      </c>
      <c r="B216" t="s">
        <v>614</v>
      </c>
      <c r="C216" t="s">
        <v>396</v>
      </c>
      <c r="D216" t="s">
        <v>55</v>
      </c>
      <c r="E216" t="s">
        <v>580</v>
      </c>
      <c r="F216" s="1" t="s">
        <v>174</v>
      </c>
    </row>
    <row r="217" spans="1:6" x14ac:dyDescent="0.3">
      <c r="A217">
        <v>37261</v>
      </c>
      <c r="B217" t="s">
        <v>615</v>
      </c>
      <c r="C217" t="s">
        <v>616</v>
      </c>
      <c r="D217" t="s">
        <v>210</v>
      </c>
      <c r="E217" t="s">
        <v>580</v>
      </c>
      <c r="F217" s="1" t="s">
        <v>174</v>
      </c>
    </row>
    <row r="218" spans="1:6" x14ac:dyDescent="0.3">
      <c r="A218">
        <v>12819</v>
      </c>
      <c r="B218" t="s">
        <v>617</v>
      </c>
      <c r="C218" t="s">
        <v>317</v>
      </c>
      <c r="D218" t="s">
        <v>57</v>
      </c>
      <c r="E218" t="s">
        <v>618</v>
      </c>
      <c r="F218" s="1" t="s">
        <v>174</v>
      </c>
    </row>
    <row r="219" spans="1:6" x14ac:dyDescent="0.3">
      <c r="A219">
        <v>15676</v>
      </c>
      <c r="B219" t="s">
        <v>619</v>
      </c>
      <c r="C219" t="s">
        <v>485</v>
      </c>
      <c r="D219" t="s">
        <v>175</v>
      </c>
      <c r="E219" t="s">
        <v>618</v>
      </c>
      <c r="F219" s="1" t="s">
        <v>174</v>
      </c>
    </row>
    <row r="220" spans="1:6" x14ac:dyDescent="0.3">
      <c r="A220">
        <v>17954</v>
      </c>
      <c r="B220" t="s">
        <v>620</v>
      </c>
      <c r="C220" t="s">
        <v>621</v>
      </c>
      <c r="D220" t="s">
        <v>175</v>
      </c>
      <c r="E220" t="s">
        <v>618</v>
      </c>
      <c r="F220" s="1" t="s">
        <v>174</v>
      </c>
    </row>
    <row r="221" spans="1:6" x14ac:dyDescent="0.3">
      <c r="A221">
        <v>19249</v>
      </c>
      <c r="B221" t="s">
        <v>622</v>
      </c>
      <c r="C221" t="s">
        <v>405</v>
      </c>
      <c r="D221" t="s">
        <v>175</v>
      </c>
      <c r="E221" t="s">
        <v>618</v>
      </c>
      <c r="F221" s="1" t="s">
        <v>174</v>
      </c>
    </row>
    <row r="222" spans="1:6" x14ac:dyDescent="0.3">
      <c r="A222">
        <v>20656</v>
      </c>
      <c r="B222" t="s">
        <v>623</v>
      </c>
      <c r="C222" t="s">
        <v>543</v>
      </c>
      <c r="D222" t="s">
        <v>209</v>
      </c>
      <c r="E222" t="s">
        <v>618</v>
      </c>
      <c r="F222" s="1" t="s">
        <v>174</v>
      </c>
    </row>
    <row r="223" spans="1:6" x14ac:dyDescent="0.3">
      <c r="A223">
        <v>20705</v>
      </c>
      <c r="B223" t="s">
        <v>624</v>
      </c>
      <c r="C223" t="s">
        <v>625</v>
      </c>
      <c r="D223" t="s">
        <v>209</v>
      </c>
      <c r="E223" t="s">
        <v>618</v>
      </c>
      <c r="F223" s="1" t="s">
        <v>174</v>
      </c>
    </row>
    <row r="224" spans="1:6" x14ac:dyDescent="0.3">
      <c r="A224">
        <v>21424</v>
      </c>
      <c r="B224" t="s">
        <v>626</v>
      </c>
      <c r="C224" t="s">
        <v>627</v>
      </c>
      <c r="D224" t="s">
        <v>55</v>
      </c>
      <c r="E224" t="s">
        <v>618</v>
      </c>
      <c r="F224" s="1" t="s">
        <v>174</v>
      </c>
    </row>
    <row r="225" spans="1:6" x14ac:dyDescent="0.3">
      <c r="A225">
        <v>22202</v>
      </c>
      <c r="B225" t="s">
        <v>628</v>
      </c>
      <c r="C225" t="s">
        <v>297</v>
      </c>
      <c r="D225" t="s">
        <v>211</v>
      </c>
      <c r="E225" t="s">
        <v>618</v>
      </c>
      <c r="F225" s="1" t="s">
        <v>174</v>
      </c>
    </row>
    <row r="226" spans="1:6" x14ac:dyDescent="0.3">
      <c r="A226">
        <v>23543</v>
      </c>
      <c r="B226" t="s">
        <v>629</v>
      </c>
      <c r="C226" t="s">
        <v>363</v>
      </c>
      <c r="D226" t="s">
        <v>50</v>
      </c>
      <c r="E226" t="s">
        <v>618</v>
      </c>
      <c r="F226" s="1" t="s">
        <v>174</v>
      </c>
    </row>
    <row r="227" spans="1:6" x14ac:dyDescent="0.3">
      <c r="A227">
        <v>24472</v>
      </c>
      <c r="B227" t="s">
        <v>630</v>
      </c>
      <c r="C227" t="s">
        <v>631</v>
      </c>
      <c r="D227" t="s">
        <v>210</v>
      </c>
      <c r="E227" t="s">
        <v>618</v>
      </c>
      <c r="F227" s="1" t="s">
        <v>174</v>
      </c>
    </row>
    <row r="228" spans="1:6" x14ac:dyDescent="0.3">
      <c r="A228">
        <v>26638</v>
      </c>
      <c r="B228" t="s">
        <v>632</v>
      </c>
      <c r="C228" t="s">
        <v>480</v>
      </c>
      <c r="D228" t="s">
        <v>210</v>
      </c>
      <c r="E228" t="s">
        <v>618</v>
      </c>
      <c r="F228" s="1" t="s">
        <v>174</v>
      </c>
    </row>
    <row r="229" spans="1:6" x14ac:dyDescent="0.3">
      <c r="A229">
        <v>6309</v>
      </c>
      <c r="B229" t="s">
        <v>633</v>
      </c>
      <c r="C229" t="s">
        <v>260</v>
      </c>
      <c r="D229" t="s">
        <v>212</v>
      </c>
      <c r="E229" t="s">
        <v>618</v>
      </c>
      <c r="F229" s="1" t="s">
        <v>174</v>
      </c>
    </row>
    <row r="230" spans="1:6" x14ac:dyDescent="0.3">
      <c r="A230">
        <v>19766</v>
      </c>
      <c r="B230" t="s">
        <v>634</v>
      </c>
      <c r="C230" t="s">
        <v>635</v>
      </c>
      <c r="D230" t="s">
        <v>57</v>
      </c>
      <c r="E230" t="s">
        <v>636</v>
      </c>
      <c r="F230" s="1" t="s">
        <v>174</v>
      </c>
    </row>
    <row r="231" spans="1:6" x14ac:dyDescent="0.3">
      <c r="A231">
        <v>20542</v>
      </c>
      <c r="B231" t="s">
        <v>637</v>
      </c>
      <c r="C231" t="s">
        <v>638</v>
      </c>
      <c r="D231" t="s">
        <v>55</v>
      </c>
      <c r="E231" t="s">
        <v>636</v>
      </c>
      <c r="F231" s="1" t="s">
        <v>174</v>
      </c>
    </row>
    <row r="232" spans="1:6" x14ac:dyDescent="0.3">
      <c r="A232">
        <v>29591</v>
      </c>
      <c r="B232" t="s">
        <v>639</v>
      </c>
      <c r="C232" t="s">
        <v>640</v>
      </c>
      <c r="D232" t="s">
        <v>50</v>
      </c>
      <c r="E232" t="s">
        <v>636</v>
      </c>
      <c r="F232" s="1" t="s">
        <v>174</v>
      </c>
    </row>
    <row r="233" spans="1:6" x14ac:dyDescent="0.3">
      <c r="A233">
        <v>32168</v>
      </c>
      <c r="B233" t="s">
        <v>641</v>
      </c>
      <c r="C233" t="s">
        <v>642</v>
      </c>
      <c r="D233" t="s">
        <v>212</v>
      </c>
      <c r="E233" t="s">
        <v>636</v>
      </c>
      <c r="F233" s="1" t="s">
        <v>174</v>
      </c>
    </row>
    <row r="234" spans="1:6" x14ac:dyDescent="0.3">
      <c r="A234">
        <v>36663</v>
      </c>
      <c r="B234" t="s">
        <v>643</v>
      </c>
      <c r="C234" t="s">
        <v>644</v>
      </c>
      <c r="D234" t="s">
        <v>210</v>
      </c>
      <c r="E234" t="s">
        <v>636</v>
      </c>
      <c r="F234" s="1" t="s">
        <v>174</v>
      </c>
    </row>
    <row r="235" spans="1:6" x14ac:dyDescent="0.3">
      <c r="A235">
        <v>36426</v>
      </c>
      <c r="B235" t="s">
        <v>119</v>
      </c>
      <c r="C235" t="s">
        <v>645</v>
      </c>
      <c r="D235" t="s">
        <v>57</v>
      </c>
      <c r="E235" t="s">
        <v>636</v>
      </c>
      <c r="F235" s="1" t="s">
        <v>174</v>
      </c>
    </row>
    <row r="236" spans="1:6" x14ac:dyDescent="0.3">
      <c r="A236">
        <v>36438</v>
      </c>
      <c r="B236" t="s">
        <v>646</v>
      </c>
      <c r="C236" t="s">
        <v>647</v>
      </c>
      <c r="D236" t="s">
        <v>57</v>
      </c>
      <c r="E236" t="s">
        <v>636</v>
      </c>
      <c r="F236" s="1" t="s">
        <v>174</v>
      </c>
    </row>
    <row r="237" spans="1:6" x14ac:dyDescent="0.3">
      <c r="A237">
        <v>36429</v>
      </c>
      <c r="B237" t="s">
        <v>648</v>
      </c>
      <c r="C237" t="s">
        <v>649</v>
      </c>
      <c r="D237" t="s">
        <v>212</v>
      </c>
      <c r="E237" t="s">
        <v>636</v>
      </c>
      <c r="F237" s="1" t="s">
        <v>174</v>
      </c>
    </row>
    <row r="238" spans="1:6" x14ac:dyDescent="0.3">
      <c r="A238">
        <v>37496</v>
      </c>
      <c r="B238" t="s">
        <v>579</v>
      </c>
      <c r="C238" t="s">
        <v>650</v>
      </c>
      <c r="D238" t="s">
        <v>210</v>
      </c>
      <c r="E238" t="s">
        <v>636</v>
      </c>
      <c r="F238" s="1" t="s">
        <v>174</v>
      </c>
    </row>
    <row r="239" spans="1:6" x14ac:dyDescent="0.3">
      <c r="A239">
        <v>37744</v>
      </c>
      <c r="B239" t="s">
        <v>651</v>
      </c>
      <c r="C239" t="s">
        <v>424</v>
      </c>
      <c r="D239" t="s">
        <v>210</v>
      </c>
      <c r="E239" t="s">
        <v>636</v>
      </c>
      <c r="F239" s="1" t="s">
        <v>174</v>
      </c>
    </row>
    <row r="240" spans="1:6" x14ac:dyDescent="0.3">
      <c r="A240">
        <v>37808</v>
      </c>
      <c r="B240" t="s">
        <v>630</v>
      </c>
      <c r="C240" t="s">
        <v>363</v>
      </c>
      <c r="D240" t="s">
        <v>209</v>
      </c>
      <c r="E240" t="s">
        <v>636</v>
      </c>
      <c r="F240" s="1" t="s">
        <v>174</v>
      </c>
    </row>
    <row r="241" spans="1:6" x14ac:dyDescent="0.3">
      <c r="A241">
        <v>38013</v>
      </c>
      <c r="B241" t="s">
        <v>652</v>
      </c>
      <c r="C241" t="s">
        <v>653</v>
      </c>
      <c r="D241" t="s">
        <v>175</v>
      </c>
      <c r="E241" t="s">
        <v>636</v>
      </c>
      <c r="F241" s="1" t="s">
        <v>174</v>
      </c>
    </row>
    <row r="242" spans="1:6" x14ac:dyDescent="0.3">
      <c r="A242">
        <v>35187</v>
      </c>
      <c r="B242" t="s">
        <v>654</v>
      </c>
      <c r="C242" t="s">
        <v>655</v>
      </c>
      <c r="D242" t="s">
        <v>175</v>
      </c>
      <c r="E242" t="s">
        <v>656</v>
      </c>
      <c r="F242" s="1" t="s">
        <v>174</v>
      </c>
    </row>
    <row r="243" spans="1:6" x14ac:dyDescent="0.3">
      <c r="A243">
        <v>35471</v>
      </c>
      <c r="B243" t="s">
        <v>623</v>
      </c>
      <c r="C243" t="s">
        <v>416</v>
      </c>
      <c r="D243" t="s">
        <v>175</v>
      </c>
      <c r="E243" t="s">
        <v>656</v>
      </c>
      <c r="F243" s="1" t="s">
        <v>174</v>
      </c>
    </row>
    <row r="244" spans="1:6" x14ac:dyDescent="0.3">
      <c r="A244">
        <v>36845</v>
      </c>
      <c r="B244" t="s">
        <v>657</v>
      </c>
      <c r="C244" t="s">
        <v>559</v>
      </c>
      <c r="D244" t="s">
        <v>175</v>
      </c>
      <c r="E244" t="s">
        <v>656</v>
      </c>
      <c r="F244" s="1" t="s">
        <v>174</v>
      </c>
    </row>
    <row r="245" spans="1:6" x14ac:dyDescent="0.3">
      <c r="A245">
        <v>37999</v>
      </c>
      <c r="B245" t="s">
        <v>658</v>
      </c>
      <c r="C245" t="s">
        <v>659</v>
      </c>
      <c r="D245" t="s">
        <v>211</v>
      </c>
      <c r="E245" t="s">
        <v>656</v>
      </c>
      <c r="F245" s="1" t="s">
        <v>174</v>
      </c>
    </row>
    <row r="246" spans="1:6" x14ac:dyDescent="0.3">
      <c r="A246">
        <v>40421</v>
      </c>
      <c r="B246" t="s">
        <v>660</v>
      </c>
      <c r="C246" t="s">
        <v>655</v>
      </c>
      <c r="D246" t="s">
        <v>175</v>
      </c>
      <c r="E246" t="s">
        <v>656</v>
      </c>
      <c r="F246" s="1" t="s">
        <v>174</v>
      </c>
    </row>
    <row r="247" spans="1:6" x14ac:dyDescent="0.3">
      <c r="A247">
        <v>40422</v>
      </c>
      <c r="B247" t="s">
        <v>446</v>
      </c>
      <c r="C247" t="s">
        <v>661</v>
      </c>
      <c r="D247" t="s">
        <v>175</v>
      </c>
      <c r="E247" t="s">
        <v>656</v>
      </c>
      <c r="F247" s="1" t="s">
        <v>174</v>
      </c>
    </row>
    <row r="248" spans="1:6" x14ac:dyDescent="0.3">
      <c r="A248">
        <v>27186</v>
      </c>
      <c r="B248" t="s">
        <v>662</v>
      </c>
      <c r="C248" t="s">
        <v>663</v>
      </c>
      <c r="D248" t="s">
        <v>50</v>
      </c>
      <c r="E248" t="s">
        <v>176</v>
      </c>
      <c r="F248" s="1" t="s">
        <v>174</v>
      </c>
    </row>
    <row r="249" spans="1:6" x14ac:dyDescent="0.3">
      <c r="A249">
        <v>27635</v>
      </c>
      <c r="B249" t="s">
        <v>664</v>
      </c>
      <c r="C249" t="s">
        <v>665</v>
      </c>
      <c r="D249" t="s">
        <v>212</v>
      </c>
      <c r="E249" t="s">
        <v>176</v>
      </c>
      <c r="F249" s="1" t="s">
        <v>174</v>
      </c>
    </row>
    <row r="250" spans="1:6" x14ac:dyDescent="0.3">
      <c r="A250">
        <v>29674</v>
      </c>
      <c r="B250" t="s">
        <v>452</v>
      </c>
      <c r="C250" t="s">
        <v>666</v>
      </c>
      <c r="D250" t="s">
        <v>210</v>
      </c>
      <c r="E250" t="s">
        <v>176</v>
      </c>
      <c r="F250" s="1" t="s">
        <v>174</v>
      </c>
    </row>
    <row r="251" spans="1:6" x14ac:dyDescent="0.3">
      <c r="A251">
        <v>31231</v>
      </c>
      <c r="B251" t="s">
        <v>667</v>
      </c>
      <c r="C251" t="s">
        <v>668</v>
      </c>
      <c r="D251" t="s">
        <v>209</v>
      </c>
      <c r="E251" t="s">
        <v>176</v>
      </c>
      <c r="F251" s="1" t="s">
        <v>174</v>
      </c>
    </row>
    <row r="252" spans="1:6" x14ac:dyDescent="0.3">
      <c r="A252">
        <v>33085</v>
      </c>
      <c r="B252" t="s">
        <v>534</v>
      </c>
      <c r="C252" t="s">
        <v>669</v>
      </c>
      <c r="D252" t="s">
        <v>212</v>
      </c>
      <c r="E252" t="s">
        <v>176</v>
      </c>
      <c r="F252" s="1" t="s">
        <v>174</v>
      </c>
    </row>
    <row r="253" spans="1:6" x14ac:dyDescent="0.3">
      <c r="A253">
        <v>33450</v>
      </c>
      <c r="B253" t="s">
        <v>670</v>
      </c>
      <c r="C253" t="s">
        <v>671</v>
      </c>
      <c r="D253" t="s">
        <v>212</v>
      </c>
      <c r="E253" t="s">
        <v>176</v>
      </c>
      <c r="F253" s="1" t="s">
        <v>174</v>
      </c>
    </row>
    <row r="254" spans="1:6" x14ac:dyDescent="0.3">
      <c r="A254">
        <v>33551</v>
      </c>
      <c r="B254" t="s">
        <v>672</v>
      </c>
      <c r="C254" t="s">
        <v>497</v>
      </c>
      <c r="D254" t="s">
        <v>209</v>
      </c>
      <c r="E254" t="s">
        <v>176</v>
      </c>
      <c r="F254" s="1" t="s">
        <v>174</v>
      </c>
    </row>
    <row r="255" spans="1:6" x14ac:dyDescent="0.3">
      <c r="A255">
        <v>35030</v>
      </c>
      <c r="B255" t="s">
        <v>673</v>
      </c>
      <c r="C255" t="s">
        <v>674</v>
      </c>
      <c r="D255" t="s">
        <v>175</v>
      </c>
      <c r="E255" t="s">
        <v>176</v>
      </c>
      <c r="F255" s="1" t="s">
        <v>174</v>
      </c>
    </row>
    <row r="256" spans="1:6" x14ac:dyDescent="0.3">
      <c r="A256">
        <v>35414</v>
      </c>
      <c r="B256" t="s">
        <v>675</v>
      </c>
      <c r="C256" t="s">
        <v>676</v>
      </c>
      <c r="D256" t="s">
        <v>211</v>
      </c>
      <c r="E256" t="s">
        <v>176</v>
      </c>
      <c r="F256" s="1" t="s">
        <v>174</v>
      </c>
    </row>
    <row r="257" spans="1:6" x14ac:dyDescent="0.3">
      <c r="A257">
        <v>35761</v>
      </c>
      <c r="B257" t="s">
        <v>569</v>
      </c>
      <c r="C257" t="s">
        <v>677</v>
      </c>
      <c r="D257" t="s">
        <v>55</v>
      </c>
      <c r="E257" t="s">
        <v>176</v>
      </c>
      <c r="F257" s="1" t="s">
        <v>174</v>
      </c>
    </row>
    <row r="258" spans="1:6" x14ac:dyDescent="0.3">
      <c r="A258">
        <v>36228</v>
      </c>
      <c r="B258" t="s">
        <v>678</v>
      </c>
      <c r="C258" t="s">
        <v>679</v>
      </c>
      <c r="D258" t="s">
        <v>209</v>
      </c>
      <c r="E258" t="s">
        <v>176</v>
      </c>
      <c r="F258" s="1" t="s">
        <v>174</v>
      </c>
    </row>
    <row r="259" spans="1:6" x14ac:dyDescent="0.3">
      <c r="A259">
        <v>36543</v>
      </c>
      <c r="B259" t="s">
        <v>171</v>
      </c>
      <c r="C259" t="s">
        <v>172</v>
      </c>
      <c r="D259" t="s">
        <v>175</v>
      </c>
      <c r="E259" t="s">
        <v>176</v>
      </c>
      <c r="F259" s="1" t="s">
        <v>174</v>
      </c>
    </row>
    <row r="260" spans="1:6" x14ac:dyDescent="0.3">
      <c r="A260">
        <v>36635</v>
      </c>
      <c r="B260" t="s">
        <v>680</v>
      </c>
      <c r="C260" t="s">
        <v>681</v>
      </c>
      <c r="D260" t="s">
        <v>212</v>
      </c>
      <c r="E260" t="s">
        <v>176</v>
      </c>
      <c r="F260" s="1" t="s">
        <v>174</v>
      </c>
    </row>
    <row r="261" spans="1:6" x14ac:dyDescent="0.3">
      <c r="A261">
        <v>36358</v>
      </c>
      <c r="B261" t="s">
        <v>682</v>
      </c>
      <c r="C261" t="s">
        <v>683</v>
      </c>
      <c r="D261" t="s">
        <v>55</v>
      </c>
      <c r="E261" t="s">
        <v>176</v>
      </c>
      <c r="F261" s="1" t="s">
        <v>174</v>
      </c>
    </row>
    <row r="262" spans="1:6" x14ac:dyDescent="0.3">
      <c r="A262">
        <v>36354</v>
      </c>
      <c r="B262" t="s">
        <v>684</v>
      </c>
      <c r="C262" t="s">
        <v>685</v>
      </c>
      <c r="D262" t="s">
        <v>209</v>
      </c>
      <c r="E262" t="s">
        <v>176</v>
      </c>
      <c r="F262" s="1" t="s">
        <v>174</v>
      </c>
    </row>
    <row r="263" spans="1:6" x14ac:dyDescent="0.3">
      <c r="A263">
        <v>36427</v>
      </c>
      <c r="B263" t="s">
        <v>686</v>
      </c>
      <c r="C263" t="s">
        <v>687</v>
      </c>
      <c r="D263" t="s">
        <v>209</v>
      </c>
      <c r="E263" t="s">
        <v>176</v>
      </c>
      <c r="F263" s="1" t="s">
        <v>174</v>
      </c>
    </row>
    <row r="264" spans="1:6" x14ac:dyDescent="0.3">
      <c r="A264">
        <v>36503</v>
      </c>
      <c r="B264" t="s">
        <v>688</v>
      </c>
      <c r="C264" t="s">
        <v>689</v>
      </c>
      <c r="D264" t="s">
        <v>50</v>
      </c>
      <c r="E264" t="s">
        <v>176</v>
      </c>
      <c r="F264" s="1" t="s">
        <v>174</v>
      </c>
    </row>
    <row r="265" spans="1:6" x14ac:dyDescent="0.3">
      <c r="A265">
        <v>36505</v>
      </c>
      <c r="B265" t="s">
        <v>651</v>
      </c>
      <c r="C265" t="s">
        <v>690</v>
      </c>
      <c r="D265" t="s">
        <v>212</v>
      </c>
      <c r="E265" t="s">
        <v>176</v>
      </c>
      <c r="F265" s="1" t="s">
        <v>174</v>
      </c>
    </row>
    <row r="266" spans="1:6" x14ac:dyDescent="0.3">
      <c r="A266">
        <v>37132</v>
      </c>
      <c r="B266" t="s">
        <v>691</v>
      </c>
      <c r="C266" t="s">
        <v>692</v>
      </c>
      <c r="D266" t="s">
        <v>210</v>
      </c>
      <c r="E266" t="s">
        <v>176</v>
      </c>
      <c r="F266" s="1" t="s">
        <v>174</v>
      </c>
    </row>
    <row r="267" spans="1:6" x14ac:dyDescent="0.3">
      <c r="A267">
        <v>36820</v>
      </c>
      <c r="B267" t="s">
        <v>693</v>
      </c>
      <c r="C267" t="s">
        <v>421</v>
      </c>
      <c r="D267" t="s">
        <v>211</v>
      </c>
      <c r="E267" t="s">
        <v>176</v>
      </c>
      <c r="F267" s="1" t="s">
        <v>174</v>
      </c>
    </row>
    <row r="268" spans="1:6" x14ac:dyDescent="0.3">
      <c r="A268">
        <v>37439</v>
      </c>
      <c r="B268" t="s">
        <v>694</v>
      </c>
      <c r="C268" t="s">
        <v>363</v>
      </c>
      <c r="D268" t="s">
        <v>212</v>
      </c>
      <c r="E268" t="s">
        <v>176</v>
      </c>
      <c r="F268" s="1" t="s">
        <v>174</v>
      </c>
    </row>
    <row r="269" spans="1:6" x14ac:dyDescent="0.3">
      <c r="A269">
        <v>37216</v>
      </c>
      <c r="B269" t="s">
        <v>695</v>
      </c>
      <c r="C269" t="s">
        <v>696</v>
      </c>
      <c r="D269" t="s">
        <v>212</v>
      </c>
      <c r="E269" t="s">
        <v>176</v>
      </c>
      <c r="F269" s="1" t="s">
        <v>174</v>
      </c>
    </row>
    <row r="270" spans="1:6" x14ac:dyDescent="0.3">
      <c r="A270">
        <v>37222</v>
      </c>
      <c r="B270" t="s">
        <v>697</v>
      </c>
      <c r="C270" t="s">
        <v>250</v>
      </c>
      <c r="D270" t="s">
        <v>175</v>
      </c>
      <c r="E270" t="s">
        <v>176</v>
      </c>
      <c r="F270" s="1" t="s">
        <v>174</v>
      </c>
    </row>
    <row r="271" spans="1:6" x14ac:dyDescent="0.3">
      <c r="A271">
        <v>37345</v>
      </c>
      <c r="B271" t="s">
        <v>698</v>
      </c>
      <c r="C271" t="s">
        <v>699</v>
      </c>
      <c r="D271" t="s">
        <v>175</v>
      </c>
      <c r="E271" t="s">
        <v>176</v>
      </c>
      <c r="F271" s="1" t="s">
        <v>174</v>
      </c>
    </row>
    <row r="272" spans="1:6" x14ac:dyDescent="0.3">
      <c r="A272">
        <v>37794</v>
      </c>
      <c r="B272" t="s">
        <v>700</v>
      </c>
      <c r="C272" t="s">
        <v>701</v>
      </c>
      <c r="D272" t="s">
        <v>211</v>
      </c>
      <c r="E272" t="s">
        <v>176</v>
      </c>
      <c r="F272" s="1" t="s">
        <v>174</v>
      </c>
    </row>
    <row r="273" spans="1:6" x14ac:dyDescent="0.3">
      <c r="A273">
        <v>37809</v>
      </c>
      <c r="B273" t="s">
        <v>702</v>
      </c>
      <c r="C273" t="s">
        <v>599</v>
      </c>
      <c r="D273" t="s">
        <v>211</v>
      </c>
      <c r="E273" t="s">
        <v>176</v>
      </c>
      <c r="F273" s="1" t="s">
        <v>174</v>
      </c>
    </row>
    <row r="274" spans="1:6" x14ac:dyDescent="0.3">
      <c r="A274">
        <v>37542</v>
      </c>
      <c r="B274" t="s">
        <v>703</v>
      </c>
      <c r="C274" t="s">
        <v>704</v>
      </c>
      <c r="D274" t="s">
        <v>57</v>
      </c>
      <c r="E274" t="s">
        <v>176</v>
      </c>
      <c r="F274" s="1" t="s">
        <v>174</v>
      </c>
    </row>
    <row r="275" spans="1:6" x14ac:dyDescent="0.3">
      <c r="A275">
        <v>37543</v>
      </c>
      <c r="B275" t="s">
        <v>705</v>
      </c>
      <c r="C275" t="s">
        <v>706</v>
      </c>
      <c r="D275" t="s">
        <v>212</v>
      </c>
      <c r="E275" t="s">
        <v>176</v>
      </c>
      <c r="F275" s="1" t="s">
        <v>174</v>
      </c>
    </row>
    <row r="276" spans="1:6" x14ac:dyDescent="0.3">
      <c r="A276">
        <v>37564</v>
      </c>
      <c r="B276" t="s">
        <v>707</v>
      </c>
      <c r="C276" t="s">
        <v>708</v>
      </c>
      <c r="D276" t="s">
        <v>209</v>
      </c>
      <c r="E276" t="s">
        <v>176</v>
      </c>
      <c r="F276" s="1" t="s">
        <v>174</v>
      </c>
    </row>
    <row r="277" spans="1:6" x14ac:dyDescent="0.3">
      <c r="A277">
        <v>37609</v>
      </c>
      <c r="B277" t="s">
        <v>709</v>
      </c>
      <c r="C277" t="s">
        <v>668</v>
      </c>
      <c r="D277" t="s">
        <v>212</v>
      </c>
      <c r="E277" t="s">
        <v>176</v>
      </c>
      <c r="F277" s="1" t="s">
        <v>174</v>
      </c>
    </row>
    <row r="278" spans="1:6" x14ac:dyDescent="0.3">
      <c r="A278">
        <v>37683</v>
      </c>
      <c r="B278" t="s">
        <v>440</v>
      </c>
      <c r="C278" t="s">
        <v>710</v>
      </c>
      <c r="D278" t="s">
        <v>211</v>
      </c>
      <c r="E278" t="s">
        <v>176</v>
      </c>
      <c r="F278" s="1" t="s">
        <v>174</v>
      </c>
    </row>
    <row r="279" spans="1:6" x14ac:dyDescent="0.3">
      <c r="A279">
        <v>37907</v>
      </c>
      <c r="B279" t="s">
        <v>711</v>
      </c>
      <c r="C279" t="s">
        <v>712</v>
      </c>
      <c r="D279" t="s">
        <v>210</v>
      </c>
      <c r="E279" t="s">
        <v>176</v>
      </c>
      <c r="F279" s="1" t="s">
        <v>174</v>
      </c>
    </row>
    <row r="280" spans="1:6" x14ac:dyDescent="0.3">
      <c r="A280">
        <v>38035</v>
      </c>
      <c r="B280" t="s">
        <v>569</v>
      </c>
      <c r="C280" t="s">
        <v>713</v>
      </c>
      <c r="D280" t="s">
        <v>57</v>
      </c>
      <c r="E280" t="s">
        <v>176</v>
      </c>
      <c r="F280" s="1" t="s">
        <v>174</v>
      </c>
    </row>
    <row r="281" spans="1:6" x14ac:dyDescent="0.3">
      <c r="A281">
        <v>38047</v>
      </c>
      <c r="B281" t="s">
        <v>714</v>
      </c>
      <c r="C281" t="s">
        <v>715</v>
      </c>
      <c r="D281" t="s">
        <v>50</v>
      </c>
      <c r="E281" t="s">
        <v>176</v>
      </c>
      <c r="F281" s="1" t="s">
        <v>174</v>
      </c>
    </row>
    <row r="282" spans="1:6" x14ac:dyDescent="0.3">
      <c r="A282">
        <v>38633</v>
      </c>
      <c r="B282" t="s">
        <v>716</v>
      </c>
      <c r="C282" t="s">
        <v>717</v>
      </c>
      <c r="D282" t="s">
        <v>55</v>
      </c>
      <c r="E282" t="s">
        <v>176</v>
      </c>
      <c r="F282" s="1" t="s">
        <v>174</v>
      </c>
    </row>
    <row r="283" spans="1:6" x14ac:dyDescent="0.3">
      <c r="A283">
        <v>38634</v>
      </c>
      <c r="B283" t="s">
        <v>718</v>
      </c>
      <c r="C283" t="s">
        <v>719</v>
      </c>
      <c r="D283" t="s">
        <v>57</v>
      </c>
      <c r="E283" t="s">
        <v>176</v>
      </c>
      <c r="F283" s="1" t="s">
        <v>174</v>
      </c>
    </row>
    <row r="284" spans="1:6" x14ac:dyDescent="0.3">
      <c r="A284">
        <v>38648</v>
      </c>
      <c r="B284" t="s">
        <v>720</v>
      </c>
      <c r="C284" t="s">
        <v>721</v>
      </c>
      <c r="D284" t="s">
        <v>175</v>
      </c>
      <c r="E284" t="s">
        <v>176</v>
      </c>
      <c r="F284" s="1" t="s">
        <v>174</v>
      </c>
    </row>
    <row r="285" spans="1:6" x14ac:dyDescent="0.3">
      <c r="A285">
        <v>38691</v>
      </c>
      <c r="B285" t="s">
        <v>722</v>
      </c>
      <c r="C285" t="s">
        <v>723</v>
      </c>
      <c r="D285" t="s">
        <v>55</v>
      </c>
      <c r="E285" t="s">
        <v>176</v>
      </c>
      <c r="F285" s="1" t="s">
        <v>174</v>
      </c>
    </row>
    <row r="286" spans="1:6" x14ac:dyDescent="0.3">
      <c r="A286">
        <v>38731</v>
      </c>
      <c r="B286" t="s">
        <v>724</v>
      </c>
      <c r="C286" t="s">
        <v>725</v>
      </c>
      <c r="D286" t="s">
        <v>50</v>
      </c>
      <c r="E286" t="s">
        <v>176</v>
      </c>
      <c r="F286" s="1" t="s">
        <v>174</v>
      </c>
    </row>
    <row r="287" spans="1:6" x14ac:dyDescent="0.3">
      <c r="A287">
        <v>38740</v>
      </c>
      <c r="B287" t="s">
        <v>726</v>
      </c>
      <c r="C287" t="s">
        <v>727</v>
      </c>
      <c r="D287" t="s">
        <v>50</v>
      </c>
      <c r="E287" t="s">
        <v>176</v>
      </c>
      <c r="F287" s="1" t="s">
        <v>174</v>
      </c>
    </row>
    <row r="288" spans="1:6" x14ac:dyDescent="0.3">
      <c r="A288">
        <v>38481</v>
      </c>
      <c r="B288" t="s">
        <v>583</v>
      </c>
      <c r="C288" t="s">
        <v>728</v>
      </c>
      <c r="D288" t="s">
        <v>212</v>
      </c>
      <c r="E288" t="s">
        <v>176</v>
      </c>
      <c r="F288" s="1" t="s">
        <v>174</v>
      </c>
    </row>
    <row r="289" spans="1:6" x14ac:dyDescent="0.3">
      <c r="A289">
        <v>38529</v>
      </c>
      <c r="B289" t="s">
        <v>729</v>
      </c>
      <c r="C289" t="s">
        <v>463</v>
      </c>
      <c r="D289" t="s">
        <v>55</v>
      </c>
      <c r="E289" t="s">
        <v>176</v>
      </c>
      <c r="F289" s="1" t="s">
        <v>174</v>
      </c>
    </row>
    <row r="290" spans="1:6" x14ac:dyDescent="0.3">
      <c r="A290">
        <v>38579</v>
      </c>
      <c r="B290" t="s">
        <v>473</v>
      </c>
      <c r="C290" t="s">
        <v>730</v>
      </c>
      <c r="D290" t="s">
        <v>55</v>
      </c>
      <c r="E290" t="s">
        <v>176</v>
      </c>
      <c r="F290" s="1" t="s">
        <v>174</v>
      </c>
    </row>
    <row r="291" spans="1:6" x14ac:dyDescent="0.3">
      <c r="A291">
        <v>38580</v>
      </c>
      <c r="B291" t="s">
        <v>731</v>
      </c>
      <c r="C291" t="s">
        <v>732</v>
      </c>
      <c r="D291" t="s">
        <v>55</v>
      </c>
      <c r="E291" t="s">
        <v>176</v>
      </c>
      <c r="F291" s="1" t="s">
        <v>174</v>
      </c>
    </row>
    <row r="292" spans="1:6" x14ac:dyDescent="0.3">
      <c r="A292">
        <v>38807</v>
      </c>
      <c r="B292" t="s">
        <v>733</v>
      </c>
      <c r="C292" t="s">
        <v>734</v>
      </c>
      <c r="D292" t="s">
        <v>50</v>
      </c>
      <c r="E292" t="s">
        <v>176</v>
      </c>
      <c r="F292" s="1" t="s">
        <v>174</v>
      </c>
    </row>
    <row r="293" spans="1:6" x14ac:dyDescent="0.3">
      <c r="A293">
        <v>38931</v>
      </c>
      <c r="B293" t="s">
        <v>735</v>
      </c>
      <c r="C293" t="s">
        <v>736</v>
      </c>
      <c r="D293" t="s">
        <v>57</v>
      </c>
      <c r="E293" t="s">
        <v>176</v>
      </c>
      <c r="F293" s="1" t="s">
        <v>174</v>
      </c>
    </row>
    <row r="294" spans="1:6" x14ac:dyDescent="0.3">
      <c r="A294">
        <v>38938</v>
      </c>
      <c r="B294" t="s">
        <v>737</v>
      </c>
      <c r="C294" t="s">
        <v>738</v>
      </c>
      <c r="D294" t="s">
        <v>175</v>
      </c>
      <c r="E294" t="s">
        <v>176</v>
      </c>
      <c r="F294" s="1" t="s">
        <v>174</v>
      </c>
    </row>
    <row r="295" spans="1:6" x14ac:dyDescent="0.3">
      <c r="A295">
        <v>39183</v>
      </c>
      <c r="B295" t="s">
        <v>739</v>
      </c>
      <c r="C295" t="s">
        <v>740</v>
      </c>
      <c r="D295" t="s">
        <v>50</v>
      </c>
      <c r="E295" t="s">
        <v>176</v>
      </c>
      <c r="F295" s="1" t="s">
        <v>174</v>
      </c>
    </row>
    <row r="296" spans="1:6" x14ac:dyDescent="0.3">
      <c r="A296">
        <v>39184</v>
      </c>
      <c r="B296" t="s">
        <v>741</v>
      </c>
      <c r="C296" t="s">
        <v>742</v>
      </c>
      <c r="D296" t="s">
        <v>50</v>
      </c>
      <c r="E296" t="s">
        <v>176</v>
      </c>
      <c r="F296" s="1" t="s">
        <v>174</v>
      </c>
    </row>
    <row r="297" spans="1:6" x14ac:dyDescent="0.3">
      <c r="A297">
        <v>39251</v>
      </c>
      <c r="B297" t="s">
        <v>743</v>
      </c>
      <c r="C297" t="s">
        <v>744</v>
      </c>
      <c r="D297" t="s">
        <v>55</v>
      </c>
      <c r="E297" t="s">
        <v>176</v>
      </c>
      <c r="F297" s="1" t="s">
        <v>174</v>
      </c>
    </row>
    <row r="298" spans="1:6" x14ac:dyDescent="0.3">
      <c r="A298">
        <v>39267</v>
      </c>
      <c r="B298" t="s">
        <v>745</v>
      </c>
      <c r="C298" t="s">
        <v>325</v>
      </c>
      <c r="D298" t="s">
        <v>50</v>
      </c>
      <c r="E298" t="s">
        <v>176</v>
      </c>
      <c r="F298" s="1" t="s">
        <v>174</v>
      </c>
    </row>
    <row r="299" spans="1:6" x14ac:dyDescent="0.3">
      <c r="A299">
        <v>39013</v>
      </c>
      <c r="B299" t="s">
        <v>746</v>
      </c>
      <c r="C299" t="s">
        <v>747</v>
      </c>
      <c r="D299" t="s">
        <v>55</v>
      </c>
      <c r="E299" t="s">
        <v>176</v>
      </c>
      <c r="F299" s="1" t="s">
        <v>174</v>
      </c>
    </row>
    <row r="300" spans="1:6" x14ac:dyDescent="0.3">
      <c r="A300">
        <v>39101</v>
      </c>
      <c r="B300" t="s">
        <v>748</v>
      </c>
      <c r="C300" t="s">
        <v>363</v>
      </c>
      <c r="D300" t="s">
        <v>50</v>
      </c>
      <c r="E300" t="s">
        <v>176</v>
      </c>
      <c r="F300" s="1" t="s">
        <v>174</v>
      </c>
    </row>
    <row r="301" spans="1:6" x14ac:dyDescent="0.3">
      <c r="A301">
        <v>39145</v>
      </c>
      <c r="B301" t="s">
        <v>749</v>
      </c>
      <c r="C301" t="s">
        <v>750</v>
      </c>
      <c r="D301" t="s">
        <v>50</v>
      </c>
      <c r="E301" t="s">
        <v>176</v>
      </c>
      <c r="F301" s="1" t="s">
        <v>174</v>
      </c>
    </row>
    <row r="302" spans="1:6" x14ac:dyDescent="0.3">
      <c r="A302">
        <v>39146</v>
      </c>
      <c r="B302" t="s">
        <v>751</v>
      </c>
      <c r="C302" t="s">
        <v>482</v>
      </c>
      <c r="D302" t="s">
        <v>55</v>
      </c>
      <c r="E302" t="s">
        <v>176</v>
      </c>
      <c r="F302" s="1" t="s">
        <v>174</v>
      </c>
    </row>
    <row r="303" spans="1:6" x14ac:dyDescent="0.3">
      <c r="A303">
        <v>39106</v>
      </c>
      <c r="B303" t="s">
        <v>752</v>
      </c>
      <c r="C303" t="s">
        <v>438</v>
      </c>
      <c r="D303" t="s">
        <v>57</v>
      </c>
      <c r="E303" t="s">
        <v>176</v>
      </c>
      <c r="F303" s="1" t="s">
        <v>174</v>
      </c>
    </row>
    <row r="304" spans="1:6" x14ac:dyDescent="0.3">
      <c r="A304">
        <v>39358</v>
      </c>
      <c r="B304" t="s">
        <v>753</v>
      </c>
      <c r="C304" t="s">
        <v>754</v>
      </c>
      <c r="D304" t="s">
        <v>50</v>
      </c>
      <c r="E304" t="s">
        <v>176</v>
      </c>
      <c r="F304" s="1" t="s">
        <v>174</v>
      </c>
    </row>
    <row r="305" spans="1:6" x14ac:dyDescent="0.3">
      <c r="A305">
        <v>39379</v>
      </c>
      <c r="B305" t="s">
        <v>755</v>
      </c>
      <c r="C305" t="s">
        <v>756</v>
      </c>
      <c r="D305" t="s">
        <v>50</v>
      </c>
      <c r="E305" t="s">
        <v>176</v>
      </c>
      <c r="F305" s="1" t="s">
        <v>174</v>
      </c>
    </row>
    <row r="306" spans="1:6" x14ac:dyDescent="0.3">
      <c r="A306">
        <v>39532</v>
      </c>
      <c r="B306" t="s">
        <v>757</v>
      </c>
      <c r="C306" t="s">
        <v>758</v>
      </c>
      <c r="D306" t="s">
        <v>50</v>
      </c>
      <c r="E306" t="s">
        <v>176</v>
      </c>
      <c r="F306" s="1" t="s">
        <v>174</v>
      </c>
    </row>
    <row r="307" spans="1:6" x14ac:dyDescent="0.3">
      <c r="A307">
        <v>39528</v>
      </c>
      <c r="B307" t="s">
        <v>759</v>
      </c>
      <c r="C307" t="s">
        <v>760</v>
      </c>
      <c r="D307" t="s">
        <v>50</v>
      </c>
      <c r="E307" t="s">
        <v>176</v>
      </c>
      <c r="F307" s="1" t="s">
        <v>174</v>
      </c>
    </row>
    <row r="308" spans="1:6" x14ac:dyDescent="0.3">
      <c r="A308">
        <v>39558</v>
      </c>
      <c r="B308" t="s">
        <v>709</v>
      </c>
      <c r="C308" t="s">
        <v>761</v>
      </c>
      <c r="D308" t="s">
        <v>211</v>
      </c>
      <c r="E308" t="s">
        <v>176</v>
      </c>
      <c r="F308" s="1" t="s">
        <v>174</v>
      </c>
    </row>
    <row r="309" spans="1:6" x14ac:dyDescent="0.3">
      <c r="A309">
        <v>39575</v>
      </c>
      <c r="B309" t="s">
        <v>762</v>
      </c>
      <c r="C309" t="s">
        <v>763</v>
      </c>
      <c r="D309" t="s">
        <v>55</v>
      </c>
      <c r="E309" t="s">
        <v>176</v>
      </c>
      <c r="F309" s="1" t="s">
        <v>174</v>
      </c>
    </row>
    <row r="310" spans="1:6" x14ac:dyDescent="0.3">
      <c r="A310">
        <v>39633</v>
      </c>
      <c r="B310" t="s">
        <v>764</v>
      </c>
      <c r="C310" t="s">
        <v>765</v>
      </c>
      <c r="D310" t="s">
        <v>175</v>
      </c>
      <c r="E310" t="s">
        <v>176</v>
      </c>
      <c r="F310" s="1" t="s">
        <v>174</v>
      </c>
    </row>
    <row r="311" spans="1:6" x14ac:dyDescent="0.3">
      <c r="A311">
        <v>39610</v>
      </c>
      <c r="B311" t="s">
        <v>766</v>
      </c>
      <c r="C311" t="s">
        <v>767</v>
      </c>
      <c r="D311" t="s">
        <v>57</v>
      </c>
      <c r="E311" t="s">
        <v>176</v>
      </c>
      <c r="F311" s="1" t="s">
        <v>174</v>
      </c>
    </row>
    <row r="312" spans="1:6" x14ac:dyDescent="0.3">
      <c r="A312">
        <v>39651</v>
      </c>
      <c r="B312" t="s">
        <v>768</v>
      </c>
      <c r="C312" t="s">
        <v>769</v>
      </c>
      <c r="D312" t="s">
        <v>212</v>
      </c>
      <c r="E312" t="s">
        <v>176</v>
      </c>
      <c r="F312" s="1" t="s">
        <v>174</v>
      </c>
    </row>
    <row r="313" spans="1:6" x14ac:dyDescent="0.3">
      <c r="A313">
        <v>39654</v>
      </c>
      <c r="B313" t="s">
        <v>770</v>
      </c>
      <c r="C313" t="s">
        <v>771</v>
      </c>
      <c r="D313" t="s">
        <v>212</v>
      </c>
      <c r="E313" t="s">
        <v>176</v>
      </c>
      <c r="F313" s="1" t="s">
        <v>174</v>
      </c>
    </row>
    <row r="314" spans="1:6" x14ac:dyDescent="0.3">
      <c r="A314">
        <v>39660</v>
      </c>
      <c r="B314" t="s">
        <v>772</v>
      </c>
      <c r="C314" t="s">
        <v>54</v>
      </c>
      <c r="D314" t="s">
        <v>57</v>
      </c>
      <c r="E314" t="s">
        <v>176</v>
      </c>
      <c r="F314" s="1" t="s">
        <v>174</v>
      </c>
    </row>
    <row r="315" spans="1:6" x14ac:dyDescent="0.3">
      <c r="A315">
        <v>39889</v>
      </c>
      <c r="B315" t="s">
        <v>773</v>
      </c>
      <c r="C315" t="s">
        <v>774</v>
      </c>
      <c r="D315" t="s">
        <v>211</v>
      </c>
      <c r="E315" t="s">
        <v>176</v>
      </c>
      <c r="F315" s="1" t="s">
        <v>174</v>
      </c>
    </row>
    <row r="316" spans="1:6" x14ac:dyDescent="0.3">
      <c r="A316">
        <v>39899</v>
      </c>
      <c r="B316" t="s">
        <v>775</v>
      </c>
      <c r="C316" t="s">
        <v>776</v>
      </c>
      <c r="D316" t="s">
        <v>50</v>
      </c>
      <c r="E316" t="s">
        <v>176</v>
      </c>
      <c r="F316" s="1" t="s">
        <v>174</v>
      </c>
    </row>
    <row r="317" spans="1:6" x14ac:dyDescent="0.3">
      <c r="A317">
        <v>39901</v>
      </c>
      <c r="B317" t="s">
        <v>49</v>
      </c>
      <c r="C317" t="s">
        <v>777</v>
      </c>
      <c r="D317" t="s">
        <v>50</v>
      </c>
      <c r="E317" t="s">
        <v>176</v>
      </c>
      <c r="F317" s="1" t="s">
        <v>174</v>
      </c>
    </row>
    <row r="318" spans="1:6" x14ac:dyDescent="0.3">
      <c r="A318">
        <v>39907</v>
      </c>
      <c r="B318" t="s">
        <v>778</v>
      </c>
      <c r="C318" t="s">
        <v>779</v>
      </c>
      <c r="D318" t="s">
        <v>212</v>
      </c>
      <c r="E318" t="s">
        <v>176</v>
      </c>
      <c r="F318" s="1" t="s">
        <v>174</v>
      </c>
    </row>
    <row r="319" spans="1:6" x14ac:dyDescent="0.3">
      <c r="A319">
        <v>39929</v>
      </c>
      <c r="B319" t="s">
        <v>780</v>
      </c>
      <c r="C319" t="s">
        <v>781</v>
      </c>
      <c r="D319" t="s">
        <v>50</v>
      </c>
      <c r="E319" t="s">
        <v>176</v>
      </c>
      <c r="F319" s="1" t="s">
        <v>174</v>
      </c>
    </row>
    <row r="320" spans="1:6" x14ac:dyDescent="0.3">
      <c r="A320">
        <v>39927</v>
      </c>
      <c r="B320" t="s">
        <v>782</v>
      </c>
      <c r="C320" t="s">
        <v>783</v>
      </c>
      <c r="D320" t="s">
        <v>50</v>
      </c>
      <c r="E320" t="s">
        <v>176</v>
      </c>
      <c r="F320" s="1" t="s">
        <v>174</v>
      </c>
    </row>
    <row r="321" spans="1:6" x14ac:dyDescent="0.3">
      <c r="A321">
        <v>39930</v>
      </c>
      <c r="B321" t="s">
        <v>784</v>
      </c>
      <c r="C321" t="s">
        <v>785</v>
      </c>
      <c r="D321" t="s">
        <v>50</v>
      </c>
      <c r="E321" t="s">
        <v>176</v>
      </c>
      <c r="F321" s="1" t="s">
        <v>174</v>
      </c>
    </row>
    <row r="322" spans="1:6" x14ac:dyDescent="0.3">
      <c r="A322">
        <v>39985</v>
      </c>
      <c r="B322" t="s">
        <v>786</v>
      </c>
      <c r="C322" t="s">
        <v>787</v>
      </c>
      <c r="D322" t="s">
        <v>50</v>
      </c>
      <c r="E322" t="s">
        <v>176</v>
      </c>
      <c r="F322" s="1" t="s">
        <v>174</v>
      </c>
    </row>
    <row r="323" spans="1:6" x14ac:dyDescent="0.3">
      <c r="A323">
        <v>39988</v>
      </c>
      <c r="B323" t="s">
        <v>788</v>
      </c>
      <c r="C323" t="s">
        <v>258</v>
      </c>
      <c r="D323" t="s">
        <v>50</v>
      </c>
      <c r="E323" t="s">
        <v>176</v>
      </c>
      <c r="F323" s="1" t="s">
        <v>174</v>
      </c>
    </row>
    <row r="324" spans="1:6" x14ac:dyDescent="0.3">
      <c r="A324">
        <v>40006</v>
      </c>
      <c r="B324" t="s">
        <v>581</v>
      </c>
      <c r="C324" t="s">
        <v>789</v>
      </c>
      <c r="D324" t="s">
        <v>50</v>
      </c>
      <c r="E324" t="s">
        <v>176</v>
      </c>
      <c r="F324" s="1" t="s">
        <v>174</v>
      </c>
    </row>
    <row r="325" spans="1:6" x14ac:dyDescent="0.3">
      <c r="A325">
        <v>40005</v>
      </c>
      <c r="B325" t="s">
        <v>790</v>
      </c>
      <c r="C325" t="s">
        <v>421</v>
      </c>
      <c r="D325" t="s">
        <v>50</v>
      </c>
      <c r="E325" t="s">
        <v>176</v>
      </c>
      <c r="F325" s="1" t="s">
        <v>174</v>
      </c>
    </row>
    <row r="326" spans="1:6" x14ac:dyDescent="0.3">
      <c r="A326">
        <v>39677</v>
      </c>
      <c r="B326" t="s">
        <v>791</v>
      </c>
      <c r="C326" t="s">
        <v>792</v>
      </c>
      <c r="D326" t="s">
        <v>212</v>
      </c>
      <c r="E326" t="s">
        <v>176</v>
      </c>
      <c r="F326" s="1" t="s">
        <v>174</v>
      </c>
    </row>
    <row r="327" spans="1:6" x14ac:dyDescent="0.3">
      <c r="A327">
        <v>39673</v>
      </c>
      <c r="B327" t="s">
        <v>793</v>
      </c>
      <c r="C327" t="s">
        <v>794</v>
      </c>
      <c r="D327" t="s">
        <v>209</v>
      </c>
      <c r="E327" t="s">
        <v>176</v>
      </c>
      <c r="F327" s="1" t="s">
        <v>174</v>
      </c>
    </row>
    <row r="328" spans="1:6" x14ac:dyDescent="0.3">
      <c r="A328">
        <v>39712</v>
      </c>
      <c r="B328" t="s">
        <v>795</v>
      </c>
      <c r="C328" t="s">
        <v>796</v>
      </c>
      <c r="D328" t="s">
        <v>57</v>
      </c>
      <c r="E328" t="s">
        <v>176</v>
      </c>
      <c r="F328" s="1" t="s">
        <v>174</v>
      </c>
    </row>
    <row r="329" spans="1:6" x14ac:dyDescent="0.3">
      <c r="A329">
        <v>39715</v>
      </c>
      <c r="B329" t="s">
        <v>797</v>
      </c>
      <c r="C329" t="s">
        <v>798</v>
      </c>
      <c r="D329" t="s">
        <v>212</v>
      </c>
      <c r="E329" t="s">
        <v>176</v>
      </c>
      <c r="F329" s="1" t="s">
        <v>174</v>
      </c>
    </row>
    <row r="330" spans="1:6" x14ac:dyDescent="0.3">
      <c r="A330">
        <v>39728</v>
      </c>
      <c r="B330" t="s">
        <v>799</v>
      </c>
      <c r="C330" t="s">
        <v>800</v>
      </c>
      <c r="D330" t="s">
        <v>175</v>
      </c>
      <c r="E330" t="s">
        <v>176</v>
      </c>
      <c r="F330" s="1" t="s">
        <v>174</v>
      </c>
    </row>
    <row r="331" spans="1:6" x14ac:dyDescent="0.3">
      <c r="A331">
        <v>39779</v>
      </c>
      <c r="B331" t="s">
        <v>801</v>
      </c>
      <c r="C331" t="s">
        <v>802</v>
      </c>
      <c r="D331" t="s">
        <v>57</v>
      </c>
      <c r="E331" t="s">
        <v>176</v>
      </c>
      <c r="F331" s="1" t="s">
        <v>174</v>
      </c>
    </row>
    <row r="332" spans="1:6" x14ac:dyDescent="0.3">
      <c r="A332">
        <v>39829</v>
      </c>
      <c r="B332" t="s">
        <v>700</v>
      </c>
      <c r="C332" t="s">
        <v>803</v>
      </c>
      <c r="D332" t="s">
        <v>175</v>
      </c>
      <c r="E332" t="s">
        <v>176</v>
      </c>
      <c r="F332" s="1" t="s">
        <v>174</v>
      </c>
    </row>
    <row r="333" spans="1:6" x14ac:dyDescent="0.3">
      <c r="A333">
        <v>39831</v>
      </c>
      <c r="B333" t="s">
        <v>804</v>
      </c>
      <c r="C333" t="s">
        <v>805</v>
      </c>
      <c r="D333" t="s">
        <v>55</v>
      </c>
      <c r="E333" t="s">
        <v>176</v>
      </c>
      <c r="F333" s="1" t="s">
        <v>174</v>
      </c>
    </row>
    <row r="334" spans="1:6" x14ac:dyDescent="0.3">
      <c r="A334">
        <v>39856</v>
      </c>
      <c r="B334" t="s">
        <v>806</v>
      </c>
      <c r="C334" t="s">
        <v>807</v>
      </c>
      <c r="D334" t="s">
        <v>212</v>
      </c>
      <c r="E334" t="s">
        <v>176</v>
      </c>
      <c r="F334" s="1" t="s">
        <v>174</v>
      </c>
    </row>
    <row r="335" spans="1:6" x14ac:dyDescent="0.3">
      <c r="A335">
        <v>39858</v>
      </c>
      <c r="B335" t="s">
        <v>808</v>
      </c>
      <c r="C335" t="s">
        <v>809</v>
      </c>
      <c r="D335" t="s">
        <v>55</v>
      </c>
      <c r="E335" t="s">
        <v>176</v>
      </c>
      <c r="F335" s="1" t="s">
        <v>174</v>
      </c>
    </row>
    <row r="336" spans="1:6" x14ac:dyDescent="0.3">
      <c r="A336">
        <v>39850</v>
      </c>
      <c r="B336" t="s">
        <v>810</v>
      </c>
      <c r="C336" t="s">
        <v>811</v>
      </c>
      <c r="D336" t="s">
        <v>210</v>
      </c>
      <c r="E336" t="s">
        <v>176</v>
      </c>
      <c r="F336" s="1" t="s">
        <v>174</v>
      </c>
    </row>
    <row r="337" spans="1:6" x14ac:dyDescent="0.3">
      <c r="A337">
        <v>39859</v>
      </c>
      <c r="B337" t="s">
        <v>812</v>
      </c>
      <c r="C337" t="s">
        <v>813</v>
      </c>
      <c r="D337" t="s">
        <v>57</v>
      </c>
      <c r="E337" t="s">
        <v>176</v>
      </c>
      <c r="F337" s="1" t="s">
        <v>174</v>
      </c>
    </row>
    <row r="338" spans="1:6" x14ac:dyDescent="0.3">
      <c r="A338">
        <v>40294</v>
      </c>
      <c r="B338" t="s">
        <v>814</v>
      </c>
      <c r="C338" t="s">
        <v>815</v>
      </c>
      <c r="D338" t="s">
        <v>50</v>
      </c>
      <c r="E338" t="s">
        <v>176</v>
      </c>
      <c r="F338" s="1" t="s">
        <v>174</v>
      </c>
    </row>
    <row r="339" spans="1:6" x14ac:dyDescent="0.3">
      <c r="A339">
        <v>40400</v>
      </c>
      <c r="B339" t="s">
        <v>816</v>
      </c>
      <c r="C339" t="s">
        <v>817</v>
      </c>
      <c r="D339" t="s">
        <v>210</v>
      </c>
      <c r="E339" t="s">
        <v>176</v>
      </c>
      <c r="F339" s="1" t="s">
        <v>174</v>
      </c>
    </row>
    <row r="340" spans="1:6" x14ac:dyDescent="0.3">
      <c r="A340">
        <v>40403</v>
      </c>
      <c r="B340" t="s">
        <v>818</v>
      </c>
      <c r="C340" t="s">
        <v>819</v>
      </c>
      <c r="D340" t="s">
        <v>210</v>
      </c>
      <c r="E340" t="s">
        <v>176</v>
      </c>
      <c r="F340" s="1" t="s">
        <v>174</v>
      </c>
    </row>
    <row r="341" spans="1:6" x14ac:dyDescent="0.3">
      <c r="A341">
        <v>40414</v>
      </c>
      <c r="B341" t="s">
        <v>820</v>
      </c>
      <c r="C341" t="s">
        <v>821</v>
      </c>
      <c r="D341" t="s">
        <v>211</v>
      </c>
      <c r="E341" t="s">
        <v>176</v>
      </c>
      <c r="F341" s="1" t="s">
        <v>174</v>
      </c>
    </row>
    <row r="342" spans="1:6" x14ac:dyDescent="0.3">
      <c r="A342">
        <v>40393</v>
      </c>
      <c r="B342" t="s">
        <v>822</v>
      </c>
      <c r="C342" t="s">
        <v>823</v>
      </c>
      <c r="D342" t="s">
        <v>210</v>
      </c>
      <c r="E342" t="s">
        <v>176</v>
      </c>
      <c r="F342" s="1" t="s">
        <v>174</v>
      </c>
    </row>
    <row r="343" spans="1:6" x14ac:dyDescent="0.3">
      <c r="A343">
        <v>40055</v>
      </c>
      <c r="B343" t="s">
        <v>824</v>
      </c>
      <c r="C343" t="s">
        <v>825</v>
      </c>
      <c r="D343" t="s">
        <v>209</v>
      </c>
      <c r="E343" t="s">
        <v>176</v>
      </c>
      <c r="F343" s="1" t="s">
        <v>174</v>
      </c>
    </row>
    <row r="344" spans="1:6" x14ac:dyDescent="0.3">
      <c r="A344">
        <v>40058</v>
      </c>
      <c r="B344" t="s">
        <v>826</v>
      </c>
      <c r="C344" t="s">
        <v>827</v>
      </c>
      <c r="D344" t="s">
        <v>50</v>
      </c>
      <c r="E344" t="s">
        <v>176</v>
      </c>
      <c r="F344" s="1" t="s">
        <v>174</v>
      </c>
    </row>
    <row r="345" spans="1:6" x14ac:dyDescent="0.3">
      <c r="A345">
        <v>40036</v>
      </c>
      <c r="B345" t="s">
        <v>828</v>
      </c>
      <c r="C345" t="s">
        <v>829</v>
      </c>
      <c r="D345" t="s">
        <v>210</v>
      </c>
      <c r="E345" t="s">
        <v>176</v>
      </c>
      <c r="F345" s="1" t="s">
        <v>174</v>
      </c>
    </row>
    <row r="346" spans="1:6" x14ac:dyDescent="0.3">
      <c r="A346">
        <v>40110</v>
      </c>
      <c r="B346" t="s">
        <v>620</v>
      </c>
      <c r="C346" t="s">
        <v>556</v>
      </c>
      <c r="D346" t="s">
        <v>50</v>
      </c>
      <c r="E346" t="s">
        <v>176</v>
      </c>
      <c r="F346" s="1" t="s">
        <v>174</v>
      </c>
    </row>
    <row r="347" spans="1:6" x14ac:dyDescent="0.3">
      <c r="A347">
        <v>40143</v>
      </c>
      <c r="B347" t="s">
        <v>830</v>
      </c>
      <c r="C347" t="s">
        <v>380</v>
      </c>
      <c r="D347" t="s">
        <v>50</v>
      </c>
      <c r="E347" t="s">
        <v>176</v>
      </c>
      <c r="F347" s="1" t="s">
        <v>174</v>
      </c>
    </row>
    <row r="348" spans="1:6" x14ac:dyDescent="0.3">
      <c r="A348">
        <v>40134</v>
      </c>
      <c r="B348" t="s">
        <v>831</v>
      </c>
      <c r="C348" t="s">
        <v>832</v>
      </c>
      <c r="D348" t="s">
        <v>210</v>
      </c>
      <c r="E348" t="s">
        <v>176</v>
      </c>
      <c r="F348" s="1" t="s">
        <v>174</v>
      </c>
    </row>
    <row r="349" spans="1:6" x14ac:dyDescent="0.3">
      <c r="A349">
        <v>40138</v>
      </c>
      <c r="B349" t="s">
        <v>833</v>
      </c>
      <c r="C349" t="s">
        <v>834</v>
      </c>
      <c r="D349" t="s">
        <v>50</v>
      </c>
      <c r="E349" t="s">
        <v>176</v>
      </c>
      <c r="F349" s="1" t="s">
        <v>174</v>
      </c>
    </row>
    <row r="350" spans="1:6" x14ac:dyDescent="0.3">
      <c r="A350">
        <v>40201</v>
      </c>
      <c r="B350" t="s">
        <v>835</v>
      </c>
      <c r="C350" t="s">
        <v>836</v>
      </c>
      <c r="D350" t="s">
        <v>210</v>
      </c>
      <c r="E350" t="s">
        <v>176</v>
      </c>
      <c r="F350" s="1" t="s">
        <v>174</v>
      </c>
    </row>
    <row r="351" spans="1:6" x14ac:dyDescent="0.3">
      <c r="A351">
        <v>40200</v>
      </c>
      <c r="B351" t="s">
        <v>837</v>
      </c>
      <c r="C351" t="s">
        <v>838</v>
      </c>
      <c r="D351" t="s">
        <v>210</v>
      </c>
      <c r="E351" t="s">
        <v>176</v>
      </c>
      <c r="F351" s="1" t="s">
        <v>174</v>
      </c>
    </row>
    <row r="352" spans="1:6" x14ac:dyDescent="0.3">
      <c r="A352">
        <v>40222</v>
      </c>
      <c r="B352" t="s">
        <v>839</v>
      </c>
      <c r="C352" t="s">
        <v>832</v>
      </c>
      <c r="D352" t="s">
        <v>210</v>
      </c>
      <c r="E352" t="s">
        <v>176</v>
      </c>
      <c r="F352" s="1" t="s">
        <v>174</v>
      </c>
    </row>
    <row r="353" spans="1:6" x14ac:dyDescent="0.3">
      <c r="A353">
        <v>40264</v>
      </c>
      <c r="B353" t="s">
        <v>840</v>
      </c>
      <c r="C353" t="s">
        <v>841</v>
      </c>
      <c r="D353" t="s">
        <v>50</v>
      </c>
      <c r="E353" t="s">
        <v>176</v>
      </c>
      <c r="F353" s="1" t="s">
        <v>174</v>
      </c>
    </row>
    <row r="354" spans="1:6" x14ac:dyDescent="0.3">
      <c r="A354">
        <v>40278</v>
      </c>
      <c r="B354" t="s">
        <v>842</v>
      </c>
      <c r="C354" t="s">
        <v>843</v>
      </c>
      <c r="D354" t="s">
        <v>50</v>
      </c>
      <c r="E354" t="s">
        <v>176</v>
      </c>
      <c r="F354" s="1" t="s">
        <v>174</v>
      </c>
    </row>
    <row r="355" spans="1:6" x14ac:dyDescent="0.3">
      <c r="A355">
        <v>40645</v>
      </c>
      <c r="B355" t="s">
        <v>844</v>
      </c>
      <c r="C355" t="s">
        <v>845</v>
      </c>
      <c r="D355" t="s">
        <v>55</v>
      </c>
      <c r="E355" t="s">
        <v>176</v>
      </c>
      <c r="F355" s="1" t="s">
        <v>174</v>
      </c>
    </row>
    <row r="356" spans="1:6" x14ac:dyDescent="0.3">
      <c r="A356">
        <v>40608</v>
      </c>
      <c r="B356" t="s">
        <v>846</v>
      </c>
      <c r="C356" t="s">
        <v>847</v>
      </c>
      <c r="D356" t="s">
        <v>175</v>
      </c>
      <c r="E356" t="s">
        <v>176</v>
      </c>
      <c r="F356" s="1" t="s">
        <v>174</v>
      </c>
    </row>
    <row r="357" spans="1:6" x14ac:dyDescent="0.3">
      <c r="A357">
        <v>40652</v>
      </c>
      <c r="B357" t="s">
        <v>53</v>
      </c>
      <c r="C357" t="s">
        <v>848</v>
      </c>
      <c r="D357" t="s">
        <v>209</v>
      </c>
      <c r="E357" t="s">
        <v>176</v>
      </c>
      <c r="F357" s="1" t="s">
        <v>174</v>
      </c>
    </row>
    <row r="358" spans="1:6" x14ac:dyDescent="0.3">
      <c r="A358">
        <v>40443</v>
      </c>
      <c r="B358" t="s">
        <v>849</v>
      </c>
      <c r="C358" t="s">
        <v>258</v>
      </c>
      <c r="D358" t="s">
        <v>57</v>
      </c>
      <c r="E358" t="s">
        <v>176</v>
      </c>
      <c r="F358" s="1" t="s">
        <v>174</v>
      </c>
    </row>
    <row r="359" spans="1:6" x14ac:dyDescent="0.3">
      <c r="A359">
        <v>40444</v>
      </c>
      <c r="B359" t="s">
        <v>53</v>
      </c>
      <c r="C359" t="s">
        <v>54</v>
      </c>
      <c r="D359" t="s">
        <v>55</v>
      </c>
      <c r="E359" t="s">
        <v>176</v>
      </c>
      <c r="F359" s="1" t="s">
        <v>174</v>
      </c>
    </row>
    <row r="360" spans="1:6" x14ac:dyDescent="0.3">
      <c r="A360">
        <v>40486</v>
      </c>
      <c r="B360" t="s">
        <v>850</v>
      </c>
      <c r="C360" t="s">
        <v>851</v>
      </c>
      <c r="D360" t="s">
        <v>50</v>
      </c>
      <c r="E360" t="s">
        <v>176</v>
      </c>
      <c r="F360" s="1" t="s">
        <v>174</v>
      </c>
    </row>
    <row r="361" spans="1:6" x14ac:dyDescent="0.3">
      <c r="A361">
        <v>40469</v>
      </c>
      <c r="B361" t="s">
        <v>852</v>
      </c>
      <c r="C361" t="s">
        <v>853</v>
      </c>
      <c r="D361" t="s">
        <v>55</v>
      </c>
      <c r="E361" t="s">
        <v>176</v>
      </c>
      <c r="F361" s="1" t="s">
        <v>174</v>
      </c>
    </row>
    <row r="362" spans="1:6" x14ac:dyDescent="0.3">
      <c r="A362">
        <v>40478</v>
      </c>
      <c r="B362" t="s">
        <v>854</v>
      </c>
      <c r="C362" t="s">
        <v>855</v>
      </c>
      <c r="D362" t="s">
        <v>57</v>
      </c>
      <c r="E362" t="s">
        <v>176</v>
      </c>
      <c r="F362" s="1" t="s">
        <v>174</v>
      </c>
    </row>
    <row r="363" spans="1:6" x14ac:dyDescent="0.3">
      <c r="A363">
        <v>40521</v>
      </c>
      <c r="B363" t="s">
        <v>856</v>
      </c>
      <c r="C363" t="s">
        <v>744</v>
      </c>
      <c r="D363" t="s">
        <v>175</v>
      </c>
      <c r="E363" t="s">
        <v>176</v>
      </c>
      <c r="F363" s="1" t="s">
        <v>174</v>
      </c>
    </row>
    <row r="364" spans="1:6" x14ac:dyDescent="0.3">
      <c r="A364">
        <v>40590</v>
      </c>
      <c r="B364" t="s">
        <v>857</v>
      </c>
      <c r="C364" t="s">
        <v>858</v>
      </c>
      <c r="D364" t="s">
        <v>57</v>
      </c>
      <c r="E364" t="s">
        <v>176</v>
      </c>
      <c r="F364" s="1" t="s">
        <v>174</v>
      </c>
    </row>
    <row r="365" spans="1:6" x14ac:dyDescent="0.3">
      <c r="A365">
        <v>40591</v>
      </c>
      <c r="B365" t="s">
        <v>859</v>
      </c>
      <c r="C365" t="s">
        <v>258</v>
      </c>
      <c r="D365" t="s">
        <v>210</v>
      </c>
      <c r="E365" t="s">
        <v>176</v>
      </c>
      <c r="F365" s="1" t="s">
        <v>174</v>
      </c>
    </row>
    <row r="366" spans="1:6" x14ac:dyDescent="0.3">
      <c r="A366">
        <v>40761</v>
      </c>
      <c r="B366" t="s">
        <v>860</v>
      </c>
      <c r="C366" t="s">
        <v>674</v>
      </c>
      <c r="D366" t="s">
        <v>212</v>
      </c>
      <c r="E366" t="s">
        <v>176</v>
      </c>
      <c r="F366" s="1" t="s">
        <v>174</v>
      </c>
    </row>
    <row r="367" spans="1:6" x14ac:dyDescent="0.3">
      <c r="A367">
        <v>40745</v>
      </c>
      <c r="B367" t="s">
        <v>861</v>
      </c>
      <c r="C367" t="s">
        <v>862</v>
      </c>
      <c r="D367" t="s">
        <v>57</v>
      </c>
      <c r="E367" t="s">
        <v>176</v>
      </c>
      <c r="F367" s="1" t="s">
        <v>174</v>
      </c>
    </row>
    <row r="368" spans="1:6" x14ac:dyDescent="0.3">
      <c r="A368">
        <v>40744</v>
      </c>
      <c r="B368" t="s">
        <v>863</v>
      </c>
      <c r="C368" t="s">
        <v>864</v>
      </c>
      <c r="D368" t="s">
        <v>57</v>
      </c>
      <c r="E368" t="s">
        <v>176</v>
      </c>
      <c r="F368" s="1" t="s">
        <v>174</v>
      </c>
    </row>
    <row r="369" spans="1:6" x14ac:dyDescent="0.3">
      <c r="A369">
        <v>40856</v>
      </c>
      <c r="B369" t="s">
        <v>865</v>
      </c>
      <c r="C369" t="s">
        <v>866</v>
      </c>
      <c r="D369" t="s">
        <v>212</v>
      </c>
      <c r="E369" t="s">
        <v>176</v>
      </c>
      <c r="F369" s="1" t="s">
        <v>174</v>
      </c>
    </row>
    <row r="370" spans="1:6" x14ac:dyDescent="0.3">
      <c r="A370">
        <v>40859</v>
      </c>
      <c r="B370" t="s">
        <v>867</v>
      </c>
      <c r="C370" t="s">
        <v>121</v>
      </c>
      <c r="D370" t="s">
        <v>209</v>
      </c>
      <c r="E370" t="s">
        <v>176</v>
      </c>
      <c r="F370" s="1" t="s">
        <v>174</v>
      </c>
    </row>
    <row r="371" spans="1:6" x14ac:dyDescent="0.3">
      <c r="A371">
        <v>40890</v>
      </c>
      <c r="B371" t="s">
        <v>868</v>
      </c>
      <c r="C371" t="s">
        <v>869</v>
      </c>
      <c r="D371" t="s">
        <v>210</v>
      </c>
      <c r="E371" t="s">
        <v>176</v>
      </c>
      <c r="F371" s="1" t="s">
        <v>174</v>
      </c>
    </row>
    <row r="372" spans="1:6" x14ac:dyDescent="0.3">
      <c r="A372">
        <v>40938</v>
      </c>
      <c r="B372" t="s">
        <v>118</v>
      </c>
      <c r="C372" t="s">
        <v>870</v>
      </c>
      <c r="D372" t="s">
        <v>210</v>
      </c>
      <c r="E372" t="s">
        <v>176</v>
      </c>
      <c r="F372" s="1" t="s">
        <v>174</v>
      </c>
    </row>
    <row r="373" spans="1:6" x14ac:dyDescent="0.3">
      <c r="A373">
        <v>40939</v>
      </c>
      <c r="B373" t="s">
        <v>871</v>
      </c>
      <c r="C373" t="s">
        <v>872</v>
      </c>
      <c r="D373" t="s">
        <v>212</v>
      </c>
      <c r="E373" t="s">
        <v>176</v>
      </c>
      <c r="F373" s="1" t="s">
        <v>174</v>
      </c>
    </row>
    <row r="374" spans="1:6" x14ac:dyDescent="0.3">
      <c r="A374">
        <v>41032</v>
      </c>
      <c r="B374" t="s">
        <v>873</v>
      </c>
      <c r="C374" t="s">
        <v>874</v>
      </c>
      <c r="D374" t="s">
        <v>209</v>
      </c>
      <c r="E374" t="s">
        <v>176</v>
      </c>
      <c r="F374" s="1" t="s">
        <v>174</v>
      </c>
    </row>
    <row r="375" spans="1:6" x14ac:dyDescent="0.3">
      <c r="A375">
        <v>41012</v>
      </c>
      <c r="B375" t="s">
        <v>875</v>
      </c>
      <c r="C375" t="s">
        <v>876</v>
      </c>
      <c r="D375" t="s">
        <v>209</v>
      </c>
      <c r="E375" t="s">
        <v>176</v>
      </c>
      <c r="F375" s="1" t="s">
        <v>174</v>
      </c>
    </row>
    <row r="376" spans="1:6" x14ac:dyDescent="0.3">
      <c r="A376">
        <v>41064</v>
      </c>
      <c r="B376" t="s">
        <v>877</v>
      </c>
      <c r="C376" t="s">
        <v>878</v>
      </c>
      <c r="D376" t="s">
        <v>210</v>
      </c>
      <c r="E376" t="s">
        <v>176</v>
      </c>
      <c r="F376" s="1" t="s">
        <v>174</v>
      </c>
    </row>
    <row r="377" spans="1:6" x14ac:dyDescent="0.3">
      <c r="A377">
        <v>41091</v>
      </c>
      <c r="B377" t="s">
        <v>879</v>
      </c>
      <c r="C377" t="s">
        <v>880</v>
      </c>
      <c r="D377" t="s">
        <v>210</v>
      </c>
      <c r="E377" t="s">
        <v>176</v>
      </c>
      <c r="F377" s="1" t="s">
        <v>174</v>
      </c>
    </row>
    <row r="378" spans="1:6" x14ac:dyDescent="0.3">
      <c r="A378">
        <v>41101</v>
      </c>
      <c r="B378" t="s">
        <v>881</v>
      </c>
      <c r="C378" t="s">
        <v>882</v>
      </c>
      <c r="D378" t="s">
        <v>210</v>
      </c>
      <c r="E378" t="s">
        <v>176</v>
      </c>
      <c r="F378" s="1" t="s">
        <v>174</v>
      </c>
    </row>
    <row r="379" spans="1:6" x14ac:dyDescent="0.3">
      <c r="A379">
        <v>41092</v>
      </c>
      <c r="B379" t="s">
        <v>883</v>
      </c>
      <c r="C379" t="s">
        <v>884</v>
      </c>
      <c r="D379" t="s">
        <v>210</v>
      </c>
      <c r="E379" t="s">
        <v>176</v>
      </c>
      <c r="F379" s="1" t="s">
        <v>174</v>
      </c>
    </row>
    <row r="380" spans="1:6" x14ac:dyDescent="0.3">
      <c r="A380">
        <v>41137</v>
      </c>
      <c r="B380" t="s">
        <v>885</v>
      </c>
      <c r="C380" t="s">
        <v>260</v>
      </c>
      <c r="D380" t="s">
        <v>210</v>
      </c>
      <c r="E380" t="s">
        <v>176</v>
      </c>
      <c r="F380" s="1" t="s">
        <v>174</v>
      </c>
    </row>
    <row r="381" spans="1:6" x14ac:dyDescent="0.3">
      <c r="A381">
        <v>41162</v>
      </c>
      <c r="B381" t="s">
        <v>886</v>
      </c>
      <c r="C381" t="s">
        <v>486</v>
      </c>
      <c r="D381" t="s">
        <v>210</v>
      </c>
      <c r="E381" t="s">
        <v>176</v>
      </c>
      <c r="F381" s="1" t="s">
        <v>174</v>
      </c>
    </row>
    <row r="382" spans="1:6" x14ac:dyDescent="0.3">
      <c r="A382">
        <v>41246</v>
      </c>
      <c r="B382" t="s">
        <v>745</v>
      </c>
      <c r="C382" t="s">
        <v>887</v>
      </c>
      <c r="D382" t="s">
        <v>210</v>
      </c>
      <c r="E382" t="s">
        <v>176</v>
      </c>
      <c r="F382" s="1" t="s">
        <v>174</v>
      </c>
    </row>
    <row r="383" spans="1:6" x14ac:dyDescent="0.3">
      <c r="A383">
        <v>41230</v>
      </c>
      <c r="B383" t="s">
        <v>888</v>
      </c>
      <c r="C383" t="s">
        <v>543</v>
      </c>
      <c r="D383" t="s">
        <v>210</v>
      </c>
      <c r="E383" t="s">
        <v>176</v>
      </c>
      <c r="F383" s="1" t="s">
        <v>174</v>
      </c>
    </row>
    <row r="384" spans="1:6" x14ac:dyDescent="0.3">
      <c r="A384">
        <v>41296</v>
      </c>
      <c r="B384" t="s">
        <v>889</v>
      </c>
      <c r="C384" t="s">
        <v>890</v>
      </c>
      <c r="D384" t="s">
        <v>50</v>
      </c>
      <c r="E384" t="s">
        <v>176</v>
      </c>
      <c r="F384" s="1" t="s">
        <v>174</v>
      </c>
    </row>
    <row r="385" spans="1:6" x14ac:dyDescent="0.3">
      <c r="A385">
        <v>41344</v>
      </c>
      <c r="B385" t="s">
        <v>891</v>
      </c>
      <c r="C385" t="s">
        <v>892</v>
      </c>
      <c r="D385" t="s">
        <v>209</v>
      </c>
      <c r="E385" t="s">
        <v>176</v>
      </c>
      <c r="F385" s="1" t="s">
        <v>174</v>
      </c>
    </row>
    <row r="386" spans="1:6" x14ac:dyDescent="0.3">
      <c r="A386">
        <v>41348</v>
      </c>
      <c r="B386" t="s">
        <v>893</v>
      </c>
      <c r="C386" t="s">
        <v>894</v>
      </c>
      <c r="D386" t="s">
        <v>50</v>
      </c>
      <c r="E386" t="s">
        <v>176</v>
      </c>
      <c r="F386" s="1" t="s">
        <v>174</v>
      </c>
    </row>
    <row r="387" spans="1:6" x14ac:dyDescent="0.3">
      <c r="A387">
        <v>41383</v>
      </c>
      <c r="B387" t="s">
        <v>551</v>
      </c>
      <c r="C387" t="s">
        <v>485</v>
      </c>
      <c r="D387" t="s">
        <v>209</v>
      </c>
      <c r="E387" t="s">
        <v>176</v>
      </c>
      <c r="F387" s="1" t="s">
        <v>174</v>
      </c>
    </row>
    <row r="388" spans="1:6" x14ac:dyDescent="0.3">
      <c r="A388">
        <v>41357</v>
      </c>
      <c r="B388" t="s">
        <v>895</v>
      </c>
      <c r="C388" t="s">
        <v>796</v>
      </c>
      <c r="D388" t="s">
        <v>57</v>
      </c>
      <c r="E388" t="s">
        <v>176</v>
      </c>
      <c r="F388" s="1" t="s">
        <v>174</v>
      </c>
    </row>
    <row r="389" spans="1:6" x14ac:dyDescent="0.3">
      <c r="A389">
        <v>41384</v>
      </c>
      <c r="B389" t="s">
        <v>896</v>
      </c>
      <c r="C389" t="s">
        <v>897</v>
      </c>
      <c r="D389" t="s">
        <v>50</v>
      </c>
      <c r="E389" t="s">
        <v>176</v>
      </c>
      <c r="F389" s="1" t="s">
        <v>174</v>
      </c>
    </row>
    <row r="390" spans="1:6" x14ac:dyDescent="0.3">
      <c r="A390">
        <v>41632</v>
      </c>
      <c r="B390" t="s">
        <v>898</v>
      </c>
      <c r="C390" t="s">
        <v>899</v>
      </c>
      <c r="D390" t="s">
        <v>57</v>
      </c>
      <c r="E390" t="s">
        <v>176</v>
      </c>
      <c r="F390" s="1" t="s">
        <v>174</v>
      </c>
    </row>
    <row r="391" spans="1:6" x14ac:dyDescent="0.3">
      <c r="A391">
        <v>41671</v>
      </c>
      <c r="B391" t="s">
        <v>900</v>
      </c>
      <c r="C391" t="s">
        <v>901</v>
      </c>
      <c r="D391" t="s">
        <v>57</v>
      </c>
      <c r="E391" t="s">
        <v>176</v>
      </c>
      <c r="F391" s="1" t="s">
        <v>174</v>
      </c>
    </row>
    <row r="392" spans="1:6" x14ac:dyDescent="0.3">
      <c r="A392">
        <v>41690</v>
      </c>
      <c r="B392" t="s">
        <v>902</v>
      </c>
      <c r="C392" t="s">
        <v>813</v>
      </c>
      <c r="D392" t="s">
        <v>55</v>
      </c>
      <c r="E392" t="s">
        <v>176</v>
      </c>
      <c r="F392" s="1" t="s">
        <v>174</v>
      </c>
    </row>
    <row r="393" spans="1:6" x14ac:dyDescent="0.3">
      <c r="A393">
        <v>41710</v>
      </c>
      <c r="B393" t="s">
        <v>595</v>
      </c>
      <c r="C393" t="s">
        <v>903</v>
      </c>
      <c r="D393" t="s">
        <v>209</v>
      </c>
      <c r="E393" t="s">
        <v>176</v>
      </c>
      <c r="F393" s="1" t="s">
        <v>174</v>
      </c>
    </row>
    <row r="394" spans="1:6" x14ac:dyDescent="0.3">
      <c r="A394">
        <v>41685</v>
      </c>
      <c r="B394" t="s">
        <v>904</v>
      </c>
      <c r="C394" t="s">
        <v>905</v>
      </c>
      <c r="D394" t="s">
        <v>212</v>
      </c>
      <c r="E394" t="s">
        <v>176</v>
      </c>
      <c r="F394" s="1" t="s">
        <v>174</v>
      </c>
    </row>
    <row r="395" spans="1:6" x14ac:dyDescent="0.3">
      <c r="A395">
        <v>41721</v>
      </c>
      <c r="B395" t="s">
        <v>906</v>
      </c>
      <c r="C395" t="s">
        <v>907</v>
      </c>
      <c r="D395" t="s">
        <v>212</v>
      </c>
      <c r="E395" t="s">
        <v>176</v>
      </c>
      <c r="F395" s="1" t="s">
        <v>174</v>
      </c>
    </row>
    <row r="396" spans="1:6" x14ac:dyDescent="0.3">
      <c r="A396">
        <v>41482</v>
      </c>
      <c r="B396" t="s">
        <v>908</v>
      </c>
      <c r="C396" t="s">
        <v>335</v>
      </c>
      <c r="D396" t="s">
        <v>57</v>
      </c>
      <c r="E396" t="s">
        <v>176</v>
      </c>
      <c r="F396" s="1" t="s">
        <v>174</v>
      </c>
    </row>
    <row r="397" spans="1:6" x14ac:dyDescent="0.3">
      <c r="A397">
        <v>41520</v>
      </c>
      <c r="B397" t="s">
        <v>909</v>
      </c>
      <c r="C397" t="s">
        <v>910</v>
      </c>
      <c r="D397" t="s">
        <v>50</v>
      </c>
      <c r="E397" t="s">
        <v>176</v>
      </c>
      <c r="F397" s="1" t="s">
        <v>174</v>
      </c>
    </row>
    <row r="398" spans="1:6" x14ac:dyDescent="0.3">
      <c r="A398">
        <v>41521</v>
      </c>
      <c r="B398" t="s">
        <v>775</v>
      </c>
      <c r="C398" t="s">
        <v>911</v>
      </c>
      <c r="D398" t="s">
        <v>212</v>
      </c>
      <c r="E398" t="s">
        <v>176</v>
      </c>
      <c r="F398" s="1" t="s">
        <v>174</v>
      </c>
    </row>
    <row r="399" spans="1:6" x14ac:dyDescent="0.3">
      <c r="A399">
        <v>41588</v>
      </c>
      <c r="B399" t="s">
        <v>912</v>
      </c>
      <c r="C399" t="s">
        <v>913</v>
      </c>
      <c r="D399" t="s">
        <v>212</v>
      </c>
      <c r="E399" t="s">
        <v>176</v>
      </c>
      <c r="F399" s="1" t="s">
        <v>174</v>
      </c>
    </row>
    <row r="400" spans="1:6" x14ac:dyDescent="0.3">
      <c r="A400">
        <v>41619</v>
      </c>
      <c r="B400" t="s">
        <v>914</v>
      </c>
      <c r="C400" t="s">
        <v>915</v>
      </c>
      <c r="D400" t="s">
        <v>57</v>
      </c>
      <c r="E400" t="s">
        <v>176</v>
      </c>
      <c r="F400" s="1" t="s">
        <v>174</v>
      </c>
    </row>
    <row r="401" spans="1:6" x14ac:dyDescent="0.3">
      <c r="A401">
        <v>41821</v>
      </c>
      <c r="B401" t="s">
        <v>916</v>
      </c>
      <c r="C401" t="s">
        <v>917</v>
      </c>
      <c r="D401" t="s">
        <v>50</v>
      </c>
      <c r="E401" t="s">
        <v>176</v>
      </c>
      <c r="F401" s="1" t="s">
        <v>174</v>
      </c>
    </row>
    <row r="402" spans="1:6" x14ac:dyDescent="0.3">
      <c r="A402">
        <v>41786</v>
      </c>
      <c r="B402" t="s">
        <v>918</v>
      </c>
      <c r="C402" t="s">
        <v>571</v>
      </c>
      <c r="D402" t="s">
        <v>50</v>
      </c>
      <c r="E402" t="s">
        <v>176</v>
      </c>
      <c r="F402" s="1" t="s">
        <v>174</v>
      </c>
    </row>
    <row r="403" spans="1:6" x14ac:dyDescent="0.3">
      <c r="A403">
        <v>41871</v>
      </c>
      <c r="B403" t="s">
        <v>919</v>
      </c>
      <c r="C403" t="s">
        <v>920</v>
      </c>
      <c r="D403" t="s">
        <v>210</v>
      </c>
      <c r="E403" t="s">
        <v>176</v>
      </c>
      <c r="F403" s="1" t="s">
        <v>174</v>
      </c>
    </row>
    <row r="404" spans="1:6" x14ac:dyDescent="0.3">
      <c r="A404">
        <v>41870</v>
      </c>
      <c r="B404" t="s">
        <v>505</v>
      </c>
      <c r="C404" t="s">
        <v>921</v>
      </c>
      <c r="D404" t="s">
        <v>211</v>
      </c>
      <c r="E404" t="s">
        <v>176</v>
      </c>
      <c r="F404" s="1" t="s">
        <v>174</v>
      </c>
    </row>
    <row r="405" spans="1:6" x14ac:dyDescent="0.3">
      <c r="A405">
        <v>41874</v>
      </c>
      <c r="B405" t="s">
        <v>922</v>
      </c>
      <c r="C405" t="s">
        <v>392</v>
      </c>
      <c r="D405" t="s">
        <v>210</v>
      </c>
      <c r="E405" t="s">
        <v>176</v>
      </c>
      <c r="F405" s="1" t="s">
        <v>174</v>
      </c>
    </row>
    <row r="406" spans="1:6" x14ac:dyDescent="0.3">
      <c r="A406">
        <v>41882</v>
      </c>
      <c r="B406" t="s">
        <v>923</v>
      </c>
      <c r="C406" t="s">
        <v>924</v>
      </c>
      <c r="D406" t="s">
        <v>209</v>
      </c>
      <c r="E406" t="s">
        <v>176</v>
      </c>
      <c r="F406" s="1" t="s">
        <v>174</v>
      </c>
    </row>
    <row r="407" spans="1:6" x14ac:dyDescent="0.3">
      <c r="A407">
        <v>41888</v>
      </c>
      <c r="B407" t="s">
        <v>925</v>
      </c>
      <c r="C407" t="s">
        <v>396</v>
      </c>
      <c r="D407" t="s">
        <v>212</v>
      </c>
      <c r="E407" t="s">
        <v>176</v>
      </c>
      <c r="F407" s="1" t="s">
        <v>174</v>
      </c>
    </row>
    <row r="408" spans="1:6" x14ac:dyDescent="0.3">
      <c r="A408">
        <v>41918</v>
      </c>
      <c r="B408" t="s">
        <v>926</v>
      </c>
      <c r="C408" t="s">
        <v>927</v>
      </c>
      <c r="D408" t="s">
        <v>50</v>
      </c>
      <c r="E408" t="s">
        <v>176</v>
      </c>
      <c r="F408" s="1" t="s">
        <v>174</v>
      </c>
    </row>
    <row r="409" spans="1:6" x14ac:dyDescent="0.3">
      <c r="A409">
        <v>41948</v>
      </c>
      <c r="B409" t="s">
        <v>928</v>
      </c>
      <c r="C409" t="s">
        <v>674</v>
      </c>
      <c r="D409" t="s">
        <v>55</v>
      </c>
      <c r="E409" t="s">
        <v>176</v>
      </c>
      <c r="F409" s="1" t="s">
        <v>174</v>
      </c>
    </row>
    <row r="410" spans="1:6" x14ac:dyDescent="0.3">
      <c r="A410">
        <v>41949</v>
      </c>
      <c r="B410" t="s">
        <v>929</v>
      </c>
      <c r="C410" t="s">
        <v>930</v>
      </c>
      <c r="D410" t="s">
        <v>50</v>
      </c>
      <c r="E410" t="s">
        <v>176</v>
      </c>
      <c r="F410" s="1" t="s">
        <v>174</v>
      </c>
    </row>
    <row r="411" spans="1:6" x14ac:dyDescent="0.3">
      <c r="A411">
        <v>41944</v>
      </c>
      <c r="B411" t="s">
        <v>931</v>
      </c>
      <c r="C411" t="s">
        <v>932</v>
      </c>
      <c r="D411" t="s">
        <v>210</v>
      </c>
      <c r="E411" t="s">
        <v>176</v>
      </c>
      <c r="F411" s="1" t="s">
        <v>174</v>
      </c>
    </row>
    <row r="412" spans="1:6" x14ac:dyDescent="0.3">
      <c r="A412">
        <v>42002</v>
      </c>
      <c r="B412" t="s">
        <v>933</v>
      </c>
      <c r="C412" t="s">
        <v>295</v>
      </c>
      <c r="D412" t="s">
        <v>209</v>
      </c>
      <c r="E412" t="s">
        <v>176</v>
      </c>
      <c r="F412" s="1" t="s">
        <v>174</v>
      </c>
    </row>
    <row r="413" spans="1:6" x14ac:dyDescent="0.3">
      <c r="A413">
        <v>42044</v>
      </c>
      <c r="B413" t="s">
        <v>934</v>
      </c>
      <c r="C413" t="s">
        <v>935</v>
      </c>
      <c r="D413" t="s">
        <v>210</v>
      </c>
      <c r="E413" t="s">
        <v>176</v>
      </c>
      <c r="F413" s="1" t="s">
        <v>174</v>
      </c>
    </row>
    <row r="414" spans="1:6" x14ac:dyDescent="0.3">
      <c r="A414">
        <v>42022</v>
      </c>
      <c r="B414" t="s">
        <v>936</v>
      </c>
      <c r="C414" t="s">
        <v>937</v>
      </c>
      <c r="D414" t="s">
        <v>209</v>
      </c>
      <c r="E414" t="s">
        <v>176</v>
      </c>
      <c r="F414" s="1" t="s">
        <v>174</v>
      </c>
    </row>
    <row r="415" spans="1:6" x14ac:dyDescent="0.3">
      <c r="A415">
        <v>42015</v>
      </c>
      <c r="B415" t="s">
        <v>938</v>
      </c>
      <c r="C415" t="s">
        <v>382</v>
      </c>
      <c r="D415" t="s">
        <v>209</v>
      </c>
      <c r="E415" t="s">
        <v>176</v>
      </c>
      <c r="F415" s="1" t="s">
        <v>174</v>
      </c>
    </row>
    <row r="416" spans="1:6" x14ac:dyDescent="0.3">
      <c r="A416">
        <v>42358</v>
      </c>
      <c r="B416" t="s">
        <v>939</v>
      </c>
      <c r="C416" t="s">
        <v>940</v>
      </c>
      <c r="D416" t="s">
        <v>211</v>
      </c>
      <c r="E416" t="s">
        <v>176</v>
      </c>
      <c r="F416" s="1" t="s">
        <v>174</v>
      </c>
    </row>
    <row r="417" spans="1:6" x14ac:dyDescent="0.3">
      <c r="A417">
        <v>42120</v>
      </c>
      <c r="B417" t="s">
        <v>941</v>
      </c>
      <c r="C417" t="s">
        <v>668</v>
      </c>
      <c r="D417" t="s">
        <v>212</v>
      </c>
      <c r="E417" t="s">
        <v>176</v>
      </c>
      <c r="F417" s="1" t="s">
        <v>174</v>
      </c>
    </row>
    <row r="418" spans="1:6" x14ac:dyDescent="0.3">
      <c r="A418">
        <v>42082</v>
      </c>
      <c r="B418" t="s">
        <v>276</v>
      </c>
      <c r="C418" t="s">
        <v>942</v>
      </c>
      <c r="D418" t="s">
        <v>210</v>
      </c>
      <c r="E418" t="s">
        <v>176</v>
      </c>
      <c r="F418" s="1" t="s">
        <v>174</v>
      </c>
    </row>
    <row r="419" spans="1:6" x14ac:dyDescent="0.3">
      <c r="A419">
        <v>42143</v>
      </c>
      <c r="B419" t="s">
        <v>943</v>
      </c>
      <c r="C419" t="s">
        <v>944</v>
      </c>
      <c r="D419" t="s">
        <v>57</v>
      </c>
      <c r="E419" t="s">
        <v>176</v>
      </c>
      <c r="F419" s="1" t="s">
        <v>174</v>
      </c>
    </row>
    <row r="420" spans="1:6" x14ac:dyDescent="0.3">
      <c r="A420">
        <v>42105</v>
      </c>
      <c r="B420" t="s">
        <v>945</v>
      </c>
      <c r="C420" t="s">
        <v>946</v>
      </c>
      <c r="D420" t="s">
        <v>55</v>
      </c>
      <c r="E420" t="s">
        <v>176</v>
      </c>
      <c r="F420" s="1" t="s">
        <v>174</v>
      </c>
    </row>
    <row r="421" spans="1:6" x14ac:dyDescent="0.3">
      <c r="A421">
        <v>42141</v>
      </c>
      <c r="B421" t="s">
        <v>947</v>
      </c>
      <c r="C421" t="s">
        <v>930</v>
      </c>
      <c r="D421" t="s">
        <v>50</v>
      </c>
      <c r="E421" t="s">
        <v>176</v>
      </c>
      <c r="F421" s="1" t="s">
        <v>174</v>
      </c>
    </row>
    <row r="422" spans="1:6" x14ac:dyDescent="0.3">
      <c r="A422">
        <v>42144</v>
      </c>
      <c r="B422" t="s">
        <v>948</v>
      </c>
      <c r="C422" t="s">
        <v>949</v>
      </c>
      <c r="D422" t="s">
        <v>209</v>
      </c>
      <c r="E422" t="s">
        <v>176</v>
      </c>
      <c r="F422" s="1" t="s">
        <v>174</v>
      </c>
    </row>
    <row r="423" spans="1:6" x14ac:dyDescent="0.3">
      <c r="A423">
        <v>42196</v>
      </c>
      <c r="B423" t="s">
        <v>950</v>
      </c>
      <c r="C423" t="s">
        <v>951</v>
      </c>
      <c r="D423" t="s">
        <v>57</v>
      </c>
      <c r="E423" t="s">
        <v>176</v>
      </c>
      <c r="F423" s="1" t="s">
        <v>174</v>
      </c>
    </row>
    <row r="424" spans="1:6" x14ac:dyDescent="0.3">
      <c r="A424">
        <v>42195</v>
      </c>
      <c r="B424" t="s">
        <v>952</v>
      </c>
      <c r="C424" t="s">
        <v>953</v>
      </c>
      <c r="D424" t="s">
        <v>55</v>
      </c>
      <c r="E424" t="s">
        <v>176</v>
      </c>
      <c r="F424" s="1" t="s">
        <v>174</v>
      </c>
    </row>
    <row r="425" spans="1:6" x14ac:dyDescent="0.3">
      <c r="A425">
        <v>42445</v>
      </c>
      <c r="B425" t="s">
        <v>954</v>
      </c>
      <c r="C425" t="s">
        <v>955</v>
      </c>
      <c r="D425" t="s">
        <v>211</v>
      </c>
      <c r="E425" t="s">
        <v>176</v>
      </c>
      <c r="F425" s="1" t="s">
        <v>174</v>
      </c>
    </row>
    <row r="426" spans="1:6" x14ac:dyDescent="0.3">
      <c r="A426">
        <v>31891</v>
      </c>
      <c r="B426" t="s">
        <v>782</v>
      </c>
      <c r="C426" t="s">
        <v>956</v>
      </c>
      <c r="D426" t="s">
        <v>57</v>
      </c>
      <c r="E426" t="s">
        <v>957</v>
      </c>
      <c r="F426" s="1" t="s">
        <v>174</v>
      </c>
    </row>
    <row r="427" spans="1:6" x14ac:dyDescent="0.3">
      <c r="A427">
        <v>39928</v>
      </c>
      <c r="B427" t="s">
        <v>958</v>
      </c>
      <c r="C427" t="s">
        <v>959</v>
      </c>
      <c r="D427" t="s">
        <v>57</v>
      </c>
      <c r="E427" t="s">
        <v>957</v>
      </c>
      <c r="F427" s="1" t="s">
        <v>174</v>
      </c>
    </row>
    <row r="428" spans="1:6" x14ac:dyDescent="0.3">
      <c r="A428">
        <v>42307</v>
      </c>
      <c r="B428" t="s">
        <v>810</v>
      </c>
      <c r="C428" t="s">
        <v>325</v>
      </c>
      <c r="D428" t="s">
        <v>50</v>
      </c>
      <c r="E428" t="s">
        <v>957</v>
      </c>
      <c r="F428" s="1" t="s">
        <v>174</v>
      </c>
    </row>
    <row r="429" spans="1:6" x14ac:dyDescent="0.3">
      <c r="A429">
        <v>42336</v>
      </c>
      <c r="B429" t="s">
        <v>960</v>
      </c>
      <c r="C429" t="s">
        <v>961</v>
      </c>
      <c r="D429" t="s">
        <v>175</v>
      </c>
      <c r="E429" t="s">
        <v>957</v>
      </c>
      <c r="F429" s="1" t="s">
        <v>174</v>
      </c>
    </row>
    <row r="430" spans="1:6" x14ac:dyDescent="0.3">
      <c r="A430">
        <v>42393</v>
      </c>
      <c r="B430" t="s">
        <v>962</v>
      </c>
      <c r="C430" t="s">
        <v>611</v>
      </c>
      <c r="D430" t="s">
        <v>211</v>
      </c>
      <c r="E430" t="s">
        <v>957</v>
      </c>
      <c r="F430" s="1" t="s">
        <v>174</v>
      </c>
    </row>
    <row r="431" spans="1:6" x14ac:dyDescent="0.3">
      <c r="A431">
        <v>42391</v>
      </c>
      <c r="B431" t="s">
        <v>963</v>
      </c>
      <c r="C431" t="s">
        <v>333</v>
      </c>
      <c r="D431" t="s">
        <v>50</v>
      </c>
      <c r="E431" t="s">
        <v>957</v>
      </c>
      <c r="F431" s="1" t="s">
        <v>174</v>
      </c>
    </row>
    <row r="432" spans="1:6" x14ac:dyDescent="0.3">
      <c r="A432">
        <v>42381</v>
      </c>
      <c r="B432" t="s">
        <v>964</v>
      </c>
      <c r="C432" t="s">
        <v>965</v>
      </c>
      <c r="D432" t="s">
        <v>211</v>
      </c>
      <c r="E432" t="s">
        <v>957</v>
      </c>
      <c r="F432" s="1" t="s">
        <v>174</v>
      </c>
    </row>
    <row r="433" spans="1:6" x14ac:dyDescent="0.3">
      <c r="A433">
        <v>42145</v>
      </c>
      <c r="B433" t="s">
        <v>966</v>
      </c>
      <c r="C433" t="s">
        <v>967</v>
      </c>
      <c r="D433" t="s">
        <v>211</v>
      </c>
      <c r="E433" t="s">
        <v>957</v>
      </c>
      <c r="F433" s="1" t="s">
        <v>174</v>
      </c>
    </row>
    <row r="434" spans="1:6" x14ac:dyDescent="0.3">
      <c r="A434">
        <v>42164</v>
      </c>
      <c r="B434" t="s">
        <v>968</v>
      </c>
      <c r="C434" t="s">
        <v>969</v>
      </c>
      <c r="D434" t="s">
        <v>210</v>
      </c>
      <c r="E434" t="s">
        <v>957</v>
      </c>
      <c r="F434" s="1" t="s">
        <v>174</v>
      </c>
    </row>
    <row r="435" spans="1:6" x14ac:dyDescent="0.3">
      <c r="A435">
        <v>42146</v>
      </c>
      <c r="B435" t="s">
        <v>970</v>
      </c>
      <c r="C435" t="s">
        <v>971</v>
      </c>
      <c r="D435" t="s">
        <v>211</v>
      </c>
      <c r="E435" t="s">
        <v>957</v>
      </c>
      <c r="F435" s="1" t="s">
        <v>174</v>
      </c>
    </row>
    <row r="436" spans="1:6" x14ac:dyDescent="0.3">
      <c r="A436">
        <v>42218</v>
      </c>
      <c r="B436" t="s">
        <v>577</v>
      </c>
      <c r="C436" t="s">
        <v>972</v>
      </c>
      <c r="D436" t="s">
        <v>55</v>
      </c>
      <c r="E436" t="s">
        <v>957</v>
      </c>
      <c r="F436" s="1" t="s">
        <v>174</v>
      </c>
    </row>
    <row r="437" spans="1:6" x14ac:dyDescent="0.3">
      <c r="A437">
        <v>42211</v>
      </c>
      <c r="B437" t="s">
        <v>973</v>
      </c>
      <c r="C437" t="s">
        <v>974</v>
      </c>
      <c r="D437" t="s">
        <v>212</v>
      </c>
      <c r="E437" t="s">
        <v>957</v>
      </c>
      <c r="F437" s="1" t="s">
        <v>174</v>
      </c>
    </row>
    <row r="438" spans="1:6" x14ac:dyDescent="0.3">
      <c r="A438">
        <v>42249</v>
      </c>
      <c r="B438" t="s">
        <v>975</v>
      </c>
      <c r="C438" t="s">
        <v>696</v>
      </c>
      <c r="D438" t="s">
        <v>212</v>
      </c>
      <c r="E438" t="s">
        <v>957</v>
      </c>
      <c r="F438" s="1" t="s">
        <v>174</v>
      </c>
    </row>
    <row r="439" spans="1:6" x14ac:dyDescent="0.3">
      <c r="A439">
        <v>42252</v>
      </c>
      <c r="B439" t="s">
        <v>976</v>
      </c>
      <c r="C439" t="s">
        <v>959</v>
      </c>
      <c r="D439" t="s">
        <v>50</v>
      </c>
      <c r="E439" t="s">
        <v>957</v>
      </c>
      <c r="F439" s="1" t="s">
        <v>174</v>
      </c>
    </row>
    <row r="440" spans="1:6" x14ac:dyDescent="0.3">
      <c r="A440">
        <v>42277</v>
      </c>
      <c r="B440" t="s">
        <v>977</v>
      </c>
      <c r="C440" t="s">
        <v>978</v>
      </c>
      <c r="D440" t="s">
        <v>210</v>
      </c>
      <c r="E440" t="s">
        <v>957</v>
      </c>
      <c r="F440" s="1" t="s">
        <v>174</v>
      </c>
    </row>
    <row r="441" spans="1:6" x14ac:dyDescent="0.3">
      <c r="A441">
        <v>42269</v>
      </c>
      <c r="B441" t="s">
        <v>438</v>
      </c>
      <c r="C441" t="s">
        <v>979</v>
      </c>
      <c r="D441" t="s">
        <v>50</v>
      </c>
      <c r="E441" t="s">
        <v>957</v>
      </c>
      <c r="F441" s="1" t="s">
        <v>174</v>
      </c>
    </row>
    <row r="442" spans="1:6" x14ac:dyDescent="0.3">
      <c r="A442">
        <v>17951</v>
      </c>
      <c r="B442" t="s">
        <v>980</v>
      </c>
      <c r="C442" t="s">
        <v>981</v>
      </c>
      <c r="D442" t="s">
        <v>57</v>
      </c>
      <c r="E442" t="s">
        <v>982</v>
      </c>
      <c r="F442" s="1" t="s">
        <v>174</v>
      </c>
    </row>
    <row r="443" spans="1:6" x14ac:dyDescent="0.3">
      <c r="A443">
        <v>20400</v>
      </c>
      <c r="B443" t="s">
        <v>983</v>
      </c>
      <c r="C443" t="s">
        <v>984</v>
      </c>
      <c r="D443" t="s">
        <v>210</v>
      </c>
      <c r="E443" t="s">
        <v>982</v>
      </c>
      <c r="F443" s="1" t="s">
        <v>174</v>
      </c>
    </row>
    <row r="444" spans="1:6" x14ac:dyDescent="0.3">
      <c r="A444">
        <v>25829</v>
      </c>
      <c r="B444" t="s">
        <v>985</v>
      </c>
      <c r="C444" t="s">
        <v>653</v>
      </c>
      <c r="D444" t="s">
        <v>211</v>
      </c>
      <c r="E444" t="s">
        <v>982</v>
      </c>
      <c r="F444" s="1" t="s">
        <v>174</v>
      </c>
    </row>
    <row r="445" spans="1:6" x14ac:dyDescent="0.3">
      <c r="A445">
        <v>26334</v>
      </c>
      <c r="B445" t="s">
        <v>986</v>
      </c>
      <c r="C445" t="s">
        <v>987</v>
      </c>
      <c r="D445" t="s">
        <v>209</v>
      </c>
      <c r="E445" t="s">
        <v>982</v>
      </c>
      <c r="F445" s="1" t="s">
        <v>174</v>
      </c>
    </row>
    <row r="446" spans="1:6" x14ac:dyDescent="0.3">
      <c r="A446">
        <v>26524</v>
      </c>
      <c r="B446" t="s">
        <v>988</v>
      </c>
      <c r="C446" t="s">
        <v>989</v>
      </c>
      <c r="D446" t="s">
        <v>209</v>
      </c>
      <c r="E446" t="s">
        <v>982</v>
      </c>
      <c r="F446" s="1" t="s">
        <v>174</v>
      </c>
    </row>
    <row r="447" spans="1:6" x14ac:dyDescent="0.3">
      <c r="A447">
        <v>27672</v>
      </c>
      <c r="B447" t="s">
        <v>990</v>
      </c>
      <c r="C447" t="s">
        <v>991</v>
      </c>
      <c r="D447" t="s">
        <v>211</v>
      </c>
      <c r="E447" t="s">
        <v>982</v>
      </c>
      <c r="F447" s="1" t="s">
        <v>174</v>
      </c>
    </row>
    <row r="448" spans="1:6" x14ac:dyDescent="0.3">
      <c r="A448">
        <v>29478</v>
      </c>
      <c r="B448" t="s">
        <v>992</v>
      </c>
      <c r="C448" t="s">
        <v>993</v>
      </c>
      <c r="D448" t="s">
        <v>55</v>
      </c>
      <c r="E448" t="s">
        <v>982</v>
      </c>
      <c r="F448" s="1" t="s">
        <v>174</v>
      </c>
    </row>
    <row r="449" spans="1:6" x14ac:dyDescent="0.3">
      <c r="A449">
        <v>3926</v>
      </c>
      <c r="B449" t="s">
        <v>475</v>
      </c>
      <c r="C449" t="s">
        <v>559</v>
      </c>
      <c r="D449" t="s">
        <v>57</v>
      </c>
      <c r="E449" t="s">
        <v>982</v>
      </c>
      <c r="F449" s="1" t="s">
        <v>174</v>
      </c>
    </row>
    <row r="450" spans="1:6" x14ac:dyDescent="0.3">
      <c r="A450">
        <v>6229</v>
      </c>
      <c r="B450" t="s">
        <v>366</v>
      </c>
      <c r="C450" t="s">
        <v>495</v>
      </c>
      <c r="D450" t="s">
        <v>209</v>
      </c>
      <c r="E450" t="s">
        <v>982</v>
      </c>
      <c r="F450" s="1" t="s">
        <v>174</v>
      </c>
    </row>
    <row r="451" spans="1:6" x14ac:dyDescent="0.3">
      <c r="A451">
        <v>16098</v>
      </c>
      <c r="B451" t="s">
        <v>994</v>
      </c>
      <c r="C451" t="s">
        <v>995</v>
      </c>
      <c r="D451" t="s">
        <v>50</v>
      </c>
      <c r="E451" t="s">
        <v>996</v>
      </c>
      <c r="F451" s="1" t="s">
        <v>174</v>
      </c>
    </row>
    <row r="452" spans="1:6" x14ac:dyDescent="0.3">
      <c r="A452">
        <v>16546</v>
      </c>
      <c r="B452" t="s">
        <v>415</v>
      </c>
      <c r="C452" t="s">
        <v>997</v>
      </c>
      <c r="D452" t="s">
        <v>50</v>
      </c>
      <c r="E452" t="s">
        <v>996</v>
      </c>
      <c r="F452" s="1" t="s">
        <v>174</v>
      </c>
    </row>
    <row r="453" spans="1:6" x14ac:dyDescent="0.3">
      <c r="A453">
        <v>18141</v>
      </c>
      <c r="B453" t="s">
        <v>998</v>
      </c>
      <c r="C453" t="s">
        <v>999</v>
      </c>
      <c r="D453" t="s">
        <v>50</v>
      </c>
      <c r="E453" t="s">
        <v>996</v>
      </c>
      <c r="F453" s="1" t="s">
        <v>174</v>
      </c>
    </row>
    <row r="454" spans="1:6" x14ac:dyDescent="0.3">
      <c r="A454">
        <v>20404</v>
      </c>
      <c r="B454" t="s">
        <v>641</v>
      </c>
      <c r="C454" t="s">
        <v>984</v>
      </c>
      <c r="D454" t="s">
        <v>50</v>
      </c>
      <c r="E454" t="s">
        <v>996</v>
      </c>
      <c r="F454" s="1" t="s">
        <v>174</v>
      </c>
    </row>
    <row r="455" spans="1:6" x14ac:dyDescent="0.3">
      <c r="A455">
        <v>21428</v>
      </c>
      <c r="B455" t="s">
        <v>1000</v>
      </c>
      <c r="C455" t="s">
        <v>1001</v>
      </c>
      <c r="D455" t="s">
        <v>209</v>
      </c>
      <c r="E455" t="s">
        <v>996</v>
      </c>
      <c r="F455" s="1" t="s">
        <v>174</v>
      </c>
    </row>
    <row r="456" spans="1:6" x14ac:dyDescent="0.3">
      <c r="A456">
        <v>25486</v>
      </c>
      <c r="B456" t="s">
        <v>1002</v>
      </c>
      <c r="C456" t="s">
        <v>543</v>
      </c>
      <c r="D456" t="s">
        <v>50</v>
      </c>
      <c r="E456" t="s">
        <v>996</v>
      </c>
      <c r="F456" s="1" t="s">
        <v>174</v>
      </c>
    </row>
    <row r="457" spans="1:6" x14ac:dyDescent="0.3">
      <c r="A457">
        <v>29646</v>
      </c>
      <c r="B457" t="s">
        <v>577</v>
      </c>
      <c r="C457" t="s">
        <v>1003</v>
      </c>
      <c r="D457" t="s">
        <v>210</v>
      </c>
      <c r="E457" t="s">
        <v>996</v>
      </c>
      <c r="F457" s="1" t="s">
        <v>174</v>
      </c>
    </row>
    <row r="458" spans="1:6" x14ac:dyDescent="0.3">
      <c r="A458">
        <v>34019</v>
      </c>
      <c r="B458" t="s">
        <v>1004</v>
      </c>
      <c r="C458" t="s">
        <v>574</v>
      </c>
      <c r="D458" t="s">
        <v>50</v>
      </c>
      <c r="E458" t="s">
        <v>996</v>
      </c>
      <c r="F458" s="1" t="s">
        <v>174</v>
      </c>
    </row>
    <row r="459" spans="1:6" x14ac:dyDescent="0.3">
      <c r="A459">
        <v>34044</v>
      </c>
      <c r="B459" t="s">
        <v>1005</v>
      </c>
      <c r="C459" t="s">
        <v>295</v>
      </c>
      <c r="D459" t="s">
        <v>50</v>
      </c>
      <c r="E459" t="s">
        <v>996</v>
      </c>
      <c r="F459" s="1" t="s">
        <v>174</v>
      </c>
    </row>
    <row r="460" spans="1:6" x14ac:dyDescent="0.3">
      <c r="A460">
        <v>37179</v>
      </c>
      <c r="B460" t="s">
        <v>1006</v>
      </c>
      <c r="C460" t="s">
        <v>1007</v>
      </c>
      <c r="D460" t="s">
        <v>57</v>
      </c>
      <c r="E460" t="s">
        <v>996</v>
      </c>
      <c r="F460" s="1" t="s">
        <v>174</v>
      </c>
    </row>
    <row r="461" spans="1:6" x14ac:dyDescent="0.3">
      <c r="A461">
        <v>37951</v>
      </c>
      <c r="B461" t="s">
        <v>1008</v>
      </c>
      <c r="C461" t="s">
        <v>1009</v>
      </c>
      <c r="D461" t="s">
        <v>175</v>
      </c>
      <c r="E461" t="s">
        <v>996</v>
      </c>
      <c r="F461" s="1" t="s">
        <v>174</v>
      </c>
    </row>
    <row r="462" spans="1:6" x14ac:dyDescent="0.3">
      <c r="A462">
        <v>8196</v>
      </c>
      <c r="B462" t="s">
        <v>1010</v>
      </c>
      <c r="C462" t="s">
        <v>674</v>
      </c>
      <c r="D462" t="s">
        <v>50</v>
      </c>
      <c r="E462" t="s">
        <v>996</v>
      </c>
      <c r="F462" s="1" t="s">
        <v>174</v>
      </c>
    </row>
    <row r="463" spans="1:6" x14ac:dyDescent="0.3">
      <c r="A463">
        <v>11508</v>
      </c>
      <c r="B463" t="s">
        <v>481</v>
      </c>
      <c r="C463" t="s">
        <v>319</v>
      </c>
      <c r="D463" t="s">
        <v>175</v>
      </c>
      <c r="E463" t="s">
        <v>1011</v>
      </c>
      <c r="F463" s="1" t="s">
        <v>174</v>
      </c>
    </row>
    <row r="464" spans="1:6" x14ac:dyDescent="0.3">
      <c r="A464">
        <v>12173</v>
      </c>
      <c r="B464" t="s">
        <v>1012</v>
      </c>
      <c r="C464" t="s">
        <v>317</v>
      </c>
      <c r="D464" t="s">
        <v>209</v>
      </c>
      <c r="E464" t="s">
        <v>1011</v>
      </c>
      <c r="F464" s="1" t="s">
        <v>174</v>
      </c>
    </row>
    <row r="465" spans="1:6" x14ac:dyDescent="0.3">
      <c r="A465">
        <v>19127</v>
      </c>
      <c r="B465" t="s">
        <v>475</v>
      </c>
      <c r="C465" t="s">
        <v>433</v>
      </c>
      <c r="D465" t="s">
        <v>50</v>
      </c>
      <c r="E465" t="s">
        <v>1011</v>
      </c>
      <c r="F465" s="1" t="s">
        <v>174</v>
      </c>
    </row>
    <row r="466" spans="1:6" x14ac:dyDescent="0.3">
      <c r="A466">
        <v>22244</v>
      </c>
      <c r="B466" t="s">
        <v>1013</v>
      </c>
      <c r="C466" t="s">
        <v>1014</v>
      </c>
      <c r="D466" t="s">
        <v>50</v>
      </c>
      <c r="E466" t="s">
        <v>1011</v>
      </c>
      <c r="F466" s="1" t="s">
        <v>174</v>
      </c>
    </row>
    <row r="467" spans="1:6" x14ac:dyDescent="0.3">
      <c r="A467">
        <v>23918</v>
      </c>
      <c r="B467" t="s">
        <v>1015</v>
      </c>
      <c r="C467" t="s">
        <v>451</v>
      </c>
      <c r="D467" t="s">
        <v>209</v>
      </c>
      <c r="E467" t="s">
        <v>1011</v>
      </c>
      <c r="F467" s="1" t="s">
        <v>174</v>
      </c>
    </row>
    <row r="468" spans="1:6" x14ac:dyDescent="0.3">
      <c r="A468">
        <v>26695</v>
      </c>
      <c r="B468" t="s">
        <v>1016</v>
      </c>
      <c r="C468" t="s">
        <v>1017</v>
      </c>
      <c r="D468" t="s">
        <v>50</v>
      </c>
      <c r="E468" t="s">
        <v>1011</v>
      </c>
      <c r="F468" s="1" t="s">
        <v>174</v>
      </c>
    </row>
    <row r="469" spans="1:6" x14ac:dyDescent="0.3">
      <c r="A469">
        <v>28072</v>
      </c>
      <c r="B469" t="s">
        <v>1018</v>
      </c>
      <c r="C469" t="s">
        <v>1019</v>
      </c>
      <c r="D469" t="s">
        <v>175</v>
      </c>
      <c r="E469" t="s">
        <v>1011</v>
      </c>
      <c r="F469" s="1" t="s">
        <v>174</v>
      </c>
    </row>
    <row r="470" spans="1:6" x14ac:dyDescent="0.3">
      <c r="A470">
        <v>28835</v>
      </c>
      <c r="B470" t="s">
        <v>1020</v>
      </c>
      <c r="C470" t="s">
        <v>1021</v>
      </c>
      <c r="D470" t="s">
        <v>50</v>
      </c>
      <c r="E470" t="s">
        <v>1011</v>
      </c>
      <c r="F470" s="1" t="s">
        <v>174</v>
      </c>
    </row>
    <row r="471" spans="1:6" x14ac:dyDescent="0.3">
      <c r="A471">
        <v>29778</v>
      </c>
      <c r="B471" t="s">
        <v>1022</v>
      </c>
      <c r="C471" t="s">
        <v>1023</v>
      </c>
      <c r="D471" t="s">
        <v>212</v>
      </c>
      <c r="E471" t="s">
        <v>1011</v>
      </c>
      <c r="F471" s="1" t="s">
        <v>174</v>
      </c>
    </row>
    <row r="472" spans="1:6" x14ac:dyDescent="0.3">
      <c r="A472">
        <v>39019</v>
      </c>
      <c r="B472" t="s">
        <v>1024</v>
      </c>
      <c r="C472" t="s">
        <v>813</v>
      </c>
      <c r="D472" t="s">
        <v>175</v>
      </c>
      <c r="E472" t="s">
        <v>1011</v>
      </c>
      <c r="F472" s="1" t="s">
        <v>174</v>
      </c>
    </row>
    <row r="473" spans="1:6" x14ac:dyDescent="0.3">
      <c r="A473">
        <v>5080</v>
      </c>
      <c r="B473" t="s">
        <v>53</v>
      </c>
      <c r="C473" t="s">
        <v>1025</v>
      </c>
      <c r="D473" t="s">
        <v>209</v>
      </c>
      <c r="E473" t="s">
        <v>1011</v>
      </c>
      <c r="F473" s="1" t="s">
        <v>174</v>
      </c>
    </row>
    <row r="474" spans="1:6" x14ac:dyDescent="0.3">
      <c r="A474">
        <v>7746</v>
      </c>
      <c r="B474" t="s">
        <v>986</v>
      </c>
      <c r="C474" t="s">
        <v>1026</v>
      </c>
      <c r="D474" t="s">
        <v>50</v>
      </c>
      <c r="E474" t="s">
        <v>1011</v>
      </c>
      <c r="F474" s="1" t="s">
        <v>174</v>
      </c>
    </row>
    <row r="475" spans="1:6" x14ac:dyDescent="0.3">
      <c r="A475">
        <v>10150</v>
      </c>
      <c r="B475" t="s">
        <v>1027</v>
      </c>
      <c r="C475" t="s">
        <v>485</v>
      </c>
      <c r="D475" t="s">
        <v>211</v>
      </c>
      <c r="E475" t="s">
        <v>1028</v>
      </c>
      <c r="F475" s="1" t="s">
        <v>174</v>
      </c>
    </row>
    <row r="476" spans="1:6" x14ac:dyDescent="0.3">
      <c r="A476">
        <v>11021</v>
      </c>
      <c r="B476" t="s">
        <v>1029</v>
      </c>
      <c r="C476" t="s">
        <v>1030</v>
      </c>
      <c r="D476" t="s">
        <v>211</v>
      </c>
      <c r="E476" t="s">
        <v>1028</v>
      </c>
      <c r="F476" s="1" t="s">
        <v>174</v>
      </c>
    </row>
    <row r="477" spans="1:6" x14ac:dyDescent="0.3">
      <c r="A477">
        <v>13017</v>
      </c>
      <c r="B477" t="s">
        <v>1031</v>
      </c>
      <c r="C477" t="s">
        <v>1032</v>
      </c>
      <c r="D477" t="s">
        <v>212</v>
      </c>
      <c r="E477" t="s">
        <v>1028</v>
      </c>
      <c r="F477" s="1" t="s">
        <v>174</v>
      </c>
    </row>
    <row r="478" spans="1:6" x14ac:dyDescent="0.3">
      <c r="A478">
        <v>13257</v>
      </c>
      <c r="B478" t="s">
        <v>1033</v>
      </c>
      <c r="C478" t="s">
        <v>299</v>
      </c>
      <c r="D478" t="s">
        <v>212</v>
      </c>
      <c r="E478" t="s">
        <v>1028</v>
      </c>
      <c r="F478" s="1" t="s">
        <v>174</v>
      </c>
    </row>
    <row r="479" spans="1:6" x14ac:dyDescent="0.3">
      <c r="A479">
        <v>14072</v>
      </c>
      <c r="B479" t="s">
        <v>1034</v>
      </c>
      <c r="C479" t="s">
        <v>1035</v>
      </c>
      <c r="D479" t="s">
        <v>175</v>
      </c>
      <c r="E479" t="s">
        <v>1028</v>
      </c>
      <c r="F479" s="1" t="s">
        <v>174</v>
      </c>
    </row>
    <row r="480" spans="1:6" x14ac:dyDescent="0.3">
      <c r="A480">
        <v>15219</v>
      </c>
      <c r="B480" t="s">
        <v>1036</v>
      </c>
      <c r="C480" t="s">
        <v>333</v>
      </c>
      <c r="D480" t="s">
        <v>57</v>
      </c>
      <c r="E480" t="s">
        <v>1028</v>
      </c>
      <c r="F480" s="1" t="s">
        <v>174</v>
      </c>
    </row>
    <row r="481" spans="1:6" x14ac:dyDescent="0.3">
      <c r="A481">
        <v>15852</v>
      </c>
      <c r="B481" t="s">
        <v>1037</v>
      </c>
      <c r="C481" t="s">
        <v>1001</v>
      </c>
      <c r="D481" t="s">
        <v>212</v>
      </c>
      <c r="E481" t="s">
        <v>1028</v>
      </c>
      <c r="F481" s="1" t="s">
        <v>174</v>
      </c>
    </row>
    <row r="482" spans="1:6" x14ac:dyDescent="0.3">
      <c r="A482">
        <v>16897</v>
      </c>
      <c r="B482" t="s">
        <v>835</v>
      </c>
      <c r="C482" t="s">
        <v>497</v>
      </c>
      <c r="D482" t="s">
        <v>211</v>
      </c>
      <c r="E482" t="s">
        <v>1028</v>
      </c>
      <c r="F482" s="1" t="s">
        <v>174</v>
      </c>
    </row>
    <row r="483" spans="1:6" x14ac:dyDescent="0.3">
      <c r="A483">
        <v>16275</v>
      </c>
      <c r="B483" t="s">
        <v>1038</v>
      </c>
      <c r="C483" t="s">
        <v>264</v>
      </c>
      <c r="D483" t="s">
        <v>55</v>
      </c>
      <c r="E483" t="s">
        <v>1028</v>
      </c>
      <c r="F483" s="1" t="s">
        <v>174</v>
      </c>
    </row>
    <row r="484" spans="1:6" x14ac:dyDescent="0.3">
      <c r="A484">
        <v>16282</v>
      </c>
      <c r="B484" t="s">
        <v>1039</v>
      </c>
      <c r="C484" t="s">
        <v>1040</v>
      </c>
      <c r="D484" t="s">
        <v>212</v>
      </c>
      <c r="E484" t="s">
        <v>1028</v>
      </c>
      <c r="F484" s="1" t="s">
        <v>174</v>
      </c>
    </row>
    <row r="485" spans="1:6" x14ac:dyDescent="0.3">
      <c r="A485">
        <v>17566</v>
      </c>
      <c r="B485" t="s">
        <v>1041</v>
      </c>
      <c r="C485" t="s">
        <v>1042</v>
      </c>
      <c r="D485" t="s">
        <v>57</v>
      </c>
      <c r="E485" t="s">
        <v>1028</v>
      </c>
      <c r="F485" s="1" t="s">
        <v>174</v>
      </c>
    </row>
    <row r="486" spans="1:6" x14ac:dyDescent="0.3">
      <c r="A486">
        <v>18139</v>
      </c>
      <c r="B486" t="s">
        <v>317</v>
      </c>
      <c r="C486" t="s">
        <v>327</v>
      </c>
      <c r="D486" t="s">
        <v>57</v>
      </c>
      <c r="E486" t="s">
        <v>1028</v>
      </c>
      <c r="F486" s="1" t="s">
        <v>174</v>
      </c>
    </row>
    <row r="487" spans="1:6" x14ac:dyDescent="0.3">
      <c r="A487">
        <v>19016</v>
      </c>
      <c r="B487" t="s">
        <v>1043</v>
      </c>
      <c r="C487" t="s">
        <v>991</v>
      </c>
      <c r="D487" t="s">
        <v>209</v>
      </c>
      <c r="E487" t="s">
        <v>1028</v>
      </c>
      <c r="F487" s="1" t="s">
        <v>174</v>
      </c>
    </row>
    <row r="488" spans="1:6" x14ac:dyDescent="0.3">
      <c r="A488">
        <v>19675</v>
      </c>
      <c r="B488" t="s">
        <v>1044</v>
      </c>
      <c r="C488" t="s">
        <v>1045</v>
      </c>
      <c r="D488" t="s">
        <v>212</v>
      </c>
      <c r="E488" t="s">
        <v>1028</v>
      </c>
      <c r="F488" s="1" t="s">
        <v>174</v>
      </c>
    </row>
    <row r="489" spans="1:6" x14ac:dyDescent="0.3">
      <c r="A489">
        <v>20376</v>
      </c>
      <c r="B489" t="s">
        <v>1046</v>
      </c>
      <c r="C489" t="s">
        <v>589</v>
      </c>
      <c r="D489" t="s">
        <v>211</v>
      </c>
      <c r="E489" t="s">
        <v>1028</v>
      </c>
      <c r="F489" s="1" t="s">
        <v>174</v>
      </c>
    </row>
    <row r="490" spans="1:6" x14ac:dyDescent="0.3">
      <c r="A490">
        <v>20375</v>
      </c>
      <c r="B490" t="s">
        <v>1047</v>
      </c>
      <c r="C490" t="s">
        <v>1048</v>
      </c>
      <c r="D490" t="s">
        <v>210</v>
      </c>
      <c r="E490" t="s">
        <v>1028</v>
      </c>
      <c r="F490" s="1" t="s">
        <v>174</v>
      </c>
    </row>
    <row r="491" spans="1:6" x14ac:dyDescent="0.3">
      <c r="A491">
        <v>20476</v>
      </c>
      <c r="B491" t="s">
        <v>1049</v>
      </c>
      <c r="C491" t="s">
        <v>449</v>
      </c>
      <c r="D491" t="s">
        <v>210</v>
      </c>
      <c r="E491" t="s">
        <v>1028</v>
      </c>
      <c r="F491" s="1" t="s">
        <v>174</v>
      </c>
    </row>
    <row r="492" spans="1:6" x14ac:dyDescent="0.3">
      <c r="A492">
        <v>20655</v>
      </c>
      <c r="B492" t="s">
        <v>1050</v>
      </c>
      <c r="C492" t="s">
        <v>497</v>
      </c>
      <c r="D492" t="s">
        <v>55</v>
      </c>
      <c r="E492" t="s">
        <v>1028</v>
      </c>
      <c r="F492" s="1" t="s">
        <v>174</v>
      </c>
    </row>
    <row r="493" spans="1:6" x14ac:dyDescent="0.3">
      <c r="A493">
        <v>5599</v>
      </c>
      <c r="B493" t="s">
        <v>1051</v>
      </c>
      <c r="C493" t="s">
        <v>907</v>
      </c>
      <c r="D493" t="s">
        <v>211</v>
      </c>
      <c r="E493" t="s">
        <v>1028</v>
      </c>
      <c r="F493" s="1" t="s">
        <v>174</v>
      </c>
    </row>
    <row r="494" spans="1:6" x14ac:dyDescent="0.3">
      <c r="A494">
        <v>5559</v>
      </c>
      <c r="B494" t="s">
        <v>1004</v>
      </c>
      <c r="C494" t="s">
        <v>995</v>
      </c>
      <c r="D494" t="s">
        <v>211</v>
      </c>
      <c r="E494" t="s">
        <v>1028</v>
      </c>
      <c r="F494" s="1" t="s">
        <v>174</v>
      </c>
    </row>
    <row r="495" spans="1:6" x14ac:dyDescent="0.3">
      <c r="A495">
        <v>8393</v>
      </c>
      <c r="B495" t="s">
        <v>1052</v>
      </c>
      <c r="C495" t="s">
        <v>556</v>
      </c>
      <c r="D495" t="s">
        <v>211</v>
      </c>
      <c r="E495" t="s">
        <v>1028</v>
      </c>
      <c r="F495" s="1" t="s">
        <v>174</v>
      </c>
    </row>
    <row r="496" spans="1:6" x14ac:dyDescent="0.3">
      <c r="A496">
        <v>8792</v>
      </c>
      <c r="B496" t="s">
        <v>835</v>
      </c>
      <c r="C496" t="s">
        <v>1053</v>
      </c>
      <c r="D496" t="s">
        <v>57</v>
      </c>
      <c r="E496" t="s">
        <v>1028</v>
      </c>
      <c r="F496" s="1" t="s">
        <v>174</v>
      </c>
    </row>
    <row r="497" spans="1:6" x14ac:dyDescent="0.3">
      <c r="A497">
        <v>9158</v>
      </c>
      <c r="B497" t="s">
        <v>1054</v>
      </c>
      <c r="C497" t="s">
        <v>456</v>
      </c>
      <c r="D497" t="s">
        <v>211</v>
      </c>
      <c r="E497" t="s">
        <v>1028</v>
      </c>
      <c r="F497" s="1" t="s">
        <v>174</v>
      </c>
    </row>
    <row r="498" spans="1:6" x14ac:dyDescent="0.3">
      <c r="A498">
        <v>9824</v>
      </c>
      <c r="B498" t="s">
        <v>378</v>
      </c>
      <c r="C498" t="s">
        <v>655</v>
      </c>
      <c r="D498" t="s">
        <v>211</v>
      </c>
      <c r="E498" t="s">
        <v>1028</v>
      </c>
      <c r="F498" s="1" t="s">
        <v>174</v>
      </c>
    </row>
    <row r="499" spans="1:6" x14ac:dyDescent="0.3">
      <c r="A499">
        <v>11023</v>
      </c>
      <c r="B499" t="s">
        <v>1002</v>
      </c>
      <c r="C499" t="s">
        <v>1055</v>
      </c>
      <c r="D499" t="s">
        <v>209</v>
      </c>
      <c r="E499" t="s">
        <v>1056</v>
      </c>
      <c r="F499" s="1" t="s">
        <v>174</v>
      </c>
    </row>
    <row r="500" spans="1:6" x14ac:dyDescent="0.3">
      <c r="A500">
        <v>12124</v>
      </c>
      <c r="B500" t="s">
        <v>1057</v>
      </c>
      <c r="C500" t="s">
        <v>574</v>
      </c>
      <c r="D500" t="s">
        <v>211</v>
      </c>
      <c r="E500" t="s">
        <v>1056</v>
      </c>
      <c r="F500" s="1" t="s">
        <v>174</v>
      </c>
    </row>
    <row r="501" spans="1:6" x14ac:dyDescent="0.3">
      <c r="A501">
        <v>11866</v>
      </c>
      <c r="B501" t="s">
        <v>988</v>
      </c>
      <c r="C501" t="s">
        <v>297</v>
      </c>
      <c r="D501" t="s">
        <v>175</v>
      </c>
      <c r="E501" t="s">
        <v>1056</v>
      </c>
      <c r="F501" s="1" t="s">
        <v>174</v>
      </c>
    </row>
    <row r="502" spans="1:6" x14ac:dyDescent="0.3">
      <c r="A502">
        <v>13088</v>
      </c>
      <c r="B502" t="s">
        <v>1058</v>
      </c>
      <c r="C502" t="s">
        <v>1059</v>
      </c>
      <c r="D502" t="s">
        <v>210</v>
      </c>
      <c r="E502" t="s">
        <v>1056</v>
      </c>
      <c r="F502" s="1" t="s">
        <v>174</v>
      </c>
    </row>
    <row r="503" spans="1:6" x14ac:dyDescent="0.3">
      <c r="A503">
        <v>13398</v>
      </c>
      <c r="B503" t="s">
        <v>1013</v>
      </c>
      <c r="C503" t="s">
        <v>796</v>
      </c>
      <c r="D503" t="s">
        <v>210</v>
      </c>
      <c r="E503" t="s">
        <v>1056</v>
      </c>
      <c r="F503" s="1" t="s">
        <v>174</v>
      </c>
    </row>
    <row r="504" spans="1:6" x14ac:dyDescent="0.3">
      <c r="A504">
        <v>15220</v>
      </c>
      <c r="B504" t="s">
        <v>1060</v>
      </c>
      <c r="C504" t="s">
        <v>410</v>
      </c>
      <c r="D504" t="s">
        <v>210</v>
      </c>
      <c r="E504" t="s">
        <v>1056</v>
      </c>
      <c r="F504" s="1" t="s">
        <v>174</v>
      </c>
    </row>
    <row r="505" spans="1:6" x14ac:dyDescent="0.3">
      <c r="A505">
        <v>16971</v>
      </c>
      <c r="B505" t="s">
        <v>1061</v>
      </c>
      <c r="C505" t="s">
        <v>1062</v>
      </c>
      <c r="D505" t="s">
        <v>57</v>
      </c>
      <c r="E505" t="s">
        <v>1056</v>
      </c>
      <c r="F505" s="1" t="s">
        <v>174</v>
      </c>
    </row>
    <row r="506" spans="1:6" x14ac:dyDescent="0.3">
      <c r="A506">
        <v>6092</v>
      </c>
      <c r="B506" t="s">
        <v>1063</v>
      </c>
      <c r="C506" t="s">
        <v>297</v>
      </c>
      <c r="D506" t="s">
        <v>211</v>
      </c>
      <c r="E506" t="s">
        <v>1056</v>
      </c>
      <c r="F506" s="1" t="s">
        <v>174</v>
      </c>
    </row>
    <row r="507" spans="1:6" x14ac:dyDescent="0.3">
      <c r="A507">
        <v>4943</v>
      </c>
      <c r="B507" t="s">
        <v>1064</v>
      </c>
      <c r="C507" t="s">
        <v>1065</v>
      </c>
      <c r="D507" t="s">
        <v>55</v>
      </c>
      <c r="E507" t="s">
        <v>1056</v>
      </c>
      <c r="F507" s="1" t="s">
        <v>174</v>
      </c>
    </row>
    <row r="508" spans="1:6" x14ac:dyDescent="0.3">
      <c r="A508">
        <v>6310</v>
      </c>
      <c r="B508" t="s">
        <v>1066</v>
      </c>
      <c r="C508" t="s">
        <v>333</v>
      </c>
      <c r="D508" t="s">
        <v>55</v>
      </c>
      <c r="E508" t="s">
        <v>1056</v>
      </c>
      <c r="F508" s="1" t="s">
        <v>174</v>
      </c>
    </row>
    <row r="509" spans="1:6" x14ac:dyDescent="0.3">
      <c r="A509">
        <v>9062</v>
      </c>
      <c r="B509" t="s">
        <v>1067</v>
      </c>
      <c r="C509" t="s">
        <v>537</v>
      </c>
      <c r="D509" t="s">
        <v>212</v>
      </c>
      <c r="E509" t="s">
        <v>1056</v>
      </c>
      <c r="F509" s="1" t="s">
        <v>174</v>
      </c>
    </row>
    <row r="510" spans="1:6" x14ac:dyDescent="0.3">
      <c r="A510">
        <v>10324</v>
      </c>
      <c r="B510" t="s">
        <v>1068</v>
      </c>
      <c r="C510" t="s">
        <v>674</v>
      </c>
      <c r="D510" t="s">
        <v>57</v>
      </c>
      <c r="E510" t="s">
        <v>1069</v>
      </c>
      <c r="F510" s="1" t="s">
        <v>174</v>
      </c>
    </row>
    <row r="511" spans="1:6" x14ac:dyDescent="0.3">
      <c r="A511">
        <v>16970</v>
      </c>
      <c r="B511" t="s">
        <v>1070</v>
      </c>
      <c r="C511" t="s">
        <v>537</v>
      </c>
      <c r="D511" t="s">
        <v>57</v>
      </c>
      <c r="E511" t="s">
        <v>1069</v>
      </c>
      <c r="F511" s="1" t="s">
        <v>174</v>
      </c>
    </row>
    <row r="512" spans="1:6" x14ac:dyDescent="0.3">
      <c r="A512">
        <v>21383</v>
      </c>
      <c r="B512" t="s">
        <v>1071</v>
      </c>
      <c r="C512" t="s">
        <v>456</v>
      </c>
      <c r="D512" t="s">
        <v>212</v>
      </c>
      <c r="E512" t="s">
        <v>1069</v>
      </c>
      <c r="F512" s="1" t="s">
        <v>174</v>
      </c>
    </row>
    <row r="513" spans="1:6" x14ac:dyDescent="0.3">
      <c r="A513">
        <v>21509</v>
      </c>
      <c r="B513" t="s">
        <v>1072</v>
      </c>
      <c r="C513" t="s">
        <v>278</v>
      </c>
      <c r="D513" t="s">
        <v>210</v>
      </c>
      <c r="E513" t="s">
        <v>1069</v>
      </c>
      <c r="F513" s="1" t="s">
        <v>174</v>
      </c>
    </row>
    <row r="514" spans="1:6" x14ac:dyDescent="0.3">
      <c r="A514">
        <v>22416</v>
      </c>
      <c r="B514" t="s">
        <v>1073</v>
      </c>
      <c r="C514" t="s">
        <v>1074</v>
      </c>
      <c r="D514" t="s">
        <v>50</v>
      </c>
      <c r="E514" t="s">
        <v>1069</v>
      </c>
      <c r="F514" s="1" t="s">
        <v>174</v>
      </c>
    </row>
    <row r="515" spans="1:6" x14ac:dyDescent="0.3">
      <c r="A515">
        <v>22767</v>
      </c>
      <c r="B515" t="s">
        <v>1075</v>
      </c>
      <c r="C515" t="s">
        <v>465</v>
      </c>
      <c r="D515" t="s">
        <v>210</v>
      </c>
      <c r="E515" t="s">
        <v>1069</v>
      </c>
      <c r="F515" s="1" t="s">
        <v>174</v>
      </c>
    </row>
    <row r="516" spans="1:6" x14ac:dyDescent="0.3">
      <c r="A516">
        <v>24367</v>
      </c>
      <c r="B516" t="s">
        <v>1076</v>
      </c>
      <c r="C516" t="s">
        <v>744</v>
      </c>
      <c r="D516" t="s">
        <v>57</v>
      </c>
      <c r="E516" t="s">
        <v>1069</v>
      </c>
      <c r="F516" s="1" t="s">
        <v>174</v>
      </c>
    </row>
    <row r="517" spans="1:6" x14ac:dyDescent="0.3">
      <c r="A517">
        <v>25487</v>
      </c>
      <c r="B517" t="s">
        <v>1077</v>
      </c>
      <c r="C517" t="s">
        <v>1078</v>
      </c>
      <c r="D517" t="s">
        <v>211</v>
      </c>
      <c r="E517" t="s">
        <v>1069</v>
      </c>
      <c r="F517" s="1" t="s">
        <v>174</v>
      </c>
    </row>
    <row r="518" spans="1:6" x14ac:dyDescent="0.3">
      <c r="A518">
        <v>25733</v>
      </c>
      <c r="B518" t="s">
        <v>569</v>
      </c>
      <c r="C518" t="s">
        <v>959</v>
      </c>
      <c r="D518" t="s">
        <v>209</v>
      </c>
      <c r="E518" t="s">
        <v>1069</v>
      </c>
      <c r="F518" s="1" t="s">
        <v>174</v>
      </c>
    </row>
    <row r="519" spans="1:6" x14ac:dyDescent="0.3">
      <c r="A519">
        <v>26197</v>
      </c>
      <c r="B519" t="s">
        <v>1079</v>
      </c>
      <c r="C519" t="s">
        <v>1080</v>
      </c>
      <c r="D519" t="s">
        <v>50</v>
      </c>
      <c r="E519" t="s">
        <v>1069</v>
      </c>
      <c r="F519" s="1" t="s">
        <v>174</v>
      </c>
    </row>
    <row r="520" spans="1:6" x14ac:dyDescent="0.3">
      <c r="A520">
        <v>26266</v>
      </c>
      <c r="B520" t="s">
        <v>630</v>
      </c>
      <c r="C520" t="s">
        <v>1081</v>
      </c>
      <c r="D520" t="s">
        <v>209</v>
      </c>
      <c r="E520" t="s">
        <v>1069</v>
      </c>
      <c r="F520" s="1" t="s">
        <v>174</v>
      </c>
    </row>
    <row r="521" spans="1:6" x14ac:dyDescent="0.3">
      <c r="A521">
        <v>19086</v>
      </c>
      <c r="B521" t="s">
        <v>598</v>
      </c>
      <c r="C521" t="s">
        <v>924</v>
      </c>
      <c r="D521" t="s">
        <v>211</v>
      </c>
      <c r="E521" t="s">
        <v>1082</v>
      </c>
      <c r="F521" s="1" t="s">
        <v>174</v>
      </c>
    </row>
    <row r="522" spans="1:6" x14ac:dyDescent="0.3">
      <c r="A522">
        <v>19676</v>
      </c>
      <c r="B522" t="s">
        <v>1083</v>
      </c>
      <c r="C522" t="s">
        <v>862</v>
      </c>
      <c r="D522" t="s">
        <v>211</v>
      </c>
      <c r="E522" t="s">
        <v>1082</v>
      </c>
      <c r="F522" s="1" t="s">
        <v>174</v>
      </c>
    </row>
    <row r="523" spans="1:6" x14ac:dyDescent="0.3">
      <c r="A523">
        <v>19848</v>
      </c>
      <c r="B523" t="s">
        <v>1084</v>
      </c>
      <c r="C523" t="s">
        <v>264</v>
      </c>
      <c r="D523" t="s">
        <v>211</v>
      </c>
      <c r="E523" t="s">
        <v>1082</v>
      </c>
      <c r="F523" s="1" t="s">
        <v>174</v>
      </c>
    </row>
    <row r="524" spans="1:6" x14ac:dyDescent="0.3">
      <c r="A524">
        <v>20610</v>
      </c>
      <c r="B524" t="s">
        <v>1085</v>
      </c>
      <c r="C524" t="s">
        <v>539</v>
      </c>
      <c r="D524" t="s">
        <v>211</v>
      </c>
      <c r="E524" t="s">
        <v>1082</v>
      </c>
      <c r="F524" s="1" t="s">
        <v>174</v>
      </c>
    </row>
    <row r="525" spans="1:6" x14ac:dyDescent="0.3">
      <c r="A525">
        <v>21845</v>
      </c>
      <c r="B525" t="s">
        <v>348</v>
      </c>
      <c r="C525" t="s">
        <v>1086</v>
      </c>
      <c r="D525" t="s">
        <v>211</v>
      </c>
      <c r="E525" t="s">
        <v>1082</v>
      </c>
      <c r="F525" s="1" t="s">
        <v>174</v>
      </c>
    </row>
    <row r="526" spans="1:6" x14ac:dyDescent="0.3">
      <c r="A526">
        <v>24155</v>
      </c>
      <c r="B526" t="s">
        <v>1087</v>
      </c>
      <c r="C526" t="s">
        <v>1035</v>
      </c>
      <c r="D526" t="s">
        <v>209</v>
      </c>
      <c r="E526" t="s">
        <v>1082</v>
      </c>
      <c r="F526" s="1" t="s">
        <v>174</v>
      </c>
    </row>
    <row r="527" spans="1:6" x14ac:dyDescent="0.3">
      <c r="A527">
        <v>25234</v>
      </c>
      <c r="B527" t="s">
        <v>1088</v>
      </c>
      <c r="C527" t="s">
        <v>480</v>
      </c>
      <c r="D527" t="s">
        <v>212</v>
      </c>
      <c r="E527" t="s">
        <v>1082</v>
      </c>
      <c r="F527" s="1" t="s">
        <v>174</v>
      </c>
    </row>
    <row r="528" spans="1:6" x14ac:dyDescent="0.3">
      <c r="A528">
        <v>25680</v>
      </c>
      <c r="B528" t="s">
        <v>1089</v>
      </c>
      <c r="C528" t="s">
        <v>1090</v>
      </c>
      <c r="D528" t="s">
        <v>212</v>
      </c>
      <c r="E528" t="s">
        <v>1082</v>
      </c>
      <c r="F528" s="1" t="s">
        <v>174</v>
      </c>
    </row>
    <row r="529" spans="1:6" x14ac:dyDescent="0.3">
      <c r="A529">
        <v>26137</v>
      </c>
      <c r="B529" t="s">
        <v>1091</v>
      </c>
      <c r="C529" t="s">
        <v>1092</v>
      </c>
      <c r="D529" t="s">
        <v>211</v>
      </c>
      <c r="E529" t="s">
        <v>1082</v>
      </c>
      <c r="F529" s="1" t="s">
        <v>174</v>
      </c>
    </row>
    <row r="530" spans="1:6" x14ac:dyDescent="0.3">
      <c r="A530">
        <v>26847</v>
      </c>
      <c r="B530" t="s">
        <v>1093</v>
      </c>
      <c r="C530" t="s">
        <v>317</v>
      </c>
      <c r="D530" t="s">
        <v>57</v>
      </c>
      <c r="E530" t="s">
        <v>1082</v>
      </c>
      <c r="F530" s="1" t="s">
        <v>174</v>
      </c>
    </row>
    <row r="531" spans="1:6" x14ac:dyDescent="0.3">
      <c r="A531">
        <v>26521</v>
      </c>
      <c r="B531" t="s">
        <v>1094</v>
      </c>
      <c r="C531" t="s">
        <v>1095</v>
      </c>
      <c r="D531" t="s">
        <v>209</v>
      </c>
      <c r="E531" t="s">
        <v>1082</v>
      </c>
      <c r="F531" s="1" t="s">
        <v>174</v>
      </c>
    </row>
    <row r="532" spans="1:6" x14ac:dyDescent="0.3">
      <c r="A532">
        <v>27577</v>
      </c>
      <c r="B532" t="s">
        <v>1093</v>
      </c>
      <c r="C532" t="s">
        <v>465</v>
      </c>
      <c r="D532" t="s">
        <v>50</v>
      </c>
      <c r="E532" t="s">
        <v>1082</v>
      </c>
      <c r="F532" s="1" t="s">
        <v>174</v>
      </c>
    </row>
    <row r="533" spans="1:6" x14ac:dyDescent="0.3">
      <c r="A533">
        <v>27607</v>
      </c>
      <c r="B533" t="s">
        <v>1096</v>
      </c>
      <c r="C533" t="s">
        <v>1097</v>
      </c>
      <c r="D533" t="s">
        <v>212</v>
      </c>
      <c r="E533" t="s">
        <v>1082</v>
      </c>
      <c r="F533" s="1" t="s">
        <v>174</v>
      </c>
    </row>
    <row r="534" spans="1:6" x14ac:dyDescent="0.3">
      <c r="A534">
        <v>27673</v>
      </c>
      <c r="B534" t="s">
        <v>1098</v>
      </c>
      <c r="C534" t="s">
        <v>1035</v>
      </c>
      <c r="D534" t="s">
        <v>50</v>
      </c>
      <c r="E534" t="s">
        <v>1082</v>
      </c>
      <c r="F534" s="1" t="s">
        <v>174</v>
      </c>
    </row>
    <row r="535" spans="1:6" x14ac:dyDescent="0.3">
      <c r="A535">
        <v>27713</v>
      </c>
      <c r="B535" t="s">
        <v>1099</v>
      </c>
      <c r="C535" t="s">
        <v>543</v>
      </c>
      <c r="D535" t="s">
        <v>55</v>
      </c>
      <c r="E535" t="s">
        <v>1082</v>
      </c>
      <c r="F535" s="1" t="s">
        <v>174</v>
      </c>
    </row>
    <row r="536" spans="1:6" x14ac:dyDescent="0.3">
      <c r="A536">
        <v>27786</v>
      </c>
      <c r="B536" t="s">
        <v>1100</v>
      </c>
      <c r="C536" t="s">
        <v>1101</v>
      </c>
      <c r="D536" t="s">
        <v>55</v>
      </c>
      <c r="E536" t="s">
        <v>1082</v>
      </c>
      <c r="F536" s="1" t="s">
        <v>174</v>
      </c>
    </row>
    <row r="537" spans="1:6" x14ac:dyDescent="0.3">
      <c r="A537">
        <v>27865</v>
      </c>
      <c r="B537" t="s">
        <v>1102</v>
      </c>
      <c r="C537" t="s">
        <v>1103</v>
      </c>
      <c r="D537" t="s">
        <v>55</v>
      </c>
      <c r="E537" t="s">
        <v>1082</v>
      </c>
      <c r="F537" s="1" t="s">
        <v>174</v>
      </c>
    </row>
    <row r="538" spans="1:6" x14ac:dyDescent="0.3">
      <c r="A538">
        <v>30119</v>
      </c>
      <c r="B538" t="s">
        <v>1104</v>
      </c>
      <c r="C538" t="s">
        <v>574</v>
      </c>
      <c r="D538" t="s">
        <v>210</v>
      </c>
      <c r="E538" t="s">
        <v>1082</v>
      </c>
      <c r="F538" s="1" t="s">
        <v>174</v>
      </c>
    </row>
    <row r="539" spans="1:6" x14ac:dyDescent="0.3">
      <c r="A539">
        <v>30292</v>
      </c>
      <c r="B539" t="s">
        <v>1105</v>
      </c>
      <c r="C539" t="s">
        <v>1106</v>
      </c>
      <c r="D539" t="s">
        <v>210</v>
      </c>
      <c r="E539" t="s">
        <v>1082</v>
      </c>
      <c r="F539" s="1" t="s">
        <v>174</v>
      </c>
    </row>
    <row r="540" spans="1:6" x14ac:dyDescent="0.3">
      <c r="A540">
        <v>31601</v>
      </c>
      <c r="B540" t="s">
        <v>653</v>
      </c>
      <c r="C540" t="s">
        <v>1107</v>
      </c>
      <c r="D540" t="s">
        <v>210</v>
      </c>
      <c r="E540" t="s">
        <v>1082</v>
      </c>
      <c r="F540" s="1" t="s">
        <v>174</v>
      </c>
    </row>
    <row r="541" spans="1:6" x14ac:dyDescent="0.3">
      <c r="A541">
        <v>32002</v>
      </c>
      <c r="B541" t="s">
        <v>1108</v>
      </c>
      <c r="C541" t="s">
        <v>1109</v>
      </c>
      <c r="D541" t="s">
        <v>211</v>
      </c>
      <c r="E541" t="s">
        <v>1082</v>
      </c>
      <c r="F541" s="1" t="s">
        <v>174</v>
      </c>
    </row>
    <row r="542" spans="1:6" x14ac:dyDescent="0.3">
      <c r="A542">
        <v>32620</v>
      </c>
      <c r="B542" t="s">
        <v>1110</v>
      </c>
      <c r="C542" t="s">
        <v>1111</v>
      </c>
      <c r="D542" t="s">
        <v>209</v>
      </c>
      <c r="E542" t="s">
        <v>1082</v>
      </c>
      <c r="F542" s="1" t="s">
        <v>174</v>
      </c>
    </row>
    <row r="543" spans="1:6" x14ac:dyDescent="0.3">
      <c r="A543">
        <v>34328</v>
      </c>
      <c r="B543" t="s">
        <v>1112</v>
      </c>
      <c r="C543" t="s">
        <v>1062</v>
      </c>
      <c r="D543" t="s">
        <v>212</v>
      </c>
      <c r="E543" t="s">
        <v>1082</v>
      </c>
      <c r="F543" s="1" t="s">
        <v>174</v>
      </c>
    </row>
    <row r="544" spans="1:6" x14ac:dyDescent="0.3">
      <c r="A544">
        <v>9979</v>
      </c>
      <c r="B544" t="s">
        <v>1113</v>
      </c>
      <c r="C544" t="s">
        <v>674</v>
      </c>
      <c r="D544" t="s">
        <v>57</v>
      </c>
      <c r="E544" t="s">
        <v>1082</v>
      </c>
      <c r="F544" s="1" t="s">
        <v>174</v>
      </c>
    </row>
    <row r="545" spans="1:6" x14ac:dyDescent="0.3">
      <c r="A545">
        <v>31659</v>
      </c>
      <c r="B545" t="s">
        <v>1114</v>
      </c>
      <c r="C545" t="s">
        <v>984</v>
      </c>
      <c r="D545" t="s">
        <v>57</v>
      </c>
      <c r="E545" t="s">
        <v>1115</v>
      </c>
      <c r="F545" s="1" t="s">
        <v>174</v>
      </c>
    </row>
    <row r="546" spans="1:6" x14ac:dyDescent="0.3">
      <c r="A546">
        <v>33049</v>
      </c>
      <c r="B546" t="s">
        <v>1116</v>
      </c>
      <c r="C546" t="s">
        <v>260</v>
      </c>
      <c r="D546" t="s">
        <v>212</v>
      </c>
      <c r="E546" t="s">
        <v>1115</v>
      </c>
      <c r="F546" s="1" t="s">
        <v>174</v>
      </c>
    </row>
    <row r="547" spans="1:6" x14ac:dyDescent="0.3">
      <c r="A547">
        <v>33400</v>
      </c>
      <c r="B547" t="s">
        <v>1117</v>
      </c>
      <c r="C547" t="s">
        <v>989</v>
      </c>
      <c r="D547" t="s">
        <v>50</v>
      </c>
      <c r="E547" t="s">
        <v>1115</v>
      </c>
      <c r="F547" s="1" t="s">
        <v>174</v>
      </c>
    </row>
    <row r="548" spans="1:6" x14ac:dyDescent="0.3">
      <c r="A548">
        <v>33982</v>
      </c>
      <c r="B548" t="s">
        <v>1118</v>
      </c>
      <c r="C548" t="s">
        <v>1119</v>
      </c>
      <c r="D548" t="s">
        <v>55</v>
      </c>
      <c r="E548" t="s">
        <v>1115</v>
      </c>
      <c r="F548" s="1" t="s">
        <v>174</v>
      </c>
    </row>
    <row r="549" spans="1:6" x14ac:dyDescent="0.3">
      <c r="A549">
        <v>34445</v>
      </c>
      <c r="B549" t="s">
        <v>1120</v>
      </c>
      <c r="C549" t="s">
        <v>1121</v>
      </c>
      <c r="D549" t="s">
        <v>210</v>
      </c>
      <c r="E549" t="s">
        <v>1115</v>
      </c>
      <c r="F549" s="1" t="s">
        <v>174</v>
      </c>
    </row>
    <row r="550" spans="1:6" x14ac:dyDescent="0.3">
      <c r="A550">
        <v>35395</v>
      </c>
      <c r="B550" t="s">
        <v>1122</v>
      </c>
      <c r="C550" t="s">
        <v>1123</v>
      </c>
      <c r="D550" t="s">
        <v>211</v>
      </c>
      <c r="E550" t="s">
        <v>1115</v>
      </c>
      <c r="F550" s="1" t="s">
        <v>174</v>
      </c>
    </row>
    <row r="551" spans="1:6" x14ac:dyDescent="0.3">
      <c r="A551">
        <v>36154</v>
      </c>
      <c r="B551" t="s">
        <v>475</v>
      </c>
      <c r="C551" t="s">
        <v>730</v>
      </c>
      <c r="D551" t="s">
        <v>175</v>
      </c>
      <c r="E551" t="s">
        <v>1115</v>
      </c>
      <c r="F551" s="1" t="s">
        <v>174</v>
      </c>
    </row>
    <row r="552" spans="1:6" x14ac:dyDescent="0.3">
      <c r="A552">
        <v>36559</v>
      </c>
      <c r="B552" t="s">
        <v>1124</v>
      </c>
      <c r="C552" t="s">
        <v>556</v>
      </c>
      <c r="D552" t="s">
        <v>212</v>
      </c>
      <c r="E552" t="s">
        <v>1115</v>
      </c>
      <c r="F552" s="1" t="s">
        <v>174</v>
      </c>
    </row>
    <row r="553" spans="1:6" x14ac:dyDescent="0.3">
      <c r="A553">
        <v>36337</v>
      </c>
      <c r="B553" t="s">
        <v>1125</v>
      </c>
      <c r="C553" t="s">
        <v>361</v>
      </c>
      <c r="D553" t="s">
        <v>212</v>
      </c>
      <c r="E553" t="s">
        <v>1115</v>
      </c>
      <c r="F553" s="1" t="s">
        <v>174</v>
      </c>
    </row>
    <row r="554" spans="1:6" x14ac:dyDescent="0.3">
      <c r="A554">
        <v>39529</v>
      </c>
      <c r="B554" t="s">
        <v>1126</v>
      </c>
      <c r="C554" t="s">
        <v>1127</v>
      </c>
      <c r="D554" t="s">
        <v>50</v>
      </c>
      <c r="E554" t="s">
        <v>1115</v>
      </c>
      <c r="F554" s="1" t="s">
        <v>174</v>
      </c>
    </row>
    <row r="555" spans="1:6" x14ac:dyDescent="0.3">
      <c r="A555">
        <v>10782</v>
      </c>
      <c r="B555" t="s">
        <v>1128</v>
      </c>
      <c r="C555" t="s">
        <v>1129</v>
      </c>
      <c r="D555" t="s">
        <v>212</v>
      </c>
      <c r="E555" t="s">
        <v>1130</v>
      </c>
      <c r="F555" s="1" t="s">
        <v>174</v>
      </c>
    </row>
    <row r="556" spans="1:6" x14ac:dyDescent="0.3">
      <c r="A556">
        <v>12514</v>
      </c>
      <c r="B556" t="s">
        <v>608</v>
      </c>
      <c r="C556" t="s">
        <v>984</v>
      </c>
      <c r="D556" t="s">
        <v>175</v>
      </c>
      <c r="E556" t="s">
        <v>1130</v>
      </c>
      <c r="F556" s="1" t="s">
        <v>174</v>
      </c>
    </row>
    <row r="557" spans="1:6" x14ac:dyDescent="0.3">
      <c r="A557">
        <v>14425</v>
      </c>
      <c r="B557" t="s">
        <v>602</v>
      </c>
      <c r="C557" t="s">
        <v>1131</v>
      </c>
      <c r="D557" t="s">
        <v>57</v>
      </c>
      <c r="E557" t="s">
        <v>1130</v>
      </c>
      <c r="F557" s="1" t="s">
        <v>174</v>
      </c>
    </row>
    <row r="558" spans="1:6" x14ac:dyDescent="0.3">
      <c r="A558">
        <v>16280</v>
      </c>
      <c r="B558" t="s">
        <v>1132</v>
      </c>
      <c r="C558" t="s">
        <v>1133</v>
      </c>
      <c r="D558" t="s">
        <v>175</v>
      </c>
      <c r="E558" t="s">
        <v>1130</v>
      </c>
      <c r="F558" s="1" t="s">
        <v>174</v>
      </c>
    </row>
    <row r="559" spans="1:6" x14ac:dyDescent="0.3">
      <c r="A559">
        <v>21429</v>
      </c>
      <c r="B559" t="s">
        <v>1134</v>
      </c>
      <c r="C559" t="s">
        <v>742</v>
      </c>
      <c r="D559" t="s">
        <v>211</v>
      </c>
      <c r="E559" t="s">
        <v>1130</v>
      </c>
      <c r="F559" s="1" t="s">
        <v>174</v>
      </c>
    </row>
    <row r="560" spans="1:6" x14ac:dyDescent="0.3">
      <c r="A560">
        <v>21809</v>
      </c>
      <c r="B560" t="s">
        <v>1060</v>
      </c>
      <c r="C560" t="s">
        <v>1135</v>
      </c>
      <c r="D560" t="s">
        <v>55</v>
      </c>
      <c r="E560" t="s">
        <v>1130</v>
      </c>
      <c r="F560" s="1" t="s">
        <v>174</v>
      </c>
    </row>
    <row r="561" spans="1:6" x14ac:dyDescent="0.3">
      <c r="A561">
        <v>27711</v>
      </c>
      <c r="B561" t="s">
        <v>1136</v>
      </c>
      <c r="C561" t="s">
        <v>317</v>
      </c>
      <c r="D561" t="s">
        <v>50</v>
      </c>
      <c r="E561" t="s">
        <v>1130</v>
      </c>
      <c r="F561" s="1" t="s">
        <v>174</v>
      </c>
    </row>
    <row r="562" spans="1:6" x14ac:dyDescent="0.3">
      <c r="A562">
        <v>29821</v>
      </c>
      <c r="B562" t="s">
        <v>1137</v>
      </c>
      <c r="C562" t="s">
        <v>1138</v>
      </c>
      <c r="D562" t="s">
        <v>210</v>
      </c>
      <c r="E562" t="s">
        <v>1130</v>
      </c>
      <c r="F562" s="1" t="s">
        <v>174</v>
      </c>
    </row>
    <row r="563" spans="1:6" x14ac:dyDescent="0.3">
      <c r="A563">
        <v>32542</v>
      </c>
      <c r="B563" t="s">
        <v>1139</v>
      </c>
      <c r="C563" t="s">
        <v>599</v>
      </c>
      <c r="D563" t="s">
        <v>210</v>
      </c>
      <c r="E563" t="s">
        <v>1130</v>
      </c>
      <c r="F563" s="1" t="s">
        <v>174</v>
      </c>
    </row>
    <row r="564" spans="1:6" x14ac:dyDescent="0.3">
      <c r="A564">
        <v>7748</v>
      </c>
      <c r="B564" t="s">
        <v>1140</v>
      </c>
      <c r="C564" t="s">
        <v>1141</v>
      </c>
      <c r="D564" t="s">
        <v>175</v>
      </c>
      <c r="E564" t="s">
        <v>1130</v>
      </c>
      <c r="F564" s="1" t="s">
        <v>174</v>
      </c>
    </row>
    <row r="565" spans="1:6" x14ac:dyDescent="0.3">
      <c r="A565">
        <v>11213</v>
      </c>
      <c r="B565" t="s">
        <v>1142</v>
      </c>
      <c r="C565" t="s">
        <v>1143</v>
      </c>
      <c r="D565" t="s">
        <v>57</v>
      </c>
      <c r="E565" t="s">
        <v>1144</v>
      </c>
      <c r="F565" s="1" t="s">
        <v>174</v>
      </c>
    </row>
    <row r="566" spans="1:6" x14ac:dyDescent="0.3">
      <c r="A566">
        <v>11120</v>
      </c>
      <c r="B566" t="s">
        <v>1145</v>
      </c>
      <c r="C566" t="s">
        <v>1146</v>
      </c>
      <c r="D566" t="s">
        <v>175</v>
      </c>
      <c r="E566" t="s">
        <v>1144</v>
      </c>
      <c r="F566" s="1" t="s">
        <v>174</v>
      </c>
    </row>
    <row r="567" spans="1:6" x14ac:dyDescent="0.3">
      <c r="A567">
        <v>14070</v>
      </c>
      <c r="B567" t="s">
        <v>1147</v>
      </c>
      <c r="C567" t="s">
        <v>1148</v>
      </c>
      <c r="D567" t="s">
        <v>55</v>
      </c>
      <c r="E567" t="s">
        <v>1144</v>
      </c>
      <c r="F567" s="1" t="s">
        <v>174</v>
      </c>
    </row>
    <row r="568" spans="1:6" x14ac:dyDescent="0.3">
      <c r="A568">
        <v>14261</v>
      </c>
      <c r="B568" t="s">
        <v>602</v>
      </c>
      <c r="C568" t="s">
        <v>1149</v>
      </c>
      <c r="D568" t="s">
        <v>209</v>
      </c>
      <c r="E568" t="s">
        <v>1144</v>
      </c>
      <c r="F568" s="1" t="s">
        <v>174</v>
      </c>
    </row>
    <row r="569" spans="1:6" x14ac:dyDescent="0.3">
      <c r="A569">
        <v>14667</v>
      </c>
      <c r="B569" t="s">
        <v>1150</v>
      </c>
      <c r="C569" t="s">
        <v>1151</v>
      </c>
      <c r="D569" t="s">
        <v>55</v>
      </c>
      <c r="E569" t="s">
        <v>1144</v>
      </c>
      <c r="F569" s="1" t="s">
        <v>174</v>
      </c>
    </row>
    <row r="570" spans="1:6" x14ac:dyDescent="0.3">
      <c r="A570">
        <v>16279</v>
      </c>
      <c r="B570" t="s">
        <v>1152</v>
      </c>
      <c r="C570" t="s">
        <v>989</v>
      </c>
      <c r="D570" t="s">
        <v>210</v>
      </c>
      <c r="E570" t="s">
        <v>1144</v>
      </c>
      <c r="F570" s="1" t="s">
        <v>174</v>
      </c>
    </row>
    <row r="571" spans="1:6" x14ac:dyDescent="0.3">
      <c r="A571">
        <v>19810</v>
      </c>
      <c r="B571" t="s">
        <v>1153</v>
      </c>
      <c r="C571" t="s">
        <v>1154</v>
      </c>
      <c r="D571" t="s">
        <v>210</v>
      </c>
      <c r="E571" t="s">
        <v>1144</v>
      </c>
      <c r="F571" s="1" t="s">
        <v>174</v>
      </c>
    </row>
    <row r="572" spans="1:6" x14ac:dyDescent="0.3">
      <c r="A572">
        <v>5813</v>
      </c>
      <c r="B572" t="s">
        <v>1155</v>
      </c>
      <c r="C572" t="s">
        <v>1148</v>
      </c>
      <c r="D572" t="s">
        <v>175</v>
      </c>
      <c r="E572" t="s">
        <v>1144</v>
      </c>
      <c r="F572" s="1" t="s">
        <v>174</v>
      </c>
    </row>
    <row r="573" spans="1:6" x14ac:dyDescent="0.3">
      <c r="A573">
        <v>5063</v>
      </c>
      <c r="B573" t="s">
        <v>1156</v>
      </c>
      <c r="C573" t="s">
        <v>543</v>
      </c>
      <c r="D573" t="s">
        <v>175</v>
      </c>
      <c r="E573" t="s">
        <v>1144</v>
      </c>
      <c r="F573" s="1" t="s">
        <v>174</v>
      </c>
    </row>
    <row r="574" spans="1:6" x14ac:dyDescent="0.3">
      <c r="A574">
        <v>8016</v>
      </c>
      <c r="B574" t="s">
        <v>1157</v>
      </c>
      <c r="C574" t="s">
        <v>1092</v>
      </c>
      <c r="D574" t="s">
        <v>210</v>
      </c>
      <c r="E574" t="s">
        <v>1144</v>
      </c>
      <c r="F574" s="1" t="s">
        <v>174</v>
      </c>
    </row>
    <row r="575" spans="1:6" x14ac:dyDescent="0.3">
      <c r="A575">
        <v>9065</v>
      </c>
      <c r="B575" t="s">
        <v>1158</v>
      </c>
      <c r="C575" t="s">
        <v>582</v>
      </c>
      <c r="D575" t="s">
        <v>209</v>
      </c>
      <c r="E575" t="s">
        <v>1144</v>
      </c>
      <c r="F575" s="1" t="s">
        <v>174</v>
      </c>
    </row>
    <row r="576" spans="1:6" x14ac:dyDescent="0.3">
      <c r="A576">
        <v>9667</v>
      </c>
      <c r="B576" t="s">
        <v>1159</v>
      </c>
      <c r="C576" t="s">
        <v>1160</v>
      </c>
      <c r="D576" t="s">
        <v>212</v>
      </c>
      <c r="E576" t="s">
        <v>1144</v>
      </c>
      <c r="F576" s="1" t="s">
        <v>174</v>
      </c>
    </row>
    <row r="577" spans="1:6" x14ac:dyDescent="0.3">
      <c r="A577">
        <v>14021</v>
      </c>
      <c r="B577" t="s">
        <v>1161</v>
      </c>
      <c r="C577" t="s">
        <v>671</v>
      </c>
      <c r="D577" t="s">
        <v>211</v>
      </c>
      <c r="E577" t="s">
        <v>1162</v>
      </c>
      <c r="F577" s="1" t="s">
        <v>174</v>
      </c>
    </row>
    <row r="578" spans="1:6" x14ac:dyDescent="0.3">
      <c r="A578">
        <v>16899</v>
      </c>
      <c r="B578" t="s">
        <v>1163</v>
      </c>
      <c r="C578" t="s">
        <v>987</v>
      </c>
      <c r="D578" t="s">
        <v>211</v>
      </c>
      <c r="E578" t="s">
        <v>1162</v>
      </c>
      <c r="F578" s="1" t="s">
        <v>174</v>
      </c>
    </row>
    <row r="579" spans="1:6" x14ac:dyDescent="0.3">
      <c r="A579">
        <v>16895</v>
      </c>
      <c r="B579" t="s">
        <v>1164</v>
      </c>
      <c r="C579" t="s">
        <v>416</v>
      </c>
      <c r="D579" t="s">
        <v>57</v>
      </c>
      <c r="E579" t="s">
        <v>1162</v>
      </c>
      <c r="F579" s="1" t="s">
        <v>174</v>
      </c>
    </row>
    <row r="580" spans="1:6" x14ac:dyDescent="0.3">
      <c r="A580">
        <v>17931</v>
      </c>
      <c r="B580" t="s">
        <v>1165</v>
      </c>
      <c r="C580" t="s">
        <v>1166</v>
      </c>
      <c r="D580" t="s">
        <v>55</v>
      </c>
      <c r="E580" t="s">
        <v>1162</v>
      </c>
      <c r="F580" s="1" t="s">
        <v>174</v>
      </c>
    </row>
    <row r="581" spans="1:6" x14ac:dyDescent="0.3">
      <c r="A581">
        <v>20543</v>
      </c>
      <c r="B581" t="s">
        <v>1167</v>
      </c>
      <c r="C581" t="s">
        <v>1168</v>
      </c>
      <c r="D581" t="s">
        <v>212</v>
      </c>
      <c r="E581" t="s">
        <v>1162</v>
      </c>
      <c r="F581" s="1" t="s">
        <v>174</v>
      </c>
    </row>
    <row r="582" spans="1:6" x14ac:dyDescent="0.3">
      <c r="A582">
        <v>20612</v>
      </c>
      <c r="B582" t="s">
        <v>623</v>
      </c>
      <c r="C582" t="s">
        <v>556</v>
      </c>
      <c r="D582" t="s">
        <v>211</v>
      </c>
      <c r="E582" t="s">
        <v>1162</v>
      </c>
      <c r="F582" s="1" t="s">
        <v>174</v>
      </c>
    </row>
    <row r="583" spans="1:6" x14ac:dyDescent="0.3">
      <c r="A583">
        <v>20653</v>
      </c>
      <c r="B583" t="s">
        <v>1169</v>
      </c>
      <c r="C583" t="s">
        <v>1170</v>
      </c>
      <c r="D583" t="s">
        <v>57</v>
      </c>
      <c r="E583" t="s">
        <v>1162</v>
      </c>
      <c r="F583" s="1" t="s">
        <v>174</v>
      </c>
    </row>
    <row r="584" spans="1:6" x14ac:dyDescent="0.3">
      <c r="A584">
        <v>21121</v>
      </c>
      <c r="B584" t="s">
        <v>1171</v>
      </c>
      <c r="C584" t="s">
        <v>930</v>
      </c>
      <c r="D584" t="s">
        <v>212</v>
      </c>
      <c r="E584" t="s">
        <v>1162</v>
      </c>
      <c r="F584" s="1" t="s">
        <v>174</v>
      </c>
    </row>
    <row r="585" spans="1:6" x14ac:dyDescent="0.3">
      <c r="A585">
        <v>20954</v>
      </c>
      <c r="B585" t="s">
        <v>1172</v>
      </c>
      <c r="C585" t="s">
        <v>1081</v>
      </c>
      <c r="D585" t="s">
        <v>55</v>
      </c>
      <c r="E585" t="s">
        <v>1162</v>
      </c>
      <c r="F585" s="1" t="s">
        <v>174</v>
      </c>
    </row>
    <row r="586" spans="1:6" x14ac:dyDescent="0.3">
      <c r="A586">
        <v>21160</v>
      </c>
      <c r="B586" t="s">
        <v>1173</v>
      </c>
      <c r="C586" t="s">
        <v>1174</v>
      </c>
      <c r="D586" t="s">
        <v>211</v>
      </c>
      <c r="E586" t="s">
        <v>1162</v>
      </c>
      <c r="F586" s="1" t="s">
        <v>174</v>
      </c>
    </row>
    <row r="587" spans="1:6" x14ac:dyDescent="0.3">
      <c r="A587">
        <v>21382</v>
      </c>
      <c r="B587" t="s">
        <v>1175</v>
      </c>
      <c r="C587" t="s">
        <v>559</v>
      </c>
      <c r="D587" t="s">
        <v>55</v>
      </c>
      <c r="E587" t="s">
        <v>1162</v>
      </c>
      <c r="F587" s="1" t="s">
        <v>174</v>
      </c>
    </row>
    <row r="588" spans="1:6" x14ac:dyDescent="0.3">
      <c r="A588">
        <v>21892</v>
      </c>
      <c r="B588" t="s">
        <v>1176</v>
      </c>
      <c r="C588" t="s">
        <v>299</v>
      </c>
      <c r="D588" t="s">
        <v>211</v>
      </c>
      <c r="E588" t="s">
        <v>1162</v>
      </c>
      <c r="F588" s="1" t="s">
        <v>174</v>
      </c>
    </row>
    <row r="589" spans="1:6" x14ac:dyDescent="0.3">
      <c r="A589">
        <v>21506</v>
      </c>
      <c r="B589" t="s">
        <v>1177</v>
      </c>
      <c r="C589" t="s">
        <v>264</v>
      </c>
      <c r="D589" t="s">
        <v>211</v>
      </c>
      <c r="E589" t="s">
        <v>1162</v>
      </c>
      <c r="F589" s="1" t="s">
        <v>174</v>
      </c>
    </row>
    <row r="590" spans="1:6" x14ac:dyDescent="0.3">
      <c r="A590">
        <v>21662</v>
      </c>
      <c r="B590" t="s">
        <v>1178</v>
      </c>
      <c r="C590" t="s">
        <v>1179</v>
      </c>
      <c r="D590" t="s">
        <v>55</v>
      </c>
      <c r="E590" t="s">
        <v>1162</v>
      </c>
      <c r="F590" s="1" t="s">
        <v>174</v>
      </c>
    </row>
    <row r="591" spans="1:6" x14ac:dyDescent="0.3">
      <c r="A591">
        <v>22240</v>
      </c>
      <c r="B591" t="s">
        <v>1180</v>
      </c>
      <c r="C591" t="s">
        <v>1181</v>
      </c>
      <c r="D591" t="s">
        <v>55</v>
      </c>
      <c r="E591" t="s">
        <v>1162</v>
      </c>
      <c r="F591" s="1" t="s">
        <v>174</v>
      </c>
    </row>
    <row r="592" spans="1:6" x14ac:dyDescent="0.3">
      <c r="A592">
        <v>22296</v>
      </c>
      <c r="B592" t="s">
        <v>1182</v>
      </c>
      <c r="C592" t="s">
        <v>1183</v>
      </c>
      <c r="D592" t="s">
        <v>55</v>
      </c>
      <c r="E592" t="s">
        <v>1162</v>
      </c>
      <c r="F592" s="1" t="s">
        <v>174</v>
      </c>
    </row>
    <row r="593" spans="1:6" x14ac:dyDescent="0.3">
      <c r="A593">
        <v>23326</v>
      </c>
      <c r="B593" t="s">
        <v>1184</v>
      </c>
      <c r="C593" t="s">
        <v>1185</v>
      </c>
      <c r="D593" t="s">
        <v>210</v>
      </c>
      <c r="E593" t="s">
        <v>1162</v>
      </c>
      <c r="F593" s="1" t="s">
        <v>174</v>
      </c>
    </row>
    <row r="594" spans="1:6" x14ac:dyDescent="0.3">
      <c r="A594">
        <v>23791</v>
      </c>
      <c r="B594" t="s">
        <v>1186</v>
      </c>
      <c r="C594" t="s">
        <v>1187</v>
      </c>
      <c r="D594" t="s">
        <v>210</v>
      </c>
      <c r="E594" t="s">
        <v>1162</v>
      </c>
      <c r="F594" s="1" t="s">
        <v>174</v>
      </c>
    </row>
    <row r="595" spans="1:6" x14ac:dyDescent="0.3">
      <c r="A595">
        <v>23818</v>
      </c>
      <c r="B595" t="s">
        <v>1188</v>
      </c>
      <c r="C595" t="s">
        <v>913</v>
      </c>
      <c r="D595" t="s">
        <v>210</v>
      </c>
      <c r="E595" t="s">
        <v>1162</v>
      </c>
      <c r="F595" s="1" t="s">
        <v>174</v>
      </c>
    </row>
    <row r="596" spans="1:6" x14ac:dyDescent="0.3">
      <c r="A596">
        <v>23924</v>
      </c>
      <c r="B596" t="s">
        <v>1189</v>
      </c>
      <c r="C596" t="s">
        <v>1190</v>
      </c>
      <c r="D596" t="s">
        <v>50</v>
      </c>
      <c r="E596" t="s">
        <v>1162</v>
      </c>
      <c r="F596" s="1" t="s">
        <v>174</v>
      </c>
    </row>
    <row r="597" spans="1:6" x14ac:dyDescent="0.3">
      <c r="A597">
        <v>26199</v>
      </c>
      <c r="B597" t="s">
        <v>1191</v>
      </c>
      <c r="C597" t="s">
        <v>285</v>
      </c>
      <c r="D597" t="s">
        <v>209</v>
      </c>
      <c r="E597" t="s">
        <v>1162</v>
      </c>
      <c r="F597" s="1" t="s">
        <v>174</v>
      </c>
    </row>
    <row r="598" spans="1:6" x14ac:dyDescent="0.3">
      <c r="A598">
        <v>26265</v>
      </c>
      <c r="B598" t="s">
        <v>1192</v>
      </c>
      <c r="C598" t="s">
        <v>582</v>
      </c>
      <c r="D598" t="s">
        <v>50</v>
      </c>
      <c r="E598" t="s">
        <v>1162</v>
      </c>
      <c r="F598" s="1" t="s">
        <v>174</v>
      </c>
    </row>
  </sheetData>
  <autoFilter ref="A1:F586" xr:uid="{D2755464-A526-46B1-B5C8-6207B8CEF13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BA40AC322E4247AE7CB802C219210E" ma:contentTypeVersion="4" ma:contentTypeDescription="Een nieuw document maken." ma:contentTypeScope="" ma:versionID="663e9e6a43b8fae7243b1a529108266c">
  <xsd:schema xmlns:xsd="http://www.w3.org/2001/XMLSchema" xmlns:xs="http://www.w3.org/2001/XMLSchema" xmlns:p="http://schemas.microsoft.com/office/2006/metadata/properties" xmlns:ns2="d2bfb4ca-6bc6-4c14-a954-a38929ece6e4" targetNamespace="http://schemas.microsoft.com/office/2006/metadata/properties" ma:root="true" ma:fieldsID="d22af5eab58e3045ae970c982ece2c22" ns2:_="">
    <xsd:import namespace="d2bfb4ca-6bc6-4c14-a954-a38929ece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fb4ca-6bc6-4c14-a954-a38929ece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B7A3F1-CC45-4FC0-B485-69FB7DFFE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F25EA-A7EB-41E2-8065-BEF79D9BAEF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d2bfb4ca-6bc6-4c14-a954-a38929ece6e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F7DDECC-8BB3-4977-BFEA-4CE0C1485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fb4ca-6bc6-4c14-a954-a38929ece6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Coaching</vt:lpstr>
      <vt:lpstr>Voltooide coachings</vt:lpstr>
      <vt:lpstr>draaitabel</vt:lpstr>
      <vt:lpstr>Ingeplande per TC</vt:lpstr>
      <vt:lpstr>Vervolglijsten</vt:lpstr>
      <vt:lpstr>data Chauffeur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Bjorn Samyn</dc:creator>
  <cp:keywords/>
  <dc:description/>
  <cp:lastModifiedBy>Christoff Rotty</cp:lastModifiedBy>
  <cp:revision/>
  <dcterms:created xsi:type="dcterms:W3CDTF">2025-02-26T07:26:27Z</dcterms:created>
  <dcterms:modified xsi:type="dcterms:W3CDTF">2026-01-14T18:14:26Z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0x010100BABA40AC322E4247AE7CB802C219210E</vt:lpwstr>
  </property>
</Properties>
</file>