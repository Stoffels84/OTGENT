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06" documentId="13_ncr:1_{10FCACA5-8197-478D-90D3-5F83063FB753}" xr6:coauthVersionLast="47" xr6:coauthVersionMax="47" xr10:uidLastSave="{001A927F-7148-4B77-AE86-621525BCB972}"/>
  <bookViews>
    <workbookView xWindow="14760" yWindow="-16365" windowWidth="29040" windowHeight="15720" tabRatio="656" activeTab="1" xr2:uid="{D7AB5F58-0F25-45E4-9869-1B2DB4C7BDA0}"/>
  </bookViews>
  <sheets>
    <sheet name="Dashboard" sheetId="14" r:id="rId1"/>
    <sheet name="BRON" sheetId="1" r:id="rId2"/>
    <sheet name="Voertuigen" sheetId="19" state="hidden" r:id="rId3"/>
    <sheet name="schades-leeftijd" sheetId="16" r:id="rId4"/>
    <sheet name="schades-dienstjaar compleet" sheetId="18" r:id="rId5"/>
    <sheet name="archief 2024" sheetId="10" r:id="rId6"/>
    <sheet name="voor webcode" sheetId="13" r:id="rId7"/>
  </sheets>
  <functionGroups builtInGroupCount="19"/>
  <externalReferences>
    <externalReference r:id="rId8"/>
  </externalReferences>
  <definedNames>
    <definedName name="_xlnm._FilterDatabase" localSheetId="1" hidden="1">BRON!$A$1:$E$1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T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2" r:id="rId11"/>
  </pivotCaches>
  <fileRecoveryPr repairLoad="1"/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9" i="1" l="1"/>
  <c r="C1049" i="1"/>
  <c r="D1049" i="1"/>
  <c r="E1049" i="1"/>
  <c r="J1049" i="1"/>
  <c r="K1049" i="1"/>
  <c r="L1049" i="1"/>
  <c r="B1070" i="1"/>
  <c r="C1070" i="1"/>
  <c r="D1070" i="1"/>
  <c r="E1070" i="1"/>
  <c r="J1070" i="1"/>
  <c r="K1070" i="1"/>
  <c r="L1070" i="1"/>
  <c r="B1069" i="1"/>
  <c r="C1069" i="1"/>
  <c r="D1069" i="1"/>
  <c r="E1069" i="1"/>
  <c r="J1069" i="1"/>
  <c r="K1069" i="1"/>
  <c r="L1069" i="1"/>
  <c r="B1068" i="1"/>
  <c r="C1068" i="1"/>
  <c r="D1068" i="1"/>
  <c r="E1068" i="1"/>
  <c r="J1068" i="1"/>
  <c r="K1068" i="1"/>
  <c r="L1068" i="1"/>
  <c r="B1067" i="1"/>
  <c r="C1067" i="1"/>
  <c r="D1067" i="1"/>
  <c r="E1067" i="1"/>
  <c r="J1067" i="1"/>
  <c r="K1067" i="1"/>
  <c r="L1067" i="1"/>
  <c r="B1066" i="1"/>
  <c r="C1066" i="1"/>
  <c r="D1066" i="1"/>
  <c r="E1066" i="1"/>
  <c r="J1066" i="1"/>
  <c r="K1066" i="1"/>
  <c r="L1066" i="1"/>
  <c r="B1065" i="1"/>
  <c r="C1065" i="1"/>
  <c r="D1065" i="1"/>
  <c r="E1065" i="1"/>
  <c r="J1065" i="1"/>
  <c r="K1065" i="1"/>
  <c r="L1065" i="1"/>
  <c r="B1064" i="1"/>
  <c r="C1064" i="1"/>
  <c r="D1064" i="1"/>
  <c r="E1064" i="1"/>
  <c r="J1064" i="1"/>
  <c r="K1064" i="1"/>
  <c r="L1064" i="1"/>
  <c r="B1063" i="1"/>
  <c r="C1063" i="1"/>
  <c r="D1063" i="1"/>
  <c r="E1063" i="1"/>
  <c r="J1063" i="1"/>
  <c r="K1063" i="1"/>
  <c r="L1063" i="1"/>
  <c r="B1062" i="1"/>
  <c r="C1062" i="1"/>
  <c r="D1062" i="1"/>
  <c r="E1062" i="1"/>
  <c r="J1062" i="1"/>
  <c r="K1062" i="1"/>
  <c r="L1062" i="1"/>
  <c r="B1061" i="1"/>
  <c r="C1061" i="1"/>
  <c r="D1061" i="1"/>
  <c r="E1061" i="1"/>
  <c r="J1061" i="1"/>
  <c r="K1061" i="1"/>
  <c r="L1061" i="1"/>
  <c r="B1060" i="1"/>
  <c r="C1060" i="1"/>
  <c r="D1060" i="1"/>
  <c r="E1060" i="1"/>
  <c r="J1060" i="1"/>
  <c r="K1060" i="1"/>
  <c r="L1060" i="1"/>
  <c r="B1059" i="1"/>
  <c r="C1059" i="1"/>
  <c r="D1059" i="1"/>
  <c r="E1059" i="1"/>
  <c r="J1059" i="1"/>
  <c r="K1059" i="1"/>
  <c r="L1059" i="1"/>
  <c r="B1058" i="1"/>
  <c r="C1058" i="1"/>
  <c r="D1058" i="1"/>
  <c r="E1058" i="1"/>
  <c r="J1058" i="1"/>
  <c r="K1058" i="1"/>
  <c r="L1058" i="1"/>
  <c r="B1057" i="1"/>
  <c r="C1057" i="1"/>
  <c r="D1057" i="1"/>
  <c r="E1057" i="1"/>
  <c r="J1057" i="1"/>
  <c r="K1057" i="1"/>
  <c r="L1057" i="1"/>
  <c r="B1056" i="1"/>
  <c r="C1056" i="1"/>
  <c r="D1056" i="1"/>
  <c r="E1056" i="1"/>
  <c r="J1056" i="1"/>
  <c r="K1056" i="1"/>
  <c r="L1056" i="1"/>
  <c r="B1055" i="1"/>
  <c r="C1055" i="1"/>
  <c r="D1055" i="1"/>
  <c r="E1055" i="1"/>
  <c r="J1055" i="1"/>
  <c r="K1055" i="1"/>
  <c r="L1055" i="1"/>
  <c r="B1054" i="1"/>
  <c r="C1054" i="1"/>
  <c r="D1054" i="1"/>
  <c r="E1054" i="1"/>
  <c r="J1054" i="1"/>
  <c r="K1054" i="1"/>
  <c r="L1054" i="1"/>
  <c r="B1053" i="1"/>
  <c r="C1053" i="1"/>
  <c r="D1053" i="1"/>
  <c r="E1053" i="1"/>
  <c r="J1053" i="1"/>
  <c r="K1053" i="1"/>
  <c r="L1053" i="1"/>
  <c r="B1052" i="1"/>
  <c r="C1052" i="1"/>
  <c r="D1052" i="1"/>
  <c r="E1052" i="1"/>
  <c r="J1052" i="1"/>
  <c r="K1052" i="1"/>
  <c r="L1052" i="1"/>
  <c r="B1048" i="1"/>
  <c r="C1048" i="1"/>
  <c r="D1048" i="1"/>
  <c r="E1048" i="1"/>
  <c r="J1048" i="1"/>
  <c r="K1048" i="1"/>
  <c r="L1048" i="1"/>
  <c r="B1046" i="1"/>
  <c r="C1046" i="1"/>
  <c r="D1046" i="1"/>
  <c r="E1046" i="1"/>
  <c r="J1046" i="1"/>
  <c r="K1046" i="1"/>
  <c r="L1046" i="1"/>
  <c r="B988" i="1"/>
  <c r="C988" i="1"/>
  <c r="D988" i="1"/>
  <c r="E988" i="1"/>
  <c r="J988" i="1"/>
  <c r="K988" i="1"/>
  <c r="L988" i="1"/>
  <c r="B1047" i="1"/>
  <c r="C1047" i="1"/>
  <c r="D1047" i="1"/>
  <c r="E1047" i="1"/>
  <c r="J1047" i="1"/>
  <c r="K1047" i="1"/>
  <c r="L1047" i="1"/>
  <c r="B561" i="1"/>
  <c r="C561" i="1"/>
  <c r="D561" i="1"/>
  <c r="E561" i="1"/>
  <c r="J561" i="1"/>
  <c r="K561" i="1"/>
  <c r="L561" i="1"/>
  <c r="B1045" i="1"/>
  <c r="C1045" i="1"/>
  <c r="D1045" i="1"/>
  <c r="E1045" i="1"/>
  <c r="J1045" i="1"/>
  <c r="K1045" i="1"/>
  <c r="L1045" i="1"/>
  <c r="B1044" i="1"/>
  <c r="C1044" i="1"/>
  <c r="D1044" i="1"/>
  <c r="E1044" i="1"/>
  <c r="J1044" i="1"/>
  <c r="K1044" i="1"/>
  <c r="L1044" i="1"/>
  <c r="B1043" i="1"/>
  <c r="C1043" i="1"/>
  <c r="D1043" i="1"/>
  <c r="E1043" i="1"/>
  <c r="J1043" i="1"/>
  <c r="K1043" i="1"/>
  <c r="L1043" i="1"/>
  <c r="B1042" i="1"/>
  <c r="C1042" i="1"/>
  <c r="D1042" i="1"/>
  <c r="E1042" i="1"/>
  <c r="J1042" i="1"/>
  <c r="K1042" i="1"/>
  <c r="L1042" i="1"/>
  <c r="B1051" i="1"/>
  <c r="C1051" i="1"/>
  <c r="D1051" i="1"/>
  <c r="E1051" i="1"/>
  <c r="J1051" i="1"/>
  <c r="K1051" i="1"/>
  <c r="L1051" i="1"/>
  <c r="B1041" i="1"/>
  <c r="C1041" i="1"/>
  <c r="D1041" i="1"/>
  <c r="E1041" i="1"/>
  <c r="J1041" i="1"/>
  <c r="K1041" i="1"/>
  <c r="L1041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8" i="1"/>
  <c r="L1019" i="1"/>
  <c r="L1020" i="1"/>
  <c r="L1021" i="1"/>
  <c r="L1022" i="1"/>
  <c r="L1023" i="1"/>
  <c r="L1024" i="1"/>
  <c r="L1025" i="1"/>
  <c r="L1026" i="1"/>
  <c r="L1028" i="1"/>
  <c r="L1029" i="1"/>
  <c r="L1031" i="1"/>
  <c r="L1027" i="1"/>
  <c r="L1032" i="1"/>
  <c r="L1033" i="1"/>
  <c r="L1034" i="1"/>
  <c r="L1035" i="1"/>
  <c r="L1017" i="1"/>
  <c r="L1036" i="1"/>
  <c r="L1037" i="1"/>
  <c r="L1030" i="1"/>
  <c r="L1040" i="1"/>
  <c r="L1039" i="1"/>
  <c r="L1050" i="1"/>
  <c r="L1038" i="1"/>
  <c r="D780" i="1"/>
  <c r="C780" i="1"/>
  <c r="B780" i="1"/>
  <c r="D807" i="1"/>
  <c r="C807" i="1"/>
  <c r="B807" i="1"/>
  <c r="D810" i="1"/>
  <c r="C810" i="1"/>
  <c r="B810" i="1"/>
  <c r="D813" i="1"/>
  <c r="C813" i="1"/>
  <c r="B813" i="1"/>
  <c r="D832" i="1"/>
  <c r="C832" i="1"/>
  <c r="B832" i="1"/>
  <c r="D876" i="1"/>
  <c r="C876" i="1"/>
  <c r="B876" i="1"/>
  <c r="D880" i="1"/>
  <c r="C880" i="1"/>
  <c r="B880" i="1"/>
  <c r="D926" i="1"/>
  <c r="C926" i="1"/>
  <c r="B926" i="1"/>
  <c r="D933" i="1"/>
  <c r="C933" i="1"/>
  <c r="B933" i="1"/>
  <c r="D983" i="1"/>
  <c r="C983" i="1"/>
  <c r="B983" i="1"/>
  <c r="E1050" i="1"/>
  <c r="D1050" i="1"/>
  <c r="C1050" i="1"/>
  <c r="B1050" i="1"/>
  <c r="E1040" i="1"/>
  <c r="D1040" i="1"/>
  <c r="C1040" i="1"/>
  <c r="B1040" i="1"/>
  <c r="E1030" i="1"/>
  <c r="D1030" i="1"/>
  <c r="C1030" i="1"/>
  <c r="B1030" i="1"/>
  <c r="E1037" i="1"/>
  <c r="D1037" i="1"/>
  <c r="C1037" i="1"/>
  <c r="B1037" i="1"/>
  <c r="E1036" i="1"/>
  <c r="D1036" i="1"/>
  <c r="C1036" i="1"/>
  <c r="B1036" i="1"/>
  <c r="E1017" i="1"/>
  <c r="D1017" i="1"/>
  <c r="C1017" i="1"/>
  <c r="B1017" i="1"/>
  <c r="E1035" i="1"/>
  <c r="D1035" i="1"/>
  <c r="C1035" i="1"/>
  <c r="B1035" i="1"/>
  <c r="E1034" i="1"/>
  <c r="D1034" i="1"/>
  <c r="C1034" i="1"/>
  <c r="B1034" i="1"/>
  <c r="E1033" i="1"/>
  <c r="D1033" i="1"/>
  <c r="C1033" i="1"/>
  <c r="B1033" i="1"/>
  <c r="E1032" i="1"/>
  <c r="D1032" i="1"/>
  <c r="C1032" i="1"/>
  <c r="B1032" i="1"/>
  <c r="B1038" i="1"/>
  <c r="B2" i="1"/>
  <c r="C2" i="1"/>
  <c r="D2" i="1"/>
  <c r="B3" i="1"/>
  <c r="C3" i="1"/>
  <c r="D3" i="1"/>
  <c r="E3" i="1"/>
  <c r="B4" i="1"/>
  <c r="C4" i="1"/>
  <c r="D4" i="1"/>
  <c r="E4" i="1"/>
  <c r="B5" i="1"/>
  <c r="C5" i="1"/>
  <c r="D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B15" i="1"/>
  <c r="C15" i="1"/>
  <c r="D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B26" i="1"/>
  <c r="C26" i="1"/>
  <c r="D26" i="1"/>
  <c r="B27" i="1"/>
  <c r="C27" i="1"/>
  <c r="D27" i="1"/>
  <c r="E27" i="1"/>
  <c r="B28" i="1"/>
  <c r="C28" i="1"/>
  <c r="D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B92" i="1"/>
  <c r="C92" i="1"/>
  <c r="D92" i="1"/>
  <c r="E92" i="1"/>
  <c r="B93" i="1"/>
  <c r="C93" i="1"/>
  <c r="D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B98" i="1"/>
  <c r="C98" i="1"/>
  <c r="D98" i="1"/>
  <c r="E98" i="1"/>
  <c r="B99" i="1"/>
  <c r="C99" i="1"/>
  <c r="D99" i="1"/>
  <c r="E99" i="1"/>
  <c r="B100" i="1"/>
  <c r="C100" i="1"/>
  <c r="D100" i="1"/>
  <c r="E100" i="1"/>
  <c r="B101" i="1"/>
  <c r="C101" i="1"/>
  <c r="D101" i="1"/>
  <c r="E101" i="1"/>
  <c r="B102" i="1"/>
  <c r="C102" i="1"/>
  <c r="D102" i="1"/>
  <c r="E102" i="1"/>
  <c r="B103" i="1"/>
  <c r="C103" i="1"/>
  <c r="D103" i="1"/>
  <c r="B104" i="1"/>
  <c r="C104" i="1"/>
  <c r="D104" i="1"/>
  <c r="E104" i="1"/>
  <c r="B105" i="1"/>
  <c r="C105" i="1"/>
  <c r="D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B113" i="1"/>
  <c r="C113" i="1"/>
  <c r="D113" i="1"/>
  <c r="E113" i="1"/>
  <c r="B114" i="1"/>
  <c r="C114" i="1"/>
  <c r="D114" i="1"/>
  <c r="E114" i="1"/>
  <c r="B115" i="1"/>
  <c r="C115" i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C124" i="1"/>
  <c r="D124" i="1"/>
  <c r="B125" i="1"/>
  <c r="C125" i="1"/>
  <c r="D125" i="1"/>
  <c r="B126" i="1"/>
  <c r="C126" i="1"/>
  <c r="D126" i="1"/>
  <c r="E126" i="1"/>
  <c r="B127" i="1"/>
  <c r="C127" i="1"/>
  <c r="D127" i="1"/>
  <c r="E127" i="1"/>
  <c r="B128" i="1"/>
  <c r="C128" i="1"/>
  <c r="D128" i="1"/>
  <c r="E128" i="1"/>
  <c r="B129" i="1"/>
  <c r="C129" i="1"/>
  <c r="D129" i="1"/>
  <c r="E129" i="1"/>
  <c r="B130" i="1"/>
  <c r="C130" i="1"/>
  <c r="D130" i="1"/>
  <c r="E130" i="1"/>
  <c r="B131" i="1"/>
  <c r="C131" i="1"/>
  <c r="D131" i="1"/>
  <c r="E131" i="1"/>
  <c r="B132" i="1"/>
  <c r="C132" i="1"/>
  <c r="D132" i="1"/>
  <c r="E132" i="1"/>
  <c r="B133" i="1"/>
  <c r="C133" i="1"/>
  <c r="D133" i="1"/>
  <c r="E133" i="1"/>
  <c r="B134" i="1"/>
  <c r="C134" i="1"/>
  <c r="D134" i="1"/>
  <c r="B135" i="1"/>
  <c r="C135" i="1"/>
  <c r="D135" i="1"/>
  <c r="E135" i="1"/>
  <c r="B136" i="1"/>
  <c r="C136" i="1"/>
  <c r="D136" i="1"/>
  <c r="E136" i="1"/>
  <c r="B137" i="1"/>
  <c r="C137" i="1"/>
  <c r="D137" i="1"/>
  <c r="E137" i="1"/>
  <c r="B138" i="1"/>
  <c r="C138" i="1"/>
  <c r="D138" i="1"/>
  <c r="E138" i="1"/>
  <c r="B139" i="1"/>
  <c r="C139" i="1"/>
  <c r="D139" i="1"/>
  <c r="E139" i="1"/>
  <c r="B140" i="1"/>
  <c r="C140" i="1"/>
  <c r="D140" i="1"/>
  <c r="E140" i="1"/>
  <c r="B141" i="1"/>
  <c r="C141" i="1"/>
  <c r="D141" i="1"/>
  <c r="B142" i="1"/>
  <c r="C142" i="1"/>
  <c r="D142" i="1"/>
  <c r="E142" i="1"/>
  <c r="B143" i="1"/>
  <c r="C143" i="1"/>
  <c r="D143" i="1"/>
  <c r="E143" i="1"/>
  <c r="B144" i="1"/>
  <c r="C144" i="1"/>
  <c r="D144" i="1"/>
  <c r="B145" i="1"/>
  <c r="C145" i="1"/>
  <c r="D145" i="1"/>
  <c r="E145" i="1"/>
  <c r="B146" i="1"/>
  <c r="C146" i="1"/>
  <c r="D146" i="1"/>
  <c r="B147" i="1"/>
  <c r="C147" i="1"/>
  <c r="D147" i="1"/>
  <c r="E147" i="1"/>
  <c r="B148" i="1"/>
  <c r="C148" i="1"/>
  <c r="D148" i="1"/>
  <c r="B149" i="1"/>
  <c r="C149" i="1"/>
  <c r="D149" i="1"/>
  <c r="E149" i="1"/>
  <c r="B150" i="1"/>
  <c r="C150" i="1"/>
  <c r="D150" i="1"/>
  <c r="B151" i="1"/>
  <c r="C151" i="1"/>
  <c r="D151" i="1"/>
  <c r="E151" i="1"/>
  <c r="B152" i="1"/>
  <c r="C152" i="1"/>
  <c r="D152" i="1"/>
  <c r="E152" i="1"/>
  <c r="B153" i="1"/>
  <c r="C153" i="1"/>
  <c r="D153" i="1"/>
  <c r="E153" i="1"/>
  <c r="B154" i="1"/>
  <c r="C154" i="1"/>
  <c r="D154" i="1"/>
  <c r="E154" i="1"/>
  <c r="B155" i="1"/>
  <c r="C155" i="1"/>
  <c r="D155" i="1"/>
  <c r="E155" i="1"/>
  <c r="B156" i="1"/>
  <c r="C156" i="1"/>
  <c r="D156" i="1"/>
  <c r="E156" i="1"/>
  <c r="B157" i="1"/>
  <c r="C157" i="1"/>
  <c r="D157" i="1"/>
  <c r="E157" i="1"/>
  <c r="B158" i="1"/>
  <c r="C158" i="1"/>
  <c r="D158" i="1"/>
  <c r="B159" i="1"/>
  <c r="C159" i="1"/>
  <c r="D159" i="1"/>
  <c r="E159" i="1"/>
  <c r="B160" i="1"/>
  <c r="C160" i="1"/>
  <c r="D160" i="1"/>
  <c r="E160" i="1"/>
  <c r="B161" i="1"/>
  <c r="C161" i="1"/>
  <c r="D161" i="1"/>
  <c r="E161" i="1"/>
  <c r="B162" i="1"/>
  <c r="C162" i="1"/>
  <c r="D162" i="1"/>
  <c r="E162" i="1"/>
  <c r="B163" i="1"/>
  <c r="C163" i="1"/>
  <c r="D163" i="1"/>
  <c r="E163" i="1"/>
  <c r="B164" i="1"/>
  <c r="C164" i="1"/>
  <c r="D164" i="1"/>
  <c r="E164" i="1"/>
  <c r="B165" i="1"/>
  <c r="C165" i="1"/>
  <c r="D165" i="1"/>
  <c r="E165" i="1"/>
  <c r="B166" i="1"/>
  <c r="C166" i="1"/>
  <c r="D166" i="1"/>
  <c r="E166" i="1"/>
  <c r="B167" i="1"/>
  <c r="C167" i="1"/>
  <c r="D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B171" i="1"/>
  <c r="C171" i="1"/>
  <c r="D171" i="1"/>
  <c r="E171" i="1"/>
  <c r="B172" i="1"/>
  <c r="C172" i="1"/>
  <c r="D172" i="1"/>
  <c r="E172" i="1"/>
  <c r="B173" i="1"/>
  <c r="C173" i="1"/>
  <c r="D173" i="1"/>
  <c r="E173" i="1"/>
  <c r="B174" i="1"/>
  <c r="C174" i="1"/>
  <c r="D174" i="1"/>
  <c r="B175" i="1"/>
  <c r="C175" i="1"/>
  <c r="D175" i="1"/>
  <c r="B176" i="1"/>
  <c r="C176" i="1"/>
  <c r="D176" i="1"/>
  <c r="E176" i="1"/>
  <c r="B177" i="1"/>
  <c r="C177" i="1"/>
  <c r="D177" i="1"/>
  <c r="E177" i="1"/>
  <c r="B178" i="1"/>
  <c r="C178" i="1"/>
  <c r="D178" i="1"/>
  <c r="E178" i="1"/>
  <c r="B179" i="1"/>
  <c r="C179" i="1"/>
  <c r="D179" i="1"/>
  <c r="B180" i="1"/>
  <c r="C180" i="1"/>
  <c r="D180" i="1"/>
  <c r="B181" i="1"/>
  <c r="C181" i="1"/>
  <c r="D181" i="1"/>
  <c r="E181" i="1"/>
  <c r="B182" i="1"/>
  <c r="C182" i="1"/>
  <c r="D182" i="1"/>
  <c r="E182" i="1"/>
  <c r="B183" i="1"/>
  <c r="C183" i="1"/>
  <c r="D183" i="1"/>
  <c r="E183" i="1"/>
  <c r="B184" i="1"/>
  <c r="C184" i="1"/>
  <c r="D184" i="1"/>
  <c r="E184" i="1"/>
  <c r="B185" i="1"/>
  <c r="C185" i="1"/>
  <c r="D185" i="1"/>
  <c r="E185" i="1"/>
  <c r="B186" i="1"/>
  <c r="C186" i="1"/>
  <c r="D186" i="1"/>
  <c r="E186" i="1"/>
  <c r="B187" i="1"/>
  <c r="C187" i="1"/>
  <c r="D187" i="1"/>
  <c r="E187" i="1"/>
  <c r="B188" i="1"/>
  <c r="C188" i="1"/>
  <c r="D188" i="1"/>
  <c r="E188" i="1"/>
  <c r="B189" i="1"/>
  <c r="C189" i="1"/>
  <c r="D189" i="1"/>
  <c r="B190" i="1"/>
  <c r="C190" i="1"/>
  <c r="D190" i="1"/>
  <c r="E190" i="1"/>
  <c r="B191" i="1"/>
  <c r="C191" i="1"/>
  <c r="D191" i="1"/>
  <c r="E191" i="1"/>
  <c r="B192" i="1"/>
  <c r="C192" i="1"/>
  <c r="D192" i="1"/>
  <c r="E192" i="1"/>
  <c r="B193" i="1"/>
  <c r="C193" i="1"/>
  <c r="D193" i="1"/>
  <c r="E193" i="1"/>
  <c r="B194" i="1"/>
  <c r="C194" i="1"/>
  <c r="D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B200" i="1"/>
  <c r="C200" i="1"/>
  <c r="D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B206" i="1"/>
  <c r="C206" i="1"/>
  <c r="D206" i="1"/>
  <c r="E206" i="1"/>
  <c r="B207" i="1"/>
  <c r="C207" i="1"/>
  <c r="D207" i="1"/>
  <c r="E207" i="1"/>
  <c r="B208" i="1"/>
  <c r="C208" i="1"/>
  <c r="D208" i="1"/>
  <c r="E208" i="1"/>
  <c r="B209" i="1"/>
  <c r="C209" i="1"/>
  <c r="D209" i="1"/>
  <c r="B210" i="1"/>
  <c r="C210" i="1"/>
  <c r="D210" i="1"/>
  <c r="E210" i="1"/>
  <c r="B211" i="1"/>
  <c r="C211" i="1"/>
  <c r="D211" i="1"/>
  <c r="E211" i="1"/>
  <c r="B212" i="1"/>
  <c r="C212" i="1"/>
  <c r="D212" i="1"/>
  <c r="E212" i="1"/>
  <c r="B213" i="1"/>
  <c r="C213" i="1"/>
  <c r="D213" i="1"/>
  <c r="E213" i="1"/>
  <c r="B214" i="1"/>
  <c r="C214" i="1"/>
  <c r="D214" i="1"/>
  <c r="E214" i="1"/>
  <c r="B215" i="1"/>
  <c r="C215" i="1"/>
  <c r="D215" i="1"/>
  <c r="E215" i="1"/>
  <c r="B216" i="1"/>
  <c r="C216" i="1"/>
  <c r="D216" i="1"/>
  <c r="B217" i="1"/>
  <c r="C217" i="1"/>
  <c r="D217" i="1"/>
  <c r="E217" i="1"/>
  <c r="B218" i="1"/>
  <c r="C218" i="1"/>
  <c r="D218" i="1"/>
  <c r="B219" i="1"/>
  <c r="C219" i="1"/>
  <c r="D219" i="1"/>
  <c r="B220" i="1"/>
  <c r="C220" i="1"/>
  <c r="D220" i="1"/>
  <c r="E220" i="1"/>
  <c r="B221" i="1"/>
  <c r="C221" i="1"/>
  <c r="D221" i="1"/>
  <c r="E221" i="1"/>
  <c r="B222" i="1"/>
  <c r="C222" i="1"/>
  <c r="D222" i="1"/>
  <c r="B223" i="1"/>
  <c r="C223" i="1"/>
  <c r="D223" i="1"/>
  <c r="E223" i="1"/>
  <c r="B224" i="1"/>
  <c r="C224" i="1"/>
  <c r="D224" i="1"/>
  <c r="E224" i="1"/>
  <c r="B225" i="1"/>
  <c r="C225" i="1"/>
  <c r="D225" i="1"/>
  <c r="E225" i="1"/>
  <c r="B226" i="1"/>
  <c r="C226" i="1"/>
  <c r="D226" i="1"/>
  <c r="B227" i="1"/>
  <c r="C227" i="1"/>
  <c r="D227" i="1"/>
  <c r="E227" i="1"/>
  <c r="B228" i="1"/>
  <c r="C228" i="1"/>
  <c r="D228" i="1"/>
  <c r="E228" i="1"/>
  <c r="B229" i="1"/>
  <c r="C229" i="1"/>
  <c r="D229" i="1"/>
  <c r="E229" i="1"/>
  <c r="B230" i="1"/>
  <c r="C230" i="1"/>
  <c r="D230" i="1"/>
  <c r="E230" i="1"/>
  <c r="B231" i="1"/>
  <c r="C231" i="1"/>
  <c r="D231" i="1"/>
  <c r="E231" i="1"/>
  <c r="B232" i="1"/>
  <c r="C232" i="1"/>
  <c r="D232" i="1"/>
  <c r="E232" i="1"/>
  <c r="B233" i="1"/>
  <c r="C233" i="1"/>
  <c r="D233" i="1"/>
  <c r="E233" i="1"/>
  <c r="B234" i="1"/>
  <c r="C234" i="1"/>
  <c r="D234" i="1"/>
  <c r="B235" i="1"/>
  <c r="C235" i="1"/>
  <c r="D235" i="1"/>
  <c r="E235" i="1"/>
  <c r="B236" i="1"/>
  <c r="C236" i="1"/>
  <c r="D236" i="1"/>
  <c r="B237" i="1"/>
  <c r="C237" i="1"/>
  <c r="D237" i="1"/>
  <c r="E237" i="1"/>
  <c r="B238" i="1"/>
  <c r="C238" i="1"/>
  <c r="D238" i="1"/>
  <c r="E238" i="1"/>
  <c r="B239" i="1"/>
  <c r="C239" i="1"/>
  <c r="D239" i="1"/>
  <c r="E239" i="1"/>
  <c r="B240" i="1"/>
  <c r="C240" i="1"/>
  <c r="D240" i="1"/>
  <c r="E240" i="1"/>
  <c r="B241" i="1"/>
  <c r="C241" i="1"/>
  <c r="D241" i="1"/>
  <c r="B242" i="1"/>
  <c r="C242" i="1"/>
  <c r="D242" i="1"/>
  <c r="E242" i="1"/>
  <c r="B243" i="1"/>
  <c r="C243" i="1"/>
  <c r="D243" i="1"/>
  <c r="B244" i="1"/>
  <c r="C244" i="1"/>
  <c r="D244" i="1"/>
  <c r="E244" i="1"/>
  <c r="B245" i="1"/>
  <c r="C245" i="1"/>
  <c r="D245" i="1"/>
  <c r="E245" i="1"/>
  <c r="B246" i="1"/>
  <c r="C246" i="1"/>
  <c r="D246" i="1"/>
  <c r="E246" i="1"/>
  <c r="B247" i="1"/>
  <c r="C247" i="1"/>
  <c r="D247" i="1"/>
  <c r="E247" i="1"/>
  <c r="B248" i="1"/>
  <c r="C248" i="1"/>
  <c r="D248" i="1"/>
  <c r="E248" i="1"/>
  <c r="B249" i="1"/>
  <c r="C249" i="1"/>
  <c r="D249" i="1"/>
  <c r="E249" i="1"/>
  <c r="B250" i="1"/>
  <c r="C250" i="1"/>
  <c r="D250" i="1"/>
  <c r="E250" i="1"/>
  <c r="B251" i="1"/>
  <c r="C251" i="1"/>
  <c r="D251" i="1"/>
  <c r="E251" i="1"/>
  <c r="B252" i="1"/>
  <c r="C252" i="1"/>
  <c r="D252" i="1"/>
  <c r="B253" i="1"/>
  <c r="C253" i="1"/>
  <c r="D253" i="1"/>
  <c r="B254" i="1"/>
  <c r="C254" i="1"/>
  <c r="D254" i="1"/>
  <c r="E254" i="1"/>
  <c r="B255" i="1"/>
  <c r="C255" i="1"/>
  <c r="D255" i="1"/>
  <c r="E255" i="1"/>
  <c r="B256" i="1"/>
  <c r="C256" i="1"/>
  <c r="D256" i="1"/>
  <c r="E256" i="1"/>
  <c r="B257" i="1"/>
  <c r="C257" i="1"/>
  <c r="D257" i="1"/>
  <c r="E257" i="1"/>
  <c r="B258" i="1"/>
  <c r="C258" i="1"/>
  <c r="D258" i="1"/>
  <c r="B259" i="1"/>
  <c r="C259" i="1"/>
  <c r="D259" i="1"/>
  <c r="B260" i="1"/>
  <c r="C260" i="1"/>
  <c r="D260" i="1"/>
  <c r="E260" i="1"/>
  <c r="B261" i="1"/>
  <c r="C261" i="1"/>
  <c r="D261" i="1"/>
  <c r="B262" i="1"/>
  <c r="C262" i="1"/>
  <c r="D262" i="1"/>
  <c r="E262" i="1"/>
  <c r="B263" i="1"/>
  <c r="C263" i="1"/>
  <c r="D263" i="1"/>
  <c r="E263" i="1"/>
  <c r="B264" i="1"/>
  <c r="C264" i="1"/>
  <c r="D264" i="1"/>
  <c r="E264" i="1"/>
  <c r="B265" i="1"/>
  <c r="C265" i="1"/>
  <c r="D265" i="1"/>
  <c r="E265" i="1"/>
  <c r="B266" i="1"/>
  <c r="C266" i="1"/>
  <c r="D266" i="1"/>
  <c r="E266" i="1"/>
  <c r="B267" i="1"/>
  <c r="C267" i="1"/>
  <c r="D267" i="1"/>
  <c r="E267" i="1"/>
  <c r="B268" i="1"/>
  <c r="C268" i="1"/>
  <c r="D268" i="1"/>
  <c r="E268" i="1"/>
  <c r="B269" i="1"/>
  <c r="C269" i="1"/>
  <c r="D269" i="1"/>
  <c r="B270" i="1"/>
  <c r="C270" i="1"/>
  <c r="D270" i="1"/>
  <c r="E270" i="1"/>
  <c r="B271" i="1"/>
  <c r="C271" i="1"/>
  <c r="D271" i="1"/>
  <c r="B272" i="1"/>
  <c r="C272" i="1"/>
  <c r="D272" i="1"/>
  <c r="E272" i="1"/>
  <c r="B273" i="1"/>
  <c r="C273" i="1"/>
  <c r="D273" i="1"/>
  <c r="B274" i="1"/>
  <c r="C274" i="1"/>
  <c r="D274" i="1"/>
  <c r="E274" i="1"/>
  <c r="B275" i="1"/>
  <c r="C275" i="1"/>
  <c r="D275" i="1"/>
  <c r="E275" i="1"/>
  <c r="B276" i="1"/>
  <c r="C276" i="1"/>
  <c r="D276" i="1"/>
  <c r="E276" i="1"/>
  <c r="B277" i="1"/>
  <c r="C277" i="1"/>
  <c r="D277" i="1"/>
  <c r="E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E282" i="1"/>
  <c r="B283" i="1"/>
  <c r="C283" i="1"/>
  <c r="D283" i="1"/>
  <c r="E283" i="1"/>
  <c r="B284" i="1"/>
  <c r="C284" i="1"/>
  <c r="D284" i="1"/>
  <c r="E284" i="1"/>
  <c r="B285" i="1"/>
  <c r="C285" i="1"/>
  <c r="D285" i="1"/>
  <c r="E285" i="1"/>
  <c r="B286" i="1"/>
  <c r="C286" i="1"/>
  <c r="D286" i="1"/>
  <c r="E286" i="1"/>
  <c r="B287" i="1"/>
  <c r="C287" i="1"/>
  <c r="D287" i="1"/>
  <c r="E287" i="1"/>
  <c r="B288" i="1"/>
  <c r="C288" i="1"/>
  <c r="D288" i="1"/>
  <c r="E288" i="1"/>
  <c r="B289" i="1"/>
  <c r="C289" i="1"/>
  <c r="D289" i="1"/>
  <c r="E289" i="1"/>
  <c r="B290" i="1"/>
  <c r="C290" i="1"/>
  <c r="D290" i="1"/>
  <c r="E290" i="1"/>
  <c r="B291" i="1"/>
  <c r="C291" i="1"/>
  <c r="D291" i="1"/>
  <c r="E291" i="1"/>
  <c r="B292" i="1"/>
  <c r="C292" i="1"/>
  <c r="D292" i="1"/>
  <c r="E292" i="1"/>
  <c r="B293" i="1"/>
  <c r="C293" i="1"/>
  <c r="D293" i="1"/>
  <c r="E293" i="1"/>
  <c r="B294" i="1"/>
  <c r="C294" i="1"/>
  <c r="D294" i="1"/>
  <c r="E294" i="1"/>
  <c r="B295" i="1"/>
  <c r="C295" i="1"/>
  <c r="D295" i="1"/>
  <c r="E295" i="1"/>
  <c r="B296" i="1"/>
  <c r="C296" i="1"/>
  <c r="D296" i="1"/>
  <c r="E296" i="1"/>
  <c r="B297" i="1"/>
  <c r="C297" i="1"/>
  <c r="D297" i="1"/>
  <c r="B298" i="1"/>
  <c r="C298" i="1"/>
  <c r="D298" i="1"/>
  <c r="E298" i="1"/>
  <c r="B299" i="1"/>
  <c r="C299" i="1"/>
  <c r="D299" i="1"/>
  <c r="E299" i="1"/>
  <c r="B300" i="1"/>
  <c r="C300" i="1"/>
  <c r="D300" i="1"/>
  <c r="E300" i="1"/>
  <c r="B301" i="1"/>
  <c r="C301" i="1"/>
  <c r="D301" i="1"/>
  <c r="E301" i="1"/>
  <c r="B302" i="1"/>
  <c r="C302" i="1"/>
  <c r="D302" i="1"/>
  <c r="E302" i="1"/>
  <c r="B303" i="1"/>
  <c r="C303" i="1"/>
  <c r="D303" i="1"/>
  <c r="E303" i="1"/>
  <c r="B304" i="1"/>
  <c r="C304" i="1"/>
  <c r="D304" i="1"/>
  <c r="E304" i="1"/>
  <c r="B305" i="1"/>
  <c r="C305" i="1"/>
  <c r="D305" i="1"/>
  <c r="E305" i="1"/>
  <c r="B306" i="1"/>
  <c r="C306" i="1"/>
  <c r="D306" i="1"/>
  <c r="E306" i="1"/>
  <c r="B307" i="1"/>
  <c r="C307" i="1"/>
  <c r="D307" i="1"/>
  <c r="E307" i="1"/>
  <c r="B308" i="1"/>
  <c r="C308" i="1"/>
  <c r="D308" i="1"/>
  <c r="E308" i="1"/>
  <c r="B309" i="1"/>
  <c r="C309" i="1"/>
  <c r="D309" i="1"/>
  <c r="B310" i="1"/>
  <c r="C310" i="1"/>
  <c r="D310" i="1"/>
  <c r="E310" i="1"/>
  <c r="B311" i="1"/>
  <c r="C311" i="1"/>
  <c r="D311" i="1"/>
  <c r="E311" i="1"/>
  <c r="B312" i="1"/>
  <c r="C312" i="1"/>
  <c r="D312" i="1"/>
  <c r="E312" i="1"/>
  <c r="B313" i="1"/>
  <c r="C313" i="1"/>
  <c r="D313" i="1"/>
  <c r="B314" i="1"/>
  <c r="C314" i="1"/>
  <c r="D314" i="1"/>
  <c r="B315" i="1"/>
  <c r="C315" i="1"/>
  <c r="D315" i="1"/>
  <c r="E315" i="1"/>
  <c r="B316" i="1"/>
  <c r="C316" i="1"/>
  <c r="D316" i="1"/>
  <c r="E316" i="1"/>
  <c r="B317" i="1"/>
  <c r="C317" i="1"/>
  <c r="D317" i="1"/>
  <c r="E317" i="1"/>
  <c r="B318" i="1"/>
  <c r="C318" i="1"/>
  <c r="D318" i="1"/>
  <c r="E318" i="1"/>
  <c r="B319" i="1"/>
  <c r="C319" i="1"/>
  <c r="D319" i="1"/>
  <c r="E319" i="1"/>
  <c r="B320" i="1"/>
  <c r="C320" i="1"/>
  <c r="D320" i="1"/>
  <c r="E320" i="1"/>
  <c r="B321" i="1"/>
  <c r="C321" i="1"/>
  <c r="D321" i="1"/>
  <c r="E321" i="1"/>
  <c r="B322" i="1"/>
  <c r="C322" i="1"/>
  <c r="D322" i="1"/>
  <c r="E322" i="1"/>
  <c r="B323" i="1"/>
  <c r="C323" i="1"/>
  <c r="D323" i="1"/>
  <c r="B324" i="1"/>
  <c r="C324" i="1"/>
  <c r="D324" i="1"/>
  <c r="E324" i="1"/>
  <c r="B325" i="1"/>
  <c r="C325" i="1"/>
  <c r="D325" i="1"/>
  <c r="E325" i="1"/>
  <c r="B326" i="1"/>
  <c r="C326" i="1"/>
  <c r="D326" i="1"/>
  <c r="B327" i="1"/>
  <c r="C327" i="1"/>
  <c r="D327" i="1"/>
  <c r="B328" i="1"/>
  <c r="C328" i="1"/>
  <c r="D328" i="1"/>
  <c r="E328" i="1"/>
  <c r="B329" i="1"/>
  <c r="C329" i="1"/>
  <c r="D329" i="1"/>
  <c r="E329" i="1"/>
  <c r="B330" i="1"/>
  <c r="C330" i="1"/>
  <c r="D330" i="1"/>
  <c r="E330" i="1"/>
  <c r="B331" i="1"/>
  <c r="C331" i="1"/>
  <c r="D331" i="1"/>
  <c r="B332" i="1"/>
  <c r="C332" i="1"/>
  <c r="D332" i="1"/>
  <c r="E332" i="1"/>
  <c r="B333" i="1"/>
  <c r="C333" i="1"/>
  <c r="D333" i="1"/>
  <c r="B334" i="1"/>
  <c r="C334" i="1"/>
  <c r="D334" i="1"/>
  <c r="E334" i="1"/>
  <c r="B335" i="1"/>
  <c r="C335" i="1"/>
  <c r="D335" i="1"/>
  <c r="B336" i="1"/>
  <c r="C336" i="1"/>
  <c r="D336" i="1"/>
  <c r="E336" i="1"/>
  <c r="B337" i="1"/>
  <c r="C337" i="1"/>
  <c r="D337" i="1"/>
  <c r="E337" i="1"/>
  <c r="B338" i="1"/>
  <c r="C338" i="1"/>
  <c r="D338" i="1"/>
  <c r="E338" i="1"/>
  <c r="B339" i="1"/>
  <c r="C339" i="1"/>
  <c r="D339" i="1"/>
  <c r="B340" i="1"/>
  <c r="C340" i="1"/>
  <c r="D340" i="1"/>
  <c r="E340" i="1"/>
  <c r="B341" i="1"/>
  <c r="C341" i="1"/>
  <c r="D341" i="1"/>
  <c r="E341" i="1"/>
  <c r="B342" i="1"/>
  <c r="C342" i="1"/>
  <c r="D342" i="1"/>
  <c r="E342" i="1"/>
  <c r="B343" i="1"/>
  <c r="C343" i="1"/>
  <c r="D343" i="1"/>
  <c r="E343" i="1"/>
  <c r="B344" i="1"/>
  <c r="C344" i="1"/>
  <c r="D344" i="1"/>
  <c r="E344" i="1"/>
  <c r="B345" i="1"/>
  <c r="C345" i="1"/>
  <c r="D345" i="1"/>
  <c r="E345" i="1"/>
  <c r="B346" i="1"/>
  <c r="C346" i="1"/>
  <c r="D346" i="1"/>
  <c r="B347" i="1"/>
  <c r="C347" i="1"/>
  <c r="D347" i="1"/>
  <c r="E347" i="1"/>
  <c r="B348" i="1"/>
  <c r="C348" i="1"/>
  <c r="D348" i="1"/>
  <c r="E348" i="1"/>
  <c r="B349" i="1"/>
  <c r="C349" i="1"/>
  <c r="D349" i="1"/>
  <c r="E349" i="1"/>
  <c r="B350" i="1"/>
  <c r="C350" i="1"/>
  <c r="D350" i="1"/>
  <c r="E350" i="1"/>
  <c r="B351" i="1"/>
  <c r="C351" i="1"/>
  <c r="D351" i="1"/>
  <c r="E351" i="1"/>
  <c r="B352" i="1"/>
  <c r="C352" i="1"/>
  <c r="D352" i="1"/>
  <c r="E352" i="1"/>
  <c r="B353" i="1"/>
  <c r="C353" i="1"/>
  <c r="D353" i="1"/>
  <c r="E353" i="1"/>
  <c r="B354" i="1"/>
  <c r="C354" i="1"/>
  <c r="D354" i="1"/>
  <c r="E354" i="1"/>
  <c r="B355" i="1"/>
  <c r="C355" i="1"/>
  <c r="D355" i="1"/>
  <c r="B356" i="1"/>
  <c r="C356" i="1"/>
  <c r="D356" i="1"/>
  <c r="E356" i="1"/>
  <c r="B357" i="1"/>
  <c r="C357" i="1"/>
  <c r="D357" i="1"/>
  <c r="E357" i="1"/>
  <c r="B358" i="1"/>
  <c r="C358" i="1"/>
  <c r="D358" i="1"/>
  <c r="E358" i="1"/>
  <c r="B359" i="1"/>
  <c r="C359" i="1"/>
  <c r="D359" i="1"/>
  <c r="E359" i="1"/>
  <c r="B360" i="1"/>
  <c r="C360" i="1"/>
  <c r="D360" i="1"/>
  <c r="E360" i="1"/>
  <c r="B361" i="1"/>
  <c r="C361" i="1"/>
  <c r="D361" i="1"/>
  <c r="E361" i="1"/>
  <c r="B362" i="1"/>
  <c r="C362" i="1"/>
  <c r="D362" i="1"/>
  <c r="E362" i="1"/>
  <c r="B363" i="1"/>
  <c r="C363" i="1"/>
  <c r="D363" i="1"/>
  <c r="E363" i="1"/>
  <c r="B364" i="1"/>
  <c r="C364" i="1"/>
  <c r="D364" i="1"/>
  <c r="E364" i="1"/>
  <c r="B365" i="1"/>
  <c r="C365" i="1"/>
  <c r="D365" i="1"/>
  <c r="E365" i="1"/>
  <c r="B366" i="1"/>
  <c r="C366" i="1"/>
  <c r="D366" i="1"/>
  <c r="E366" i="1"/>
  <c r="B367" i="1"/>
  <c r="C367" i="1"/>
  <c r="D367" i="1"/>
  <c r="E367" i="1"/>
  <c r="B368" i="1"/>
  <c r="C368" i="1"/>
  <c r="D368" i="1"/>
  <c r="E368" i="1"/>
  <c r="B369" i="1"/>
  <c r="C369" i="1"/>
  <c r="D369" i="1"/>
  <c r="E369" i="1"/>
  <c r="B370" i="1"/>
  <c r="C370" i="1"/>
  <c r="D370" i="1"/>
  <c r="B371" i="1"/>
  <c r="C371" i="1"/>
  <c r="D371" i="1"/>
  <c r="E371" i="1"/>
  <c r="B372" i="1"/>
  <c r="C372" i="1"/>
  <c r="D372" i="1"/>
  <c r="E372" i="1"/>
  <c r="B373" i="1"/>
  <c r="C373" i="1"/>
  <c r="D373" i="1"/>
  <c r="B374" i="1"/>
  <c r="C374" i="1"/>
  <c r="D374" i="1"/>
  <c r="E374" i="1"/>
  <c r="B375" i="1"/>
  <c r="C375" i="1"/>
  <c r="D375" i="1"/>
  <c r="E375" i="1"/>
  <c r="B376" i="1"/>
  <c r="C376" i="1"/>
  <c r="D376" i="1"/>
  <c r="E376" i="1"/>
  <c r="B377" i="1"/>
  <c r="C377" i="1"/>
  <c r="D377" i="1"/>
  <c r="E377" i="1"/>
  <c r="B378" i="1"/>
  <c r="C378" i="1"/>
  <c r="D378" i="1"/>
  <c r="E378" i="1"/>
  <c r="B379" i="1"/>
  <c r="C379" i="1"/>
  <c r="D379" i="1"/>
  <c r="E379" i="1"/>
  <c r="B380" i="1"/>
  <c r="C380" i="1"/>
  <c r="D380" i="1"/>
  <c r="E380" i="1"/>
  <c r="B381" i="1"/>
  <c r="C381" i="1"/>
  <c r="D381" i="1"/>
  <c r="B382" i="1"/>
  <c r="C382" i="1"/>
  <c r="D382" i="1"/>
  <c r="B383" i="1"/>
  <c r="C383" i="1"/>
  <c r="D383" i="1"/>
  <c r="E383" i="1"/>
  <c r="B384" i="1"/>
  <c r="C384" i="1"/>
  <c r="D384" i="1"/>
  <c r="E384" i="1"/>
  <c r="B385" i="1"/>
  <c r="C385" i="1"/>
  <c r="D385" i="1"/>
  <c r="E385" i="1"/>
  <c r="B386" i="1"/>
  <c r="C386" i="1"/>
  <c r="D386" i="1"/>
  <c r="E386" i="1"/>
  <c r="B387" i="1"/>
  <c r="C387" i="1"/>
  <c r="D387" i="1"/>
  <c r="E387" i="1"/>
  <c r="B388" i="1"/>
  <c r="C388" i="1"/>
  <c r="D388" i="1"/>
  <c r="E388" i="1"/>
  <c r="B389" i="1"/>
  <c r="C389" i="1"/>
  <c r="D389" i="1"/>
  <c r="E389" i="1"/>
  <c r="B390" i="1"/>
  <c r="C390" i="1"/>
  <c r="D390" i="1"/>
  <c r="E390" i="1"/>
  <c r="B391" i="1"/>
  <c r="C391" i="1"/>
  <c r="D391" i="1"/>
  <c r="E391" i="1"/>
  <c r="B392" i="1"/>
  <c r="C392" i="1"/>
  <c r="D392" i="1"/>
  <c r="E392" i="1"/>
  <c r="B393" i="1"/>
  <c r="C393" i="1"/>
  <c r="D393" i="1"/>
  <c r="E393" i="1"/>
  <c r="B394" i="1"/>
  <c r="C394" i="1"/>
  <c r="D394" i="1"/>
  <c r="E394" i="1"/>
  <c r="B395" i="1"/>
  <c r="C395" i="1"/>
  <c r="D395" i="1"/>
  <c r="E395" i="1"/>
  <c r="B396" i="1"/>
  <c r="C396" i="1"/>
  <c r="D396" i="1"/>
  <c r="E396" i="1"/>
  <c r="B397" i="1"/>
  <c r="C397" i="1"/>
  <c r="D397" i="1"/>
  <c r="E397" i="1"/>
  <c r="B398" i="1"/>
  <c r="C398" i="1"/>
  <c r="D398" i="1"/>
  <c r="B399" i="1"/>
  <c r="C399" i="1"/>
  <c r="D399" i="1"/>
  <c r="E399" i="1"/>
  <c r="B400" i="1"/>
  <c r="C400" i="1"/>
  <c r="D400" i="1"/>
  <c r="E400" i="1"/>
  <c r="B401" i="1"/>
  <c r="C401" i="1"/>
  <c r="D401" i="1"/>
  <c r="E401" i="1"/>
  <c r="B402" i="1"/>
  <c r="C402" i="1"/>
  <c r="D402" i="1"/>
  <c r="E402" i="1"/>
  <c r="B403" i="1"/>
  <c r="C403" i="1"/>
  <c r="D403" i="1"/>
  <c r="B404" i="1"/>
  <c r="C404" i="1"/>
  <c r="D404" i="1"/>
  <c r="B405" i="1"/>
  <c r="C405" i="1"/>
  <c r="D405" i="1"/>
  <c r="E405" i="1"/>
  <c r="B406" i="1"/>
  <c r="C406" i="1"/>
  <c r="D406" i="1"/>
  <c r="B407" i="1"/>
  <c r="C407" i="1"/>
  <c r="D407" i="1"/>
  <c r="B408" i="1"/>
  <c r="C408" i="1"/>
  <c r="D408" i="1"/>
  <c r="E408" i="1"/>
  <c r="B409" i="1"/>
  <c r="C409" i="1"/>
  <c r="D409" i="1"/>
  <c r="E409" i="1"/>
  <c r="B410" i="1"/>
  <c r="C410" i="1"/>
  <c r="D410" i="1"/>
  <c r="E410" i="1"/>
  <c r="B411" i="1"/>
  <c r="C411" i="1"/>
  <c r="D411" i="1"/>
  <c r="E411" i="1"/>
  <c r="B412" i="1"/>
  <c r="C412" i="1"/>
  <c r="D412" i="1"/>
  <c r="B413" i="1"/>
  <c r="C413" i="1"/>
  <c r="D413" i="1"/>
  <c r="E413" i="1"/>
  <c r="B414" i="1"/>
  <c r="C414" i="1"/>
  <c r="D414" i="1"/>
  <c r="E414" i="1"/>
  <c r="B415" i="1"/>
  <c r="C415" i="1"/>
  <c r="D415" i="1"/>
  <c r="E415" i="1"/>
  <c r="B416" i="1"/>
  <c r="C416" i="1"/>
  <c r="D416" i="1"/>
  <c r="E416" i="1"/>
  <c r="B417" i="1"/>
  <c r="C417" i="1"/>
  <c r="D417" i="1"/>
  <c r="E417" i="1"/>
  <c r="B418" i="1"/>
  <c r="C418" i="1"/>
  <c r="D418" i="1"/>
  <c r="E418" i="1"/>
  <c r="B419" i="1"/>
  <c r="C419" i="1"/>
  <c r="D419" i="1"/>
  <c r="E419" i="1"/>
  <c r="B420" i="1"/>
  <c r="C420" i="1"/>
  <c r="D420" i="1"/>
  <c r="E420" i="1"/>
  <c r="B421" i="1"/>
  <c r="C421" i="1"/>
  <c r="D421" i="1"/>
  <c r="E421" i="1"/>
  <c r="B422" i="1"/>
  <c r="C422" i="1"/>
  <c r="D422" i="1"/>
  <c r="E422" i="1"/>
  <c r="B423" i="1"/>
  <c r="C423" i="1"/>
  <c r="D423" i="1"/>
  <c r="E423" i="1"/>
  <c r="B424" i="1"/>
  <c r="C424" i="1"/>
  <c r="D424" i="1"/>
  <c r="E424" i="1"/>
  <c r="B425" i="1"/>
  <c r="C425" i="1"/>
  <c r="D425" i="1"/>
  <c r="E425" i="1"/>
  <c r="B426" i="1"/>
  <c r="C426" i="1"/>
  <c r="D426" i="1"/>
  <c r="E426" i="1"/>
  <c r="B427" i="1"/>
  <c r="C427" i="1"/>
  <c r="D427" i="1"/>
  <c r="E427" i="1"/>
  <c r="B428" i="1"/>
  <c r="C428" i="1"/>
  <c r="D428" i="1"/>
  <c r="E428" i="1"/>
  <c r="B429" i="1"/>
  <c r="C429" i="1"/>
  <c r="D429" i="1"/>
  <c r="E429" i="1"/>
  <c r="B430" i="1"/>
  <c r="C430" i="1"/>
  <c r="D430" i="1"/>
  <c r="B431" i="1"/>
  <c r="C431" i="1"/>
  <c r="D431" i="1"/>
  <c r="E431" i="1"/>
  <c r="B432" i="1"/>
  <c r="C432" i="1"/>
  <c r="D432" i="1"/>
  <c r="E432" i="1"/>
  <c r="B433" i="1"/>
  <c r="C433" i="1"/>
  <c r="D433" i="1"/>
  <c r="E433" i="1"/>
  <c r="B434" i="1"/>
  <c r="C434" i="1"/>
  <c r="D434" i="1"/>
  <c r="E434" i="1"/>
  <c r="B435" i="1"/>
  <c r="C435" i="1"/>
  <c r="D435" i="1"/>
  <c r="E435" i="1"/>
  <c r="B436" i="1"/>
  <c r="C436" i="1"/>
  <c r="D436" i="1"/>
  <c r="E436" i="1"/>
  <c r="B437" i="1"/>
  <c r="C437" i="1"/>
  <c r="D437" i="1"/>
  <c r="B438" i="1"/>
  <c r="C438" i="1"/>
  <c r="D438" i="1"/>
  <c r="B439" i="1"/>
  <c r="C439" i="1"/>
  <c r="D439" i="1"/>
  <c r="E439" i="1"/>
  <c r="B440" i="1"/>
  <c r="C440" i="1"/>
  <c r="D440" i="1"/>
  <c r="E440" i="1"/>
  <c r="B441" i="1"/>
  <c r="C441" i="1"/>
  <c r="D441" i="1"/>
  <c r="E441" i="1"/>
  <c r="B442" i="1"/>
  <c r="C442" i="1"/>
  <c r="D442" i="1"/>
  <c r="E442" i="1"/>
  <c r="B443" i="1"/>
  <c r="C443" i="1"/>
  <c r="D443" i="1"/>
  <c r="E443" i="1"/>
  <c r="B444" i="1"/>
  <c r="C444" i="1"/>
  <c r="D444" i="1"/>
  <c r="E444" i="1"/>
  <c r="B445" i="1"/>
  <c r="C445" i="1"/>
  <c r="D445" i="1"/>
  <c r="E445" i="1"/>
  <c r="B446" i="1"/>
  <c r="C446" i="1"/>
  <c r="D446" i="1"/>
  <c r="E446" i="1"/>
  <c r="B447" i="1"/>
  <c r="C447" i="1"/>
  <c r="D447" i="1"/>
  <c r="E447" i="1"/>
  <c r="B448" i="1"/>
  <c r="C448" i="1"/>
  <c r="D448" i="1"/>
  <c r="B449" i="1"/>
  <c r="C449" i="1"/>
  <c r="D449" i="1"/>
  <c r="E449" i="1"/>
  <c r="B450" i="1"/>
  <c r="C450" i="1"/>
  <c r="D450" i="1"/>
  <c r="E450" i="1"/>
  <c r="B451" i="1"/>
  <c r="C451" i="1"/>
  <c r="D451" i="1"/>
  <c r="E451" i="1"/>
  <c r="B452" i="1"/>
  <c r="C452" i="1"/>
  <c r="D452" i="1"/>
  <c r="E452" i="1"/>
  <c r="B453" i="1"/>
  <c r="C453" i="1"/>
  <c r="D453" i="1"/>
  <c r="E453" i="1"/>
  <c r="B454" i="1"/>
  <c r="C454" i="1"/>
  <c r="D454" i="1"/>
  <c r="E454" i="1"/>
  <c r="B455" i="1"/>
  <c r="C455" i="1"/>
  <c r="D455" i="1"/>
  <c r="E455" i="1"/>
  <c r="B456" i="1"/>
  <c r="C456" i="1"/>
  <c r="D456" i="1"/>
  <c r="E456" i="1"/>
  <c r="B457" i="1"/>
  <c r="C457" i="1"/>
  <c r="D457" i="1"/>
  <c r="E457" i="1"/>
  <c r="B458" i="1"/>
  <c r="C458" i="1"/>
  <c r="D458" i="1"/>
  <c r="E458" i="1"/>
  <c r="B459" i="1"/>
  <c r="C459" i="1"/>
  <c r="D459" i="1"/>
  <c r="E459" i="1"/>
  <c r="B460" i="1"/>
  <c r="C460" i="1"/>
  <c r="D460" i="1"/>
  <c r="E460" i="1"/>
  <c r="B461" i="1"/>
  <c r="C461" i="1"/>
  <c r="D461" i="1"/>
  <c r="E461" i="1"/>
  <c r="B462" i="1"/>
  <c r="C462" i="1"/>
  <c r="D462" i="1"/>
  <c r="E462" i="1"/>
  <c r="B463" i="1"/>
  <c r="C463" i="1"/>
  <c r="D463" i="1"/>
  <c r="B464" i="1"/>
  <c r="C464" i="1"/>
  <c r="D464" i="1"/>
  <c r="E464" i="1"/>
  <c r="B465" i="1"/>
  <c r="C465" i="1"/>
  <c r="D465" i="1"/>
  <c r="E465" i="1"/>
  <c r="B466" i="1"/>
  <c r="C466" i="1"/>
  <c r="D466" i="1"/>
  <c r="E466" i="1"/>
  <c r="B467" i="1"/>
  <c r="C467" i="1"/>
  <c r="D467" i="1"/>
  <c r="B468" i="1"/>
  <c r="C468" i="1"/>
  <c r="D468" i="1"/>
  <c r="E468" i="1"/>
  <c r="B469" i="1"/>
  <c r="C469" i="1"/>
  <c r="D469" i="1"/>
  <c r="E469" i="1"/>
  <c r="B470" i="1"/>
  <c r="C470" i="1"/>
  <c r="D470" i="1"/>
  <c r="E470" i="1"/>
  <c r="B471" i="1"/>
  <c r="C471" i="1"/>
  <c r="D471" i="1"/>
  <c r="B472" i="1"/>
  <c r="C472" i="1"/>
  <c r="D472" i="1"/>
  <c r="B473" i="1"/>
  <c r="C473" i="1"/>
  <c r="D473" i="1"/>
  <c r="E473" i="1"/>
  <c r="B474" i="1"/>
  <c r="C474" i="1"/>
  <c r="D474" i="1"/>
  <c r="E474" i="1"/>
  <c r="B475" i="1"/>
  <c r="C475" i="1"/>
  <c r="D475" i="1"/>
  <c r="E475" i="1"/>
  <c r="B476" i="1"/>
  <c r="C476" i="1"/>
  <c r="D476" i="1"/>
  <c r="E476" i="1"/>
  <c r="B477" i="1"/>
  <c r="C477" i="1"/>
  <c r="D477" i="1"/>
  <c r="B478" i="1"/>
  <c r="C478" i="1"/>
  <c r="D478" i="1"/>
  <c r="E478" i="1"/>
  <c r="B479" i="1"/>
  <c r="C479" i="1"/>
  <c r="D479" i="1"/>
  <c r="E479" i="1"/>
  <c r="B480" i="1"/>
  <c r="C480" i="1"/>
  <c r="D480" i="1"/>
  <c r="E480" i="1"/>
  <c r="B481" i="1"/>
  <c r="C481" i="1"/>
  <c r="D481" i="1"/>
  <c r="E481" i="1"/>
  <c r="B482" i="1"/>
  <c r="C482" i="1"/>
  <c r="D482" i="1"/>
  <c r="E482" i="1"/>
  <c r="B483" i="1"/>
  <c r="C483" i="1"/>
  <c r="D483" i="1"/>
  <c r="E483" i="1"/>
  <c r="B484" i="1"/>
  <c r="C484" i="1"/>
  <c r="D484" i="1"/>
  <c r="E484" i="1"/>
  <c r="B485" i="1"/>
  <c r="C485" i="1"/>
  <c r="D485" i="1"/>
  <c r="E485" i="1"/>
  <c r="B486" i="1"/>
  <c r="C486" i="1"/>
  <c r="D486" i="1"/>
  <c r="E486" i="1"/>
  <c r="B487" i="1"/>
  <c r="C487" i="1"/>
  <c r="D487" i="1"/>
  <c r="E487" i="1"/>
  <c r="B488" i="1"/>
  <c r="C488" i="1"/>
  <c r="D488" i="1"/>
  <c r="E488" i="1"/>
  <c r="B489" i="1"/>
  <c r="C489" i="1"/>
  <c r="D489" i="1"/>
  <c r="E489" i="1"/>
  <c r="B490" i="1"/>
  <c r="C490" i="1"/>
  <c r="D490" i="1"/>
  <c r="E490" i="1"/>
  <c r="B491" i="1"/>
  <c r="C491" i="1"/>
  <c r="D491" i="1"/>
  <c r="E491" i="1"/>
  <c r="B492" i="1"/>
  <c r="C492" i="1"/>
  <c r="D492" i="1"/>
  <c r="E492" i="1"/>
  <c r="B493" i="1"/>
  <c r="C493" i="1"/>
  <c r="D493" i="1"/>
  <c r="E493" i="1"/>
  <c r="B494" i="1"/>
  <c r="C494" i="1"/>
  <c r="D494" i="1"/>
  <c r="E494" i="1"/>
  <c r="B495" i="1"/>
  <c r="C495" i="1"/>
  <c r="D495" i="1"/>
  <c r="E495" i="1"/>
  <c r="B496" i="1"/>
  <c r="C496" i="1"/>
  <c r="D496" i="1"/>
  <c r="E496" i="1"/>
  <c r="B497" i="1"/>
  <c r="C497" i="1"/>
  <c r="D497" i="1"/>
  <c r="E497" i="1"/>
  <c r="B498" i="1"/>
  <c r="C498" i="1"/>
  <c r="D498" i="1"/>
  <c r="E498" i="1"/>
  <c r="B499" i="1"/>
  <c r="C499" i="1"/>
  <c r="D499" i="1"/>
  <c r="E499" i="1"/>
  <c r="B500" i="1"/>
  <c r="C500" i="1"/>
  <c r="D500" i="1"/>
  <c r="E500" i="1"/>
  <c r="B501" i="1"/>
  <c r="C501" i="1"/>
  <c r="D501" i="1"/>
  <c r="E501" i="1"/>
  <c r="B502" i="1"/>
  <c r="C502" i="1"/>
  <c r="D502" i="1"/>
  <c r="E502" i="1"/>
  <c r="B503" i="1"/>
  <c r="C503" i="1"/>
  <c r="D503" i="1"/>
  <c r="E503" i="1"/>
  <c r="B504" i="1"/>
  <c r="C504" i="1"/>
  <c r="D504" i="1"/>
  <c r="B505" i="1"/>
  <c r="C505" i="1"/>
  <c r="D505" i="1"/>
  <c r="E505" i="1"/>
  <c r="B506" i="1"/>
  <c r="C506" i="1"/>
  <c r="D506" i="1"/>
  <c r="E506" i="1"/>
  <c r="B507" i="1"/>
  <c r="C507" i="1"/>
  <c r="D507" i="1"/>
  <c r="E507" i="1"/>
  <c r="B508" i="1"/>
  <c r="C508" i="1"/>
  <c r="D508" i="1"/>
  <c r="E508" i="1"/>
  <c r="B509" i="1"/>
  <c r="C509" i="1"/>
  <c r="D509" i="1"/>
  <c r="B510" i="1"/>
  <c r="C510" i="1"/>
  <c r="D510" i="1"/>
  <c r="B511" i="1"/>
  <c r="C511" i="1"/>
  <c r="D511" i="1"/>
  <c r="E511" i="1"/>
  <c r="B512" i="1"/>
  <c r="C512" i="1"/>
  <c r="D512" i="1"/>
  <c r="E512" i="1"/>
  <c r="B513" i="1"/>
  <c r="C513" i="1"/>
  <c r="D513" i="1"/>
  <c r="E513" i="1"/>
  <c r="B514" i="1"/>
  <c r="C514" i="1"/>
  <c r="D514" i="1"/>
  <c r="E514" i="1"/>
  <c r="B515" i="1"/>
  <c r="C515" i="1"/>
  <c r="D515" i="1"/>
  <c r="B516" i="1"/>
  <c r="C516" i="1"/>
  <c r="D516" i="1"/>
  <c r="E516" i="1"/>
  <c r="B517" i="1"/>
  <c r="C517" i="1"/>
  <c r="D517" i="1"/>
  <c r="E517" i="1"/>
  <c r="B518" i="1"/>
  <c r="C518" i="1"/>
  <c r="D518" i="1"/>
  <c r="E518" i="1"/>
  <c r="B519" i="1"/>
  <c r="C519" i="1"/>
  <c r="D519" i="1"/>
  <c r="E519" i="1"/>
  <c r="B520" i="1"/>
  <c r="C520" i="1"/>
  <c r="D520" i="1"/>
  <c r="E520" i="1"/>
  <c r="B521" i="1"/>
  <c r="C521" i="1"/>
  <c r="D521" i="1"/>
  <c r="E521" i="1"/>
  <c r="B522" i="1"/>
  <c r="C522" i="1"/>
  <c r="D522" i="1"/>
  <c r="E522" i="1"/>
  <c r="B523" i="1"/>
  <c r="C523" i="1"/>
  <c r="D523" i="1"/>
  <c r="E523" i="1"/>
  <c r="B524" i="1"/>
  <c r="C524" i="1"/>
  <c r="D524" i="1"/>
  <c r="E524" i="1"/>
  <c r="B525" i="1"/>
  <c r="C525" i="1"/>
  <c r="D525" i="1"/>
  <c r="E525" i="1"/>
  <c r="B526" i="1"/>
  <c r="C526" i="1"/>
  <c r="D526" i="1"/>
  <c r="E526" i="1"/>
  <c r="B527" i="1"/>
  <c r="C527" i="1"/>
  <c r="D527" i="1"/>
  <c r="E527" i="1"/>
  <c r="B528" i="1"/>
  <c r="C528" i="1"/>
  <c r="D528" i="1"/>
  <c r="E528" i="1"/>
  <c r="B529" i="1"/>
  <c r="C529" i="1"/>
  <c r="D529" i="1"/>
  <c r="E529" i="1"/>
  <c r="B530" i="1"/>
  <c r="C530" i="1"/>
  <c r="D530" i="1"/>
  <c r="E530" i="1"/>
  <c r="B531" i="1"/>
  <c r="C531" i="1"/>
  <c r="D531" i="1"/>
  <c r="E531" i="1"/>
  <c r="B532" i="1"/>
  <c r="C532" i="1"/>
  <c r="D532" i="1"/>
  <c r="E532" i="1"/>
  <c r="B533" i="1"/>
  <c r="C533" i="1"/>
  <c r="D533" i="1"/>
  <c r="E533" i="1"/>
  <c r="B534" i="1"/>
  <c r="C534" i="1"/>
  <c r="D534" i="1"/>
  <c r="E534" i="1"/>
  <c r="B535" i="1"/>
  <c r="C535" i="1"/>
  <c r="D535" i="1"/>
  <c r="B536" i="1"/>
  <c r="C536" i="1"/>
  <c r="D536" i="1"/>
  <c r="E536" i="1"/>
  <c r="B537" i="1"/>
  <c r="C537" i="1"/>
  <c r="D537" i="1"/>
  <c r="E537" i="1"/>
  <c r="B538" i="1"/>
  <c r="C538" i="1"/>
  <c r="D538" i="1"/>
  <c r="B539" i="1"/>
  <c r="C539" i="1"/>
  <c r="D539" i="1"/>
  <c r="E539" i="1"/>
  <c r="B540" i="1"/>
  <c r="C540" i="1"/>
  <c r="D540" i="1"/>
  <c r="E540" i="1"/>
  <c r="B541" i="1"/>
  <c r="C541" i="1"/>
  <c r="D541" i="1"/>
  <c r="E541" i="1"/>
  <c r="B542" i="1"/>
  <c r="C542" i="1"/>
  <c r="D542" i="1"/>
  <c r="E542" i="1"/>
  <c r="B543" i="1"/>
  <c r="C543" i="1"/>
  <c r="D543" i="1"/>
  <c r="E543" i="1"/>
  <c r="B544" i="1"/>
  <c r="C544" i="1"/>
  <c r="D544" i="1"/>
  <c r="B545" i="1"/>
  <c r="C545" i="1"/>
  <c r="D545" i="1"/>
  <c r="E545" i="1"/>
  <c r="B546" i="1"/>
  <c r="C546" i="1"/>
  <c r="D546" i="1"/>
  <c r="E546" i="1"/>
  <c r="B547" i="1"/>
  <c r="C547" i="1"/>
  <c r="D547" i="1"/>
  <c r="B548" i="1"/>
  <c r="C548" i="1"/>
  <c r="D548" i="1"/>
  <c r="E548" i="1"/>
  <c r="B549" i="1"/>
  <c r="C549" i="1"/>
  <c r="D549" i="1"/>
  <c r="E549" i="1"/>
  <c r="B550" i="1"/>
  <c r="C550" i="1"/>
  <c r="D550" i="1"/>
  <c r="E550" i="1"/>
  <c r="B551" i="1"/>
  <c r="C551" i="1"/>
  <c r="D551" i="1"/>
  <c r="E551" i="1"/>
  <c r="B552" i="1"/>
  <c r="C552" i="1"/>
  <c r="D552" i="1"/>
  <c r="E552" i="1"/>
  <c r="B553" i="1"/>
  <c r="C553" i="1"/>
  <c r="D553" i="1"/>
  <c r="E553" i="1"/>
  <c r="B554" i="1"/>
  <c r="C554" i="1"/>
  <c r="D554" i="1"/>
  <c r="E554" i="1"/>
  <c r="B555" i="1"/>
  <c r="C555" i="1"/>
  <c r="D555" i="1"/>
  <c r="E555" i="1"/>
  <c r="B556" i="1"/>
  <c r="C556" i="1"/>
  <c r="D556" i="1"/>
  <c r="E556" i="1"/>
  <c r="B557" i="1"/>
  <c r="C557" i="1"/>
  <c r="D557" i="1"/>
  <c r="E557" i="1"/>
  <c r="B558" i="1"/>
  <c r="C558" i="1"/>
  <c r="D558" i="1"/>
  <c r="E558" i="1"/>
  <c r="B559" i="1"/>
  <c r="C559" i="1"/>
  <c r="D559" i="1"/>
  <c r="E559" i="1"/>
  <c r="B560" i="1"/>
  <c r="C560" i="1"/>
  <c r="D560" i="1"/>
  <c r="E560" i="1"/>
  <c r="B562" i="1"/>
  <c r="C562" i="1"/>
  <c r="D562" i="1"/>
  <c r="E562" i="1"/>
  <c r="B563" i="1"/>
  <c r="C563" i="1"/>
  <c r="D563" i="1"/>
  <c r="E563" i="1"/>
  <c r="B564" i="1"/>
  <c r="C564" i="1"/>
  <c r="D564" i="1"/>
  <c r="E564" i="1"/>
  <c r="B565" i="1"/>
  <c r="C565" i="1"/>
  <c r="D565" i="1"/>
  <c r="B566" i="1"/>
  <c r="C566" i="1"/>
  <c r="D566" i="1"/>
  <c r="E566" i="1"/>
  <c r="B567" i="1"/>
  <c r="C567" i="1"/>
  <c r="D567" i="1"/>
  <c r="E567" i="1"/>
  <c r="B568" i="1"/>
  <c r="C568" i="1"/>
  <c r="D568" i="1"/>
  <c r="E568" i="1"/>
  <c r="B569" i="1"/>
  <c r="C569" i="1"/>
  <c r="D569" i="1"/>
  <c r="E569" i="1"/>
  <c r="B570" i="1"/>
  <c r="C570" i="1"/>
  <c r="D570" i="1"/>
  <c r="E570" i="1"/>
  <c r="B571" i="1"/>
  <c r="C571" i="1"/>
  <c r="D571" i="1"/>
  <c r="E571" i="1"/>
  <c r="B572" i="1"/>
  <c r="C572" i="1"/>
  <c r="D572" i="1"/>
  <c r="E572" i="1"/>
  <c r="B573" i="1"/>
  <c r="C573" i="1"/>
  <c r="D573" i="1"/>
  <c r="E573" i="1"/>
  <c r="B574" i="1"/>
  <c r="C574" i="1"/>
  <c r="D574" i="1"/>
  <c r="E574" i="1"/>
  <c r="B575" i="1"/>
  <c r="C575" i="1"/>
  <c r="D575" i="1"/>
  <c r="E575" i="1"/>
  <c r="B576" i="1"/>
  <c r="C576" i="1"/>
  <c r="D576" i="1"/>
  <c r="E576" i="1"/>
  <c r="B577" i="1"/>
  <c r="C577" i="1"/>
  <c r="D577" i="1"/>
  <c r="E577" i="1"/>
  <c r="B578" i="1"/>
  <c r="C578" i="1"/>
  <c r="D578" i="1"/>
  <c r="E578" i="1"/>
  <c r="B579" i="1"/>
  <c r="C579" i="1"/>
  <c r="D579" i="1"/>
  <c r="B580" i="1"/>
  <c r="C580" i="1"/>
  <c r="D580" i="1"/>
  <c r="E580" i="1"/>
  <c r="B581" i="1"/>
  <c r="C581" i="1"/>
  <c r="D581" i="1"/>
  <c r="E581" i="1"/>
  <c r="B582" i="1"/>
  <c r="C582" i="1"/>
  <c r="D582" i="1"/>
  <c r="E582" i="1"/>
  <c r="B583" i="1"/>
  <c r="C583" i="1"/>
  <c r="D583" i="1"/>
  <c r="E583" i="1"/>
  <c r="B584" i="1"/>
  <c r="C584" i="1"/>
  <c r="D584" i="1"/>
  <c r="E584" i="1"/>
  <c r="B585" i="1"/>
  <c r="C585" i="1"/>
  <c r="D585" i="1"/>
  <c r="E585" i="1"/>
  <c r="B586" i="1"/>
  <c r="C586" i="1"/>
  <c r="D586" i="1"/>
  <c r="E586" i="1"/>
  <c r="B587" i="1"/>
  <c r="C587" i="1"/>
  <c r="D587" i="1"/>
  <c r="E587" i="1"/>
  <c r="B588" i="1"/>
  <c r="C588" i="1"/>
  <c r="D588" i="1"/>
  <c r="E588" i="1"/>
  <c r="B589" i="1"/>
  <c r="C589" i="1"/>
  <c r="D589" i="1"/>
  <c r="E589" i="1"/>
  <c r="B590" i="1"/>
  <c r="C590" i="1"/>
  <c r="D590" i="1"/>
  <c r="E590" i="1"/>
  <c r="B591" i="1"/>
  <c r="C591" i="1"/>
  <c r="D591" i="1"/>
  <c r="E591" i="1"/>
  <c r="B592" i="1"/>
  <c r="C592" i="1"/>
  <c r="D592" i="1"/>
  <c r="E592" i="1"/>
  <c r="B593" i="1"/>
  <c r="C593" i="1"/>
  <c r="D593" i="1"/>
  <c r="E593" i="1"/>
  <c r="B594" i="1"/>
  <c r="C594" i="1"/>
  <c r="D594" i="1"/>
  <c r="B595" i="1"/>
  <c r="C595" i="1"/>
  <c r="D595" i="1"/>
  <c r="E595" i="1"/>
  <c r="B596" i="1"/>
  <c r="C596" i="1"/>
  <c r="D596" i="1"/>
  <c r="B597" i="1"/>
  <c r="C597" i="1"/>
  <c r="D597" i="1"/>
  <c r="E597" i="1"/>
  <c r="B598" i="1"/>
  <c r="C598" i="1"/>
  <c r="D598" i="1"/>
  <c r="B599" i="1"/>
  <c r="C599" i="1"/>
  <c r="D599" i="1"/>
  <c r="E599" i="1"/>
  <c r="B600" i="1"/>
  <c r="C600" i="1"/>
  <c r="D600" i="1"/>
  <c r="E600" i="1"/>
  <c r="B601" i="1"/>
  <c r="C601" i="1"/>
  <c r="D601" i="1"/>
  <c r="B602" i="1"/>
  <c r="C602" i="1"/>
  <c r="D602" i="1"/>
  <c r="E602" i="1"/>
  <c r="B603" i="1"/>
  <c r="C603" i="1"/>
  <c r="D603" i="1"/>
  <c r="E603" i="1"/>
  <c r="B604" i="1"/>
  <c r="C604" i="1"/>
  <c r="D604" i="1"/>
  <c r="B605" i="1"/>
  <c r="C605" i="1"/>
  <c r="D605" i="1"/>
  <c r="E605" i="1"/>
  <c r="B606" i="1"/>
  <c r="C606" i="1"/>
  <c r="D606" i="1"/>
  <c r="E606" i="1"/>
  <c r="B607" i="1"/>
  <c r="C607" i="1"/>
  <c r="D607" i="1"/>
  <c r="E607" i="1"/>
  <c r="B608" i="1"/>
  <c r="C608" i="1"/>
  <c r="D608" i="1"/>
  <c r="E608" i="1"/>
  <c r="B609" i="1"/>
  <c r="C609" i="1"/>
  <c r="D609" i="1"/>
  <c r="E609" i="1"/>
  <c r="B610" i="1"/>
  <c r="C610" i="1"/>
  <c r="D610" i="1"/>
  <c r="E610" i="1"/>
  <c r="B611" i="1"/>
  <c r="C611" i="1"/>
  <c r="D611" i="1"/>
  <c r="E611" i="1"/>
  <c r="B612" i="1"/>
  <c r="C612" i="1"/>
  <c r="D612" i="1"/>
  <c r="E612" i="1"/>
  <c r="B613" i="1"/>
  <c r="C613" i="1"/>
  <c r="D613" i="1"/>
  <c r="E613" i="1"/>
  <c r="B614" i="1"/>
  <c r="C614" i="1"/>
  <c r="D614" i="1"/>
  <c r="E614" i="1"/>
  <c r="B615" i="1"/>
  <c r="C615" i="1"/>
  <c r="D615" i="1"/>
  <c r="E615" i="1"/>
  <c r="B616" i="1"/>
  <c r="C616" i="1"/>
  <c r="D616" i="1"/>
  <c r="E616" i="1"/>
  <c r="B617" i="1"/>
  <c r="C617" i="1"/>
  <c r="D617" i="1"/>
  <c r="E617" i="1"/>
  <c r="B618" i="1"/>
  <c r="C618" i="1"/>
  <c r="D618" i="1"/>
  <c r="E618" i="1"/>
  <c r="B619" i="1"/>
  <c r="C619" i="1"/>
  <c r="D619" i="1"/>
  <c r="E619" i="1"/>
  <c r="B620" i="1"/>
  <c r="C620" i="1"/>
  <c r="D620" i="1"/>
  <c r="E620" i="1"/>
  <c r="B621" i="1"/>
  <c r="C621" i="1"/>
  <c r="D621" i="1"/>
  <c r="E621" i="1"/>
  <c r="B622" i="1"/>
  <c r="C622" i="1"/>
  <c r="D622" i="1"/>
  <c r="E622" i="1"/>
  <c r="B623" i="1"/>
  <c r="C623" i="1"/>
  <c r="D623" i="1"/>
  <c r="E623" i="1"/>
  <c r="B624" i="1"/>
  <c r="C624" i="1"/>
  <c r="D624" i="1"/>
  <c r="E624" i="1"/>
  <c r="B625" i="1"/>
  <c r="C625" i="1"/>
  <c r="D625" i="1"/>
  <c r="E625" i="1"/>
  <c r="B626" i="1"/>
  <c r="C626" i="1"/>
  <c r="D626" i="1"/>
  <c r="E626" i="1"/>
  <c r="B627" i="1"/>
  <c r="C627" i="1"/>
  <c r="D627" i="1"/>
  <c r="E627" i="1"/>
  <c r="B628" i="1"/>
  <c r="C628" i="1"/>
  <c r="D628" i="1"/>
  <c r="E628" i="1"/>
  <c r="B629" i="1"/>
  <c r="C629" i="1"/>
  <c r="D629" i="1"/>
  <c r="E629" i="1"/>
  <c r="B630" i="1"/>
  <c r="C630" i="1"/>
  <c r="D630" i="1"/>
  <c r="E630" i="1"/>
  <c r="B631" i="1"/>
  <c r="C631" i="1"/>
  <c r="D631" i="1"/>
  <c r="E631" i="1"/>
  <c r="B632" i="1"/>
  <c r="C632" i="1"/>
  <c r="D632" i="1"/>
  <c r="E632" i="1"/>
  <c r="B633" i="1"/>
  <c r="C633" i="1"/>
  <c r="D633" i="1"/>
  <c r="E633" i="1"/>
  <c r="B634" i="1"/>
  <c r="C634" i="1"/>
  <c r="D634" i="1"/>
  <c r="E634" i="1"/>
  <c r="B635" i="1"/>
  <c r="C635" i="1"/>
  <c r="D635" i="1"/>
  <c r="E635" i="1"/>
  <c r="B636" i="1"/>
  <c r="C636" i="1"/>
  <c r="D636" i="1"/>
  <c r="E636" i="1"/>
  <c r="B637" i="1"/>
  <c r="C637" i="1"/>
  <c r="D637" i="1"/>
  <c r="E637" i="1"/>
  <c r="B638" i="1"/>
  <c r="C638" i="1"/>
  <c r="D638" i="1"/>
  <c r="E638" i="1"/>
  <c r="B639" i="1"/>
  <c r="C639" i="1"/>
  <c r="D639" i="1"/>
  <c r="E639" i="1"/>
  <c r="B640" i="1"/>
  <c r="C640" i="1"/>
  <c r="D640" i="1"/>
  <c r="E640" i="1"/>
  <c r="B641" i="1"/>
  <c r="C641" i="1"/>
  <c r="D641" i="1"/>
  <c r="E641" i="1"/>
  <c r="B642" i="1"/>
  <c r="C642" i="1"/>
  <c r="D642" i="1"/>
  <c r="E642" i="1"/>
  <c r="B643" i="1"/>
  <c r="C643" i="1"/>
  <c r="D643" i="1"/>
  <c r="E643" i="1"/>
  <c r="B644" i="1"/>
  <c r="C644" i="1"/>
  <c r="D644" i="1"/>
  <c r="E644" i="1"/>
  <c r="B645" i="1"/>
  <c r="C645" i="1"/>
  <c r="D645" i="1"/>
  <c r="E645" i="1"/>
  <c r="B646" i="1"/>
  <c r="C646" i="1"/>
  <c r="D646" i="1"/>
  <c r="E646" i="1"/>
  <c r="B647" i="1"/>
  <c r="C647" i="1"/>
  <c r="D647" i="1"/>
  <c r="E647" i="1"/>
  <c r="B648" i="1"/>
  <c r="C648" i="1"/>
  <c r="D648" i="1"/>
  <c r="E648" i="1"/>
  <c r="B649" i="1"/>
  <c r="C649" i="1"/>
  <c r="D649" i="1"/>
  <c r="E649" i="1"/>
  <c r="B650" i="1"/>
  <c r="C650" i="1"/>
  <c r="D650" i="1"/>
  <c r="E650" i="1"/>
  <c r="B651" i="1"/>
  <c r="C651" i="1"/>
  <c r="D651" i="1"/>
  <c r="B652" i="1"/>
  <c r="C652" i="1"/>
  <c r="D652" i="1"/>
  <c r="E652" i="1"/>
  <c r="B653" i="1"/>
  <c r="C653" i="1"/>
  <c r="D653" i="1"/>
  <c r="E653" i="1"/>
  <c r="B654" i="1"/>
  <c r="C654" i="1"/>
  <c r="D654" i="1"/>
  <c r="E654" i="1"/>
  <c r="B655" i="1"/>
  <c r="C655" i="1"/>
  <c r="D655" i="1"/>
  <c r="E655" i="1"/>
  <c r="B656" i="1"/>
  <c r="C656" i="1"/>
  <c r="D656" i="1"/>
  <c r="E656" i="1"/>
  <c r="B657" i="1"/>
  <c r="C657" i="1"/>
  <c r="D657" i="1"/>
  <c r="E657" i="1"/>
  <c r="B658" i="1"/>
  <c r="C658" i="1"/>
  <c r="D658" i="1"/>
  <c r="E658" i="1"/>
  <c r="B659" i="1"/>
  <c r="C659" i="1"/>
  <c r="D659" i="1"/>
  <c r="E659" i="1"/>
  <c r="B660" i="1"/>
  <c r="C660" i="1"/>
  <c r="D660" i="1"/>
  <c r="E660" i="1"/>
  <c r="B661" i="1"/>
  <c r="C661" i="1"/>
  <c r="D661" i="1"/>
  <c r="E661" i="1"/>
  <c r="B662" i="1"/>
  <c r="C662" i="1"/>
  <c r="D662" i="1"/>
  <c r="E662" i="1"/>
  <c r="B663" i="1"/>
  <c r="C663" i="1"/>
  <c r="D663" i="1"/>
  <c r="E663" i="1"/>
  <c r="B664" i="1"/>
  <c r="C664" i="1"/>
  <c r="D664" i="1"/>
  <c r="E664" i="1"/>
  <c r="B665" i="1"/>
  <c r="C665" i="1"/>
  <c r="D665" i="1"/>
  <c r="E665" i="1"/>
  <c r="B666" i="1"/>
  <c r="C666" i="1"/>
  <c r="D666" i="1"/>
  <c r="E666" i="1"/>
  <c r="B667" i="1"/>
  <c r="C667" i="1"/>
  <c r="D667" i="1"/>
  <c r="E667" i="1"/>
  <c r="B668" i="1"/>
  <c r="C668" i="1"/>
  <c r="D668" i="1"/>
  <c r="E668" i="1"/>
  <c r="B669" i="1"/>
  <c r="C669" i="1"/>
  <c r="D669" i="1"/>
  <c r="E669" i="1"/>
  <c r="B670" i="1"/>
  <c r="C670" i="1"/>
  <c r="D670" i="1"/>
  <c r="E670" i="1"/>
  <c r="B671" i="1"/>
  <c r="C671" i="1"/>
  <c r="D671" i="1"/>
  <c r="E671" i="1"/>
  <c r="B672" i="1"/>
  <c r="C672" i="1"/>
  <c r="D672" i="1"/>
  <c r="E672" i="1"/>
  <c r="B673" i="1"/>
  <c r="C673" i="1"/>
  <c r="D673" i="1"/>
  <c r="E673" i="1"/>
  <c r="B674" i="1"/>
  <c r="C674" i="1"/>
  <c r="D674" i="1"/>
  <c r="B675" i="1"/>
  <c r="C675" i="1"/>
  <c r="D675" i="1"/>
  <c r="E675" i="1"/>
  <c r="B676" i="1"/>
  <c r="C676" i="1"/>
  <c r="D676" i="1"/>
  <c r="E676" i="1"/>
  <c r="B677" i="1"/>
  <c r="C677" i="1"/>
  <c r="D677" i="1"/>
  <c r="E677" i="1"/>
  <c r="B678" i="1"/>
  <c r="C678" i="1"/>
  <c r="D678" i="1"/>
  <c r="E678" i="1"/>
  <c r="B679" i="1"/>
  <c r="C679" i="1"/>
  <c r="D679" i="1"/>
  <c r="E679" i="1"/>
  <c r="B680" i="1"/>
  <c r="C680" i="1"/>
  <c r="D680" i="1"/>
  <c r="E680" i="1"/>
  <c r="B681" i="1"/>
  <c r="C681" i="1"/>
  <c r="D681" i="1"/>
  <c r="E681" i="1"/>
  <c r="B682" i="1"/>
  <c r="C682" i="1"/>
  <c r="D682" i="1"/>
  <c r="E682" i="1"/>
  <c r="B683" i="1"/>
  <c r="C683" i="1"/>
  <c r="D683" i="1"/>
  <c r="E683" i="1"/>
  <c r="B684" i="1"/>
  <c r="C684" i="1"/>
  <c r="D684" i="1"/>
  <c r="E684" i="1"/>
  <c r="B685" i="1"/>
  <c r="C685" i="1"/>
  <c r="D685" i="1"/>
  <c r="B686" i="1"/>
  <c r="C686" i="1"/>
  <c r="D686" i="1"/>
  <c r="E686" i="1"/>
  <c r="B687" i="1"/>
  <c r="C687" i="1"/>
  <c r="D687" i="1"/>
  <c r="B688" i="1"/>
  <c r="C688" i="1"/>
  <c r="D688" i="1"/>
  <c r="E688" i="1"/>
  <c r="B689" i="1"/>
  <c r="C689" i="1"/>
  <c r="D689" i="1"/>
  <c r="E689" i="1"/>
  <c r="B690" i="1"/>
  <c r="C690" i="1"/>
  <c r="D690" i="1"/>
  <c r="E690" i="1"/>
  <c r="B691" i="1"/>
  <c r="C691" i="1"/>
  <c r="D691" i="1"/>
  <c r="E691" i="1"/>
  <c r="B692" i="1"/>
  <c r="C692" i="1"/>
  <c r="D692" i="1"/>
  <c r="E692" i="1"/>
  <c r="B693" i="1"/>
  <c r="C693" i="1"/>
  <c r="D693" i="1"/>
  <c r="E693" i="1"/>
  <c r="B694" i="1"/>
  <c r="C694" i="1"/>
  <c r="D694" i="1"/>
  <c r="E694" i="1"/>
  <c r="B695" i="1"/>
  <c r="C695" i="1"/>
  <c r="D695" i="1"/>
  <c r="E695" i="1"/>
  <c r="B696" i="1"/>
  <c r="C696" i="1"/>
  <c r="D696" i="1"/>
  <c r="E696" i="1"/>
  <c r="B697" i="1"/>
  <c r="C697" i="1"/>
  <c r="D697" i="1"/>
  <c r="E697" i="1"/>
  <c r="B698" i="1"/>
  <c r="C698" i="1"/>
  <c r="D698" i="1"/>
  <c r="E698" i="1"/>
  <c r="B699" i="1"/>
  <c r="C699" i="1"/>
  <c r="D699" i="1"/>
  <c r="E699" i="1"/>
  <c r="B700" i="1"/>
  <c r="C700" i="1"/>
  <c r="D700" i="1"/>
  <c r="E700" i="1"/>
  <c r="B701" i="1"/>
  <c r="C701" i="1"/>
  <c r="D701" i="1"/>
  <c r="B702" i="1"/>
  <c r="C702" i="1"/>
  <c r="D702" i="1"/>
  <c r="E702" i="1"/>
  <c r="B703" i="1"/>
  <c r="C703" i="1"/>
  <c r="D703" i="1"/>
  <c r="B704" i="1"/>
  <c r="C704" i="1"/>
  <c r="D704" i="1"/>
  <c r="E704" i="1"/>
  <c r="B705" i="1"/>
  <c r="C705" i="1"/>
  <c r="D705" i="1"/>
  <c r="E705" i="1"/>
  <c r="B706" i="1"/>
  <c r="C706" i="1"/>
  <c r="D706" i="1"/>
  <c r="E706" i="1"/>
  <c r="B707" i="1"/>
  <c r="C707" i="1"/>
  <c r="D707" i="1"/>
  <c r="E707" i="1"/>
  <c r="B708" i="1"/>
  <c r="C708" i="1"/>
  <c r="D708" i="1"/>
  <c r="E708" i="1"/>
  <c r="B709" i="1"/>
  <c r="C709" i="1"/>
  <c r="D709" i="1"/>
  <c r="E709" i="1"/>
  <c r="B710" i="1"/>
  <c r="C710" i="1"/>
  <c r="D710" i="1"/>
  <c r="E710" i="1"/>
  <c r="B711" i="1"/>
  <c r="C711" i="1"/>
  <c r="D711" i="1"/>
  <c r="E711" i="1"/>
  <c r="B712" i="1"/>
  <c r="C712" i="1"/>
  <c r="D712" i="1"/>
  <c r="E712" i="1"/>
  <c r="B713" i="1"/>
  <c r="C713" i="1"/>
  <c r="D713" i="1"/>
  <c r="E713" i="1"/>
  <c r="B714" i="1"/>
  <c r="C714" i="1"/>
  <c r="D714" i="1"/>
  <c r="E714" i="1"/>
  <c r="B715" i="1"/>
  <c r="C715" i="1"/>
  <c r="D715" i="1"/>
  <c r="E715" i="1"/>
  <c r="B716" i="1"/>
  <c r="C716" i="1"/>
  <c r="D716" i="1"/>
  <c r="E716" i="1"/>
  <c r="B717" i="1"/>
  <c r="C717" i="1"/>
  <c r="D717" i="1"/>
  <c r="E717" i="1"/>
  <c r="B718" i="1"/>
  <c r="C718" i="1"/>
  <c r="D718" i="1"/>
  <c r="E718" i="1"/>
  <c r="B719" i="1"/>
  <c r="C719" i="1"/>
  <c r="D719" i="1"/>
  <c r="E719" i="1"/>
  <c r="B720" i="1"/>
  <c r="C720" i="1"/>
  <c r="D720" i="1"/>
  <c r="E720" i="1"/>
  <c r="B721" i="1"/>
  <c r="C721" i="1"/>
  <c r="D721" i="1"/>
  <c r="E721" i="1"/>
  <c r="B722" i="1"/>
  <c r="C722" i="1"/>
  <c r="D722" i="1"/>
  <c r="E722" i="1"/>
  <c r="B723" i="1"/>
  <c r="C723" i="1"/>
  <c r="D723" i="1"/>
  <c r="E723" i="1"/>
  <c r="B724" i="1"/>
  <c r="C724" i="1"/>
  <c r="D724" i="1"/>
  <c r="E724" i="1"/>
  <c r="B725" i="1"/>
  <c r="C725" i="1"/>
  <c r="D725" i="1"/>
  <c r="E725" i="1"/>
  <c r="B726" i="1"/>
  <c r="C726" i="1"/>
  <c r="D726" i="1"/>
  <c r="E726" i="1"/>
  <c r="B727" i="1"/>
  <c r="C727" i="1"/>
  <c r="D727" i="1"/>
  <c r="E727" i="1"/>
  <c r="B728" i="1"/>
  <c r="C728" i="1"/>
  <c r="D728" i="1"/>
  <c r="E728" i="1"/>
  <c r="B729" i="1"/>
  <c r="C729" i="1"/>
  <c r="D729" i="1"/>
  <c r="E729" i="1"/>
  <c r="B730" i="1"/>
  <c r="C730" i="1"/>
  <c r="D730" i="1"/>
  <c r="E730" i="1"/>
  <c r="B731" i="1"/>
  <c r="C731" i="1"/>
  <c r="D731" i="1"/>
  <c r="E731" i="1"/>
  <c r="B732" i="1"/>
  <c r="C732" i="1"/>
  <c r="D732" i="1"/>
  <c r="E732" i="1"/>
  <c r="B733" i="1"/>
  <c r="C733" i="1"/>
  <c r="D733" i="1"/>
  <c r="E733" i="1"/>
  <c r="B734" i="1"/>
  <c r="C734" i="1"/>
  <c r="D734" i="1"/>
  <c r="E734" i="1"/>
  <c r="B735" i="1"/>
  <c r="C735" i="1"/>
  <c r="D735" i="1"/>
  <c r="E735" i="1"/>
  <c r="B736" i="1"/>
  <c r="C736" i="1"/>
  <c r="D736" i="1"/>
  <c r="E736" i="1"/>
  <c r="B737" i="1"/>
  <c r="C737" i="1"/>
  <c r="D737" i="1"/>
  <c r="E737" i="1"/>
  <c r="B738" i="1"/>
  <c r="C738" i="1"/>
  <c r="D738" i="1"/>
  <c r="E738" i="1"/>
  <c r="B739" i="1"/>
  <c r="C739" i="1"/>
  <c r="D739" i="1"/>
  <c r="E739" i="1"/>
  <c r="B740" i="1"/>
  <c r="C740" i="1"/>
  <c r="D740" i="1"/>
  <c r="E740" i="1"/>
  <c r="B741" i="1"/>
  <c r="C741" i="1"/>
  <c r="D741" i="1"/>
  <c r="E741" i="1"/>
  <c r="B742" i="1"/>
  <c r="C742" i="1"/>
  <c r="D742" i="1"/>
  <c r="E742" i="1"/>
  <c r="B743" i="1"/>
  <c r="C743" i="1"/>
  <c r="D743" i="1"/>
  <c r="E743" i="1"/>
  <c r="B744" i="1"/>
  <c r="C744" i="1"/>
  <c r="D744" i="1"/>
  <c r="E744" i="1"/>
  <c r="B745" i="1"/>
  <c r="C745" i="1"/>
  <c r="D745" i="1"/>
  <c r="E745" i="1"/>
  <c r="B746" i="1"/>
  <c r="C746" i="1"/>
  <c r="D746" i="1"/>
  <c r="E746" i="1"/>
  <c r="B747" i="1"/>
  <c r="C747" i="1"/>
  <c r="D747" i="1"/>
  <c r="E747" i="1"/>
  <c r="B748" i="1"/>
  <c r="C748" i="1"/>
  <c r="D748" i="1"/>
  <c r="B749" i="1"/>
  <c r="C749" i="1"/>
  <c r="D749" i="1"/>
  <c r="E749" i="1"/>
  <c r="B750" i="1"/>
  <c r="C750" i="1"/>
  <c r="D750" i="1"/>
  <c r="E750" i="1"/>
  <c r="B751" i="1"/>
  <c r="C751" i="1"/>
  <c r="D751" i="1"/>
  <c r="E751" i="1"/>
  <c r="B752" i="1"/>
  <c r="C752" i="1"/>
  <c r="D752" i="1"/>
  <c r="E752" i="1"/>
  <c r="B753" i="1"/>
  <c r="C753" i="1"/>
  <c r="D753" i="1"/>
  <c r="E753" i="1"/>
  <c r="B754" i="1"/>
  <c r="C754" i="1"/>
  <c r="D754" i="1"/>
  <c r="E754" i="1"/>
  <c r="B755" i="1"/>
  <c r="C755" i="1"/>
  <c r="D755" i="1"/>
  <c r="E755" i="1"/>
  <c r="B756" i="1"/>
  <c r="C756" i="1"/>
  <c r="D756" i="1"/>
  <c r="E756" i="1"/>
  <c r="B757" i="1"/>
  <c r="C757" i="1"/>
  <c r="D757" i="1"/>
  <c r="E757" i="1"/>
  <c r="B758" i="1"/>
  <c r="C758" i="1"/>
  <c r="D758" i="1"/>
  <c r="E758" i="1"/>
  <c r="B759" i="1"/>
  <c r="C759" i="1"/>
  <c r="D759" i="1"/>
  <c r="E759" i="1"/>
  <c r="B760" i="1"/>
  <c r="C760" i="1"/>
  <c r="D760" i="1"/>
  <c r="E760" i="1"/>
  <c r="B761" i="1"/>
  <c r="C761" i="1"/>
  <c r="D761" i="1"/>
  <c r="E761" i="1"/>
  <c r="B762" i="1"/>
  <c r="C762" i="1"/>
  <c r="D762" i="1"/>
  <c r="E762" i="1"/>
  <c r="B763" i="1"/>
  <c r="C763" i="1"/>
  <c r="D763" i="1"/>
  <c r="E763" i="1"/>
  <c r="B764" i="1"/>
  <c r="C764" i="1"/>
  <c r="D764" i="1"/>
  <c r="E764" i="1"/>
  <c r="B765" i="1"/>
  <c r="C765" i="1"/>
  <c r="D765" i="1"/>
  <c r="B766" i="1"/>
  <c r="C766" i="1"/>
  <c r="D766" i="1"/>
  <c r="E766" i="1"/>
  <c r="B767" i="1"/>
  <c r="C767" i="1"/>
  <c r="D767" i="1"/>
  <c r="E767" i="1"/>
  <c r="B768" i="1"/>
  <c r="C768" i="1"/>
  <c r="D768" i="1"/>
  <c r="E768" i="1"/>
  <c r="B769" i="1"/>
  <c r="C769" i="1"/>
  <c r="D769" i="1"/>
  <c r="E769" i="1"/>
  <c r="B770" i="1"/>
  <c r="C770" i="1"/>
  <c r="D770" i="1"/>
  <c r="E770" i="1"/>
  <c r="B771" i="1"/>
  <c r="C771" i="1"/>
  <c r="D771" i="1"/>
  <c r="E771" i="1"/>
  <c r="B772" i="1"/>
  <c r="C772" i="1"/>
  <c r="D772" i="1"/>
  <c r="E772" i="1"/>
  <c r="B773" i="1"/>
  <c r="C773" i="1"/>
  <c r="D773" i="1"/>
  <c r="E773" i="1"/>
  <c r="B774" i="1"/>
  <c r="C774" i="1"/>
  <c r="D774" i="1"/>
  <c r="B775" i="1"/>
  <c r="C775" i="1"/>
  <c r="D775" i="1"/>
  <c r="E775" i="1"/>
  <c r="B776" i="1"/>
  <c r="C776" i="1"/>
  <c r="D776" i="1"/>
  <c r="E776" i="1"/>
  <c r="B777" i="1"/>
  <c r="C777" i="1"/>
  <c r="D777" i="1"/>
  <c r="E777" i="1"/>
  <c r="B778" i="1"/>
  <c r="C778" i="1"/>
  <c r="D778" i="1"/>
  <c r="E778" i="1"/>
  <c r="B779" i="1"/>
  <c r="C779" i="1"/>
  <c r="D779" i="1"/>
  <c r="B781" i="1"/>
  <c r="C781" i="1"/>
  <c r="D781" i="1"/>
  <c r="E781" i="1"/>
  <c r="B782" i="1"/>
  <c r="C782" i="1"/>
  <c r="D782" i="1"/>
  <c r="E782" i="1"/>
  <c r="B783" i="1"/>
  <c r="C783" i="1"/>
  <c r="D783" i="1"/>
  <c r="E783" i="1"/>
  <c r="B784" i="1"/>
  <c r="C784" i="1"/>
  <c r="D784" i="1"/>
  <c r="E784" i="1"/>
  <c r="B785" i="1"/>
  <c r="C785" i="1"/>
  <c r="D785" i="1"/>
  <c r="E785" i="1"/>
  <c r="B786" i="1"/>
  <c r="C786" i="1"/>
  <c r="D786" i="1"/>
  <c r="E786" i="1"/>
  <c r="B787" i="1"/>
  <c r="C787" i="1"/>
  <c r="D787" i="1"/>
  <c r="E787" i="1"/>
  <c r="B788" i="1"/>
  <c r="C788" i="1"/>
  <c r="D788" i="1"/>
  <c r="E788" i="1"/>
  <c r="B789" i="1"/>
  <c r="C789" i="1"/>
  <c r="D789" i="1"/>
  <c r="E789" i="1"/>
  <c r="B790" i="1"/>
  <c r="C790" i="1"/>
  <c r="D790" i="1"/>
  <c r="E790" i="1"/>
  <c r="B791" i="1"/>
  <c r="C791" i="1"/>
  <c r="D791" i="1"/>
  <c r="E791" i="1"/>
  <c r="B792" i="1"/>
  <c r="C792" i="1"/>
  <c r="D792" i="1"/>
  <c r="E792" i="1"/>
  <c r="B793" i="1"/>
  <c r="C793" i="1"/>
  <c r="D793" i="1"/>
  <c r="E793" i="1"/>
  <c r="B794" i="1"/>
  <c r="C794" i="1"/>
  <c r="D794" i="1"/>
  <c r="E794" i="1"/>
  <c r="B795" i="1"/>
  <c r="C795" i="1"/>
  <c r="D795" i="1"/>
  <c r="E795" i="1"/>
  <c r="B796" i="1"/>
  <c r="C796" i="1"/>
  <c r="D796" i="1"/>
  <c r="E796" i="1"/>
  <c r="B797" i="1"/>
  <c r="C797" i="1"/>
  <c r="D797" i="1"/>
  <c r="E797" i="1"/>
  <c r="B798" i="1"/>
  <c r="C798" i="1"/>
  <c r="D798" i="1"/>
  <c r="E798" i="1"/>
  <c r="B799" i="1"/>
  <c r="C799" i="1"/>
  <c r="D799" i="1"/>
  <c r="E799" i="1"/>
  <c r="B800" i="1"/>
  <c r="C800" i="1"/>
  <c r="D800" i="1"/>
  <c r="E800" i="1"/>
  <c r="B801" i="1"/>
  <c r="C801" i="1"/>
  <c r="D801" i="1"/>
  <c r="E801" i="1"/>
  <c r="B802" i="1"/>
  <c r="C802" i="1"/>
  <c r="D802" i="1"/>
  <c r="E802" i="1"/>
  <c r="B803" i="1"/>
  <c r="C803" i="1"/>
  <c r="D803" i="1"/>
  <c r="E803" i="1"/>
  <c r="B804" i="1"/>
  <c r="C804" i="1"/>
  <c r="D804" i="1"/>
  <c r="E804" i="1"/>
  <c r="B805" i="1"/>
  <c r="C805" i="1"/>
  <c r="D805" i="1"/>
  <c r="E805" i="1"/>
  <c r="B806" i="1"/>
  <c r="C806" i="1"/>
  <c r="D806" i="1"/>
  <c r="E806" i="1"/>
  <c r="B808" i="1"/>
  <c r="C808" i="1"/>
  <c r="D808" i="1"/>
  <c r="E808" i="1"/>
  <c r="B809" i="1"/>
  <c r="C809" i="1"/>
  <c r="D809" i="1"/>
  <c r="E809" i="1"/>
  <c r="B811" i="1"/>
  <c r="C811" i="1"/>
  <c r="D811" i="1"/>
  <c r="E811" i="1"/>
  <c r="B812" i="1"/>
  <c r="C812" i="1"/>
  <c r="D812" i="1"/>
  <c r="E812" i="1"/>
  <c r="B814" i="1"/>
  <c r="C814" i="1"/>
  <c r="D814" i="1"/>
  <c r="E814" i="1"/>
  <c r="B815" i="1"/>
  <c r="C815" i="1"/>
  <c r="D815" i="1"/>
  <c r="E815" i="1"/>
  <c r="B816" i="1"/>
  <c r="C816" i="1"/>
  <c r="D816" i="1"/>
  <c r="E816" i="1"/>
  <c r="B817" i="1"/>
  <c r="C817" i="1"/>
  <c r="D817" i="1"/>
  <c r="E817" i="1"/>
  <c r="B818" i="1"/>
  <c r="C818" i="1"/>
  <c r="D818" i="1"/>
  <c r="E818" i="1"/>
  <c r="B819" i="1"/>
  <c r="C819" i="1"/>
  <c r="D819" i="1"/>
  <c r="E819" i="1"/>
  <c r="B820" i="1"/>
  <c r="C820" i="1"/>
  <c r="D820" i="1"/>
  <c r="E820" i="1"/>
  <c r="B821" i="1"/>
  <c r="C821" i="1"/>
  <c r="D821" i="1"/>
  <c r="E821" i="1"/>
  <c r="B822" i="1"/>
  <c r="C822" i="1"/>
  <c r="D822" i="1"/>
  <c r="E822" i="1"/>
  <c r="B823" i="1"/>
  <c r="C823" i="1"/>
  <c r="D823" i="1"/>
  <c r="E823" i="1"/>
  <c r="B824" i="1"/>
  <c r="C824" i="1"/>
  <c r="D824" i="1"/>
  <c r="E824" i="1"/>
  <c r="B825" i="1"/>
  <c r="C825" i="1"/>
  <c r="D825" i="1"/>
  <c r="E825" i="1"/>
  <c r="B826" i="1"/>
  <c r="C826" i="1"/>
  <c r="D826" i="1"/>
  <c r="E826" i="1"/>
  <c r="B827" i="1"/>
  <c r="C827" i="1"/>
  <c r="D827" i="1"/>
  <c r="E827" i="1"/>
  <c r="B828" i="1"/>
  <c r="C828" i="1"/>
  <c r="D828" i="1"/>
  <c r="E828" i="1"/>
  <c r="B829" i="1"/>
  <c r="C829" i="1"/>
  <c r="D829" i="1"/>
  <c r="E829" i="1"/>
  <c r="B830" i="1"/>
  <c r="C830" i="1"/>
  <c r="D830" i="1"/>
  <c r="E830" i="1"/>
  <c r="B831" i="1"/>
  <c r="C831" i="1"/>
  <c r="D831" i="1"/>
  <c r="E831" i="1"/>
  <c r="B833" i="1"/>
  <c r="C833" i="1"/>
  <c r="D833" i="1"/>
  <c r="E833" i="1"/>
  <c r="B834" i="1"/>
  <c r="C834" i="1"/>
  <c r="D834" i="1"/>
  <c r="E834" i="1"/>
  <c r="B835" i="1"/>
  <c r="C835" i="1"/>
  <c r="D835" i="1"/>
  <c r="E835" i="1"/>
  <c r="B836" i="1"/>
  <c r="C836" i="1"/>
  <c r="D836" i="1"/>
  <c r="E836" i="1"/>
  <c r="B837" i="1"/>
  <c r="C837" i="1"/>
  <c r="D837" i="1"/>
  <c r="E837" i="1"/>
  <c r="B838" i="1"/>
  <c r="C838" i="1"/>
  <c r="D838" i="1"/>
  <c r="E838" i="1"/>
  <c r="B839" i="1"/>
  <c r="C839" i="1"/>
  <c r="D839" i="1"/>
  <c r="E839" i="1"/>
  <c r="B840" i="1"/>
  <c r="C840" i="1"/>
  <c r="D840" i="1"/>
  <c r="E840" i="1"/>
  <c r="B841" i="1"/>
  <c r="C841" i="1"/>
  <c r="D841" i="1"/>
  <c r="E841" i="1"/>
  <c r="B842" i="1"/>
  <c r="C842" i="1"/>
  <c r="D842" i="1"/>
  <c r="E842" i="1"/>
  <c r="B843" i="1"/>
  <c r="C843" i="1"/>
  <c r="D843" i="1"/>
  <c r="E843" i="1"/>
  <c r="B844" i="1"/>
  <c r="C844" i="1"/>
  <c r="D844" i="1"/>
  <c r="E844" i="1"/>
  <c r="B845" i="1"/>
  <c r="C845" i="1"/>
  <c r="D845" i="1"/>
  <c r="E845" i="1"/>
  <c r="B846" i="1"/>
  <c r="C846" i="1"/>
  <c r="D846" i="1"/>
  <c r="E846" i="1"/>
  <c r="B847" i="1"/>
  <c r="C847" i="1"/>
  <c r="D847" i="1"/>
  <c r="E847" i="1"/>
  <c r="B848" i="1"/>
  <c r="C848" i="1"/>
  <c r="D848" i="1"/>
  <c r="E848" i="1"/>
  <c r="B849" i="1"/>
  <c r="C849" i="1"/>
  <c r="D849" i="1"/>
  <c r="E849" i="1"/>
  <c r="B850" i="1"/>
  <c r="C850" i="1"/>
  <c r="D850" i="1"/>
  <c r="E850" i="1"/>
  <c r="B851" i="1"/>
  <c r="C851" i="1"/>
  <c r="D851" i="1"/>
  <c r="E851" i="1"/>
  <c r="B852" i="1"/>
  <c r="C852" i="1"/>
  <c r="D852" i="1"/>
  <c r="E852" i="1"/>
  <c r="B853" i="1"/>
  <c r="C853" i="1"/>
  <c r="D853" i="1"/>
  <c r="E853" i="1"/>
  <c r="B854" i="1"/>
  <c r="C854" i="1"/>
  <c r="D854" i="1"/>
  <c r="E854" i="1"/>
  <c r="B855" i="1"/>
  <c r="C855" i="1"/>
  <c r="D855" i="1"/>
  <c r="E855" i="1"/>
  <c r="B856" i="1"/>
  <c r="C856" i="1"/>
  <c r="D856" i="1"/>
  <c r="E856" i="1"/>
  <c r="B857" i="1"/>
  <c r="C857" i="1"/>
  <c r="D857" i="1"/>
  <c r="E857" i="1"/>
  <c r="B858" i="1"/>
  <c r="C858" i="1"/>
  <c r="D858" i="1"/>
  <c r="E858" i="1"/>
  <c r="B859" i="1"/>
  <c r="C859" i="1"/>
  <c r="D859" i="1"/>
  <c r="E859" i="1"/>
  <c r="B860" i="1"/>
  <c r="C860" i="1"/>
  <c r="D860" i="1"/>
  <c r="E860" i="1"/>
  <c r="B861" i="1"/>
  <c r="C861" i="1"/>
  <c r="D861" i="1"/>
  <c r="E861" i="1"/>
  <c r="B862" i="1"/>
  <c r="C862" i="1"/>
  <c r="D862" i="1"/>
  <c r="E862" i="1"/>
  <c r="B863" i="1"/>
  <c r="C863" i="1"/>
  <c r="D863" i="1"/>
  <c r="E863" i="1"/>
  <c r="B864" i="1"/>
  <c r="C864" i="1"/>
  <c r="D864" i="1"/>
  <c r="E864" i="1"/>
  <c r="B865" i="1"/>
  <c r="C865" i="1"/>
  <c r="D865" i="1"/>
  <c r="E865" i="1"/>
  <c r="B866" i="1"/>
  <c r="C866" i="1"/>
  <c r="D866" i="1"/>
  <c r="E866" i="1"/>
  <c r="B867" i="1"/>
  <c r="C867" i="1"/>
  <c r="D867" i="1"/>
  <c r="E867" i="1"/>
  <c r="B868" i="1"/>
  <c r="C868" i="1"/>
  <c r="D868" i="1"/>
  <c r="E868" i="1"/>
  <c r="B869" i="1"/>
  <c r="C869" i="1"/>
  <c r="D869" i="1"/>
  <c r="E869" i="1"/>
  <c r="B870" i="1"/>
  <c r="C870" i="1"/>
  <c r="D870" i="1"/>
  <c r="E870" i="1"/>
  <c r="B871" i="1"/>
  <c r="C871" i="1"/>
  <c r="D871" i="1"/>
  <c r="E871" i="1"/>
  <c r="B872" i="1"/>
  <c r="C872" i="1"/>
  <c r="D872" i="1"/>
  <c r="E872" i="1"/>
  <c r="B873" i="1"/>
  <c r="C873" i="1"/>
  <c r="D873" i="1"/>
  <c r="E873" i="1"/>
  <c r="B874" i="1"/>
  <c r="C874" i="1"/>
  <c r="D874" i="1"/>
  <c r="E874" i="1"/>
  <c r="B875" i="1"/>
  <c r="C875" i="1"/>
  <c r="D875" i="1"/>
  <c r="E875" i="1"/>
  <c r="B877" i="1"/>
  <c r="C877" i="1"/>
  <c r="D877" i="1"/>
  <c r="E877" i="1"/>
  <c r="B878" i="1"/>
  <c r="C878" i="1"/>
  <c r="D878" i="1"/>
  <c r="E878" i="1"/>
  <c r="B879" i="1"/>
  <c r="C879" i="1"/>
  <c r="D879" i="1"/>
  <c r="E879" i="1"/>
  <c r="B881" i="1"/>
  <c r="C881" i="1"/>
  <c r="D881" i="1"/>
  <c r="E881" i="1"/>
  <c r="B882" i="1"/>
  <c r="C882" i="1"/>
  <c r="D882" i="1"/>
  <c r="E882" i="1"/>
  <c r="B883" i="1"/>
  <c r="C883" i="1"/>
  <c r="D883" i="1"/>
  <c r="E883" i="1"/>
  <c r="B884" i="1"/>
  <c r="C884" i="1"/>
  <c r="D884" i="1"/>
  <c r="E884" i="1"/>
  <c r="B885" i="1"/>
  <c r="C885" i="1"/>
  <c r="D885" i="1"/>
  <c r="E885" i="1"/>
  <c r="B886" i="1"/>
  <c r="C886" i="1"/>
  <c r="D886" i="1"/>
  <c r="E886" i="1"/>
  <c r="B887" i="1"/>
  <c r="C887" i="1"/>
  <c r="D887" i="1"/>
  <c r="E887" i="1"/>
  <c r="B888" i="1"/>
  <c r="C888" i="1"/>
  <c r="D888" i="1"/>
  <c r="E888" i="1"/>
  <c r="B889" i="1"/>
  <c r="C889" i="1"/>
  <c r="D889" i="1"/>
  <c r="E889" i="1"/>
  <c r="B890" i="1"/>
  <c r="C890" i="1"/>
  <c r="D890" i="1"/>
  <c r="E890" i="1"/>
  <c r="B891" i="1"/>
  <c r="C891" i="1"/>
  <c r="D891" i="1"/>
  <c r="E891" i="1"/>
  <c r="B892" i="1"/>
  <c r="C892" i="1"/>
  <c r="D892" i="1"/>
  <c r="E892" i="1"/>
  <c r="B893" i="1"/>
  <c r="C893" i="1"/>
  <c r="D893" i="1"/>
  <c r="E893" i="1"/>
  <c r="B894" i="1"/>
  <c r="C894" i="1"/>
  <c r="D894" i="1"/>
  <c r="E894" i="1"/>
  <c r="B895" i="1"/>
  <c r="C895" i="1"/>
  <c r="D895" i="1"/>
  <c r="E895" i="1"/>
  <c r="B896" i="1"/>
  <c r="C896" i="1"/>
  <c r="D896" i="1"/>
  <c r="E896" i="1"/>
  <c r="B897" i="1"/>
  <c r="C897" i="1"/>
  <c r="D897" i="1"/>
  <c r="E897" i="1"/>
  <c r="B898" i="1"/>
  <c r="C898" i="1"/>
  <c r="D898" i="1"/>
  <c r="E898" i="1"/>
  <c r="B899" i="1"/>
  <c r="C899" i="1"/>
  <c r="D899" i="1"/>
  <c r="E899" i="1"/>
  <c r="B900" i="1"/>
  <c r="C900" i="1"/>
  <c r="D900" i="1"/>
  <c r="E900" i="1"/>
  <c r="B901" i="1"/>
  <c r="C901" i="1"/>
  <c r="D901" i="1"/>
  <c r="E901" i="1"/>
  <c r="B902" i="1"/>
  <c r="C902" i="1"/>
  <c r="D902" i="1"/>
  <c r="E902" i="1"/>
  <c r="B903" i="1"/>
  <c r="C903" i="1"/>
  <c r="D903" i="1"/>
  <c r="E903" i="1"/>
  <c r="B904" i="1"/>
  <c r="C904" i="1"/>
  <c r="D904" i="1"/>
  <c r="E904" i="1"/>
  <c r="B905" i="1"/>
  <c r="C905" i="1"/>
  <c r="D905" i="1"/>
  <c r="E905" i="1"/>
  <c r="B906" i="1"/>
  <c r="C906" i="1"/>
  <c r="D906" i="1"/>
  <c r="E906" i="1"/>
  <c r="B907" i="1"/>
  <c r="C907" i="1"/>
  <c r="D907" i="1"/>
  <c r="E907" i="1"/>
  <c r="B908" i="1"/>
  <c r="C908" i="1"/>
  <c r="D908" i="1"/>
  <c r="E908" i="1"/>
  <c r="B909" i="1"/>
  <c r="C909" i="1"/>
  <c r="D909" i="1"/>
  <c r="E909" i="1"/>
  <c r="B910" i="1"/>
  <c r="C910" i="1"/>
  <c r="D910" i="1"/>
  <c r="E910" i="1"/>
  <c r="B911" i="1"/>
  <c r="C911" i="1"/>
  <c r="D911" i="1"/>
  <c r="E911" i="1"/>
  <c r="B912" i="1"/>
  <c r="C912" i="1"/>
  <c r="D912" i="1"/>
  <c r="E912" i="1"/>
  <c r="B913" i="1"/>
  <c r="C913" i="1"/>
  <c r="D913" i="1"/>
  <c r="E913" i="1"/>
  <c r="B914" i="1"/>
  <c r="C914" i="1"/>
  <c r="D914" i="1"/>
  <c r="E914" i="1"/>
  <c r="B915" i="1"/>
  <c r="C915" i="1"/>
  <c r="D915" i="1"/>
  <c r="E915" i="1"/>
  <c r="B916" i="1"/>
  <c r="C916" i="1"/>
  <c r="D916" i="1"/>
  <c r="E916" i="1"/>
  <c r="B917" i="1"/>
  <c r="C917" i="1"/>
  <c r="D917" i="1"/>
  <c r="E917" i="1"/>
  <c r="B918" i="1"/>
  <c r="C918" i="1"/>
  <c r="D918" i="1"/>
  <c r="E918" i="1"/>
  <c r="B919" i="1"/>
  <c r="C919" i="1"/>
  <c r="D919" i="1"/>
  <c r="E919" i="1"/>
  <c r="B920" i="1"/>
  <c r="C920" i="1"/>
  <c r="D920" i="1"/>
  <c r="E920" i="1"/>
  <c r="B921" i="1"/>
  <c r="C921" i="1"/>
  <c r="D921" i="1"/>
  <c r="E921" i="1"/>
  <c r="B922" i="1"/>
  <c r="C922" i="1"/>
  <c r="D922" i="1"/>
  <c r="E922" i="1"/>
  <c r="B923" i="1"/>
  <c r="C923" i="1"/>
  <c r="D923" i="1"/>
  <c r="E923" i="1"/>
  <c r="B924" i="1"/>
  <c r="C924" i="1"/>
  <c r="D924" i="1"/>
  <c r="E924" i="1"/>
  <c r="B925" i="1"/>
  <c r="C925" i="1"/>
  <c r="D925" i="1"/>
  <c r="E925" i="1"/>
  <c r="B927" i="1"/>
  <c r="C927" i="1"/>
  <c r="D927" i="1"/>
  <c r="E927" i="1"/>
  <c r="B928" i="1"/>
  <c r="C928" i="1"/>
  <c r="D928" i="1"/>
  <c r="E928" i="1"/>
  <c r="B929" i="1"/>
  <c r="C929" i="1"/>
  <c r="D929" i="1"/>
  <c r="E929" i="1"/>
  <c r="B930" i="1"/>
  <c r="C930" i="1"/>
  <c r="D930" i="1"/>
  <c r="E930" i="1"/>
  <c r="B931" i="1"/>
  <c r="C931" i="1"/>
  <c r="D931" i="1"/>
  <c r="E931" i="1"/>
  <c r="B932" i="1"/>
  <c r="C932" i="1"/>
  <c r="D932" i="1"/>
  <c r="E932" i="1"/>
  <c r="B934" i="1"/>
  <c r="C934" i="1"/>
  <c r="D934" i="1"/>
  <c r="E934" i="1"/>
  <c r="B935" i="1"/>
  <c r="C935" i="1"/>
  <c r="D935" i="1"/>
  <c r="E935" i="1"/>
  <c r="B936" i="1"/>
  <c r="C936" i="1"/>
  <c r="D936" i="1"/>
  <c r="E936" i="1"/>
  <c r="B937" i="1"/>
  <c r="C937" i="1"/>
  <c r="D937" i="1"/>
  <c r="E937" i="1"/>
  <c r="B938" i="1"/>
  <c r="C938" i="1"/>
  <c r="D938" i="1"/>
  <c r="E938" i="1"/>
  <c r="B939" i="1"/>
  <c r="C939" i="1"/>
  <c r="D939" i="1"/>
  <c r="E939" i="1"/>
  <c r="B940" i="1"/>
  <c r="C940" i="1"/>
  <c r="D940" i="1"/>
  <c r="E940" i="1"/>
  <c r="B941" i="1"/>
  <c r="C941" i="1"/>
  <c r="D941" i="1"/>
  <c r="E941" i="1"/>
  <c r="B942" i="1"/>
  <c r="C942" i="1"/>
  <c r="D942" i="1"/>
  <c r="E942" i="1"/>
  <c r="B943" i="1"/>
  <c r="C943" i="1"/>
  <c r="D943" i="1"/>
  <c r="E943" i="1"/>
  <c r="B944" i="1"/>
  <c r="C944" i="1"/>
  <c r="D944" i="1"/>
  <c r="E944" i="1"/>
  <c r="B945" i="1"/>
  <c r="C945" i="1"/>
  <c r="D945" i="1"/>
  <c r="E945" i="1"/>
  <c r="B946" i="1"/>
  <c r="C946" i="1"/>
  <c r="D946" i="1"/>
  <c r="E946" i="1"/>
  <c r="B947" i="1"/>
  <c r="C947" i="1"/>
  <c r="D947" i="1"/>
  <c r="E947" i="1"/>
  <c r="B948" i="1"/>
  <c r="C948" i="1"/>
  <c r="D948" i="1"/>
  <c r="E948" i="1"/>
  <c r="B949" i="1"/>
  <c r="C949" i="1"/>
  <c r="D949" i="1"/>
  <c r="E949" i="1"/>
  <c r="B950" i="1"/>
  <c r="C950" i="1"/>
  <c r="D950" i="1"/>
  <c r="E950" i="1"/>
  <c r="B951" i="1"/>
  <c r="C951" i="1"/>
  <c r="D951" i="1"/>
  <c r="E951" i="1"/>
  <c r="B952" i="1"/>
  <c r="C952" i="1"/>
  <c r="D952" i="1"/>
  <c r="E952" i="1"/>
  <c r="B953" i="1"/>
  <c r="C953" i="1"/>
  <c r="D953" i="1"/>
  <c r="E953" i="1"/>
  <c r="B954" i="1"/>
  <c r="C954" i="1"/>
  <c r="D954" i="1"/>
  <c r="E954" i="1"/>
  <c r="B955" i="1"/>
  <c r="C955" i="1"/>
  <c r="D955" i="1"/>
  <c r="E955" i="1"/>
  <c r="B956" i="1"/>
  <c r="C956" i="1"/>
  <c r="D956" i="1"/>
  <c r="E956" i="1"/>
  <c r="B957" i="1"/>
  <c r="C957" i="1"/>
  <c r="D957" i="1"/>
  <c r="E957" i="1"/>
  <c r="B958" i="1"/>
  <c r="C958" i="1"/>
  <c r="D958" i="1"/>
  <c r="E958" i="1"/>
  <c r="B959" i="1"/>
  <c r="C959" i="1"/>
  <c r="D959" i="1"/>
  <c r="E959" i="1"/>
  <c r="B960" i="1"/>
  <c r="C960" i="1"/>
  <c r="D960" i="1"/>
  <c r="E960" i="1"/>
  <c r="B961" i="1"/>
  <c r="C961" i="1"/>
  <c r="D961" i="1"/>
  <c r="E961" i="1"/>
  <c r="B962" i="1"/>
  <c r="C962" i="1"/>
  <c r="D962" i="1"/>
  <c r="E962" i="1"/>
  <c r="B963" i="1"/>
  <c r="C963" i="1"/>
  <c r="D963" i="1"/>
  <c r="E963" i="1"/>
  <c r="B964" i="1"/>
  <c r="C964" i="1"/>
  <c r="D964" i="1"/>
  <c r="E964" i="1"/>
  <c r="B965" i="1"/>
  <c r="C965" i="1"/>
  <c r="D965" i="1"/>
  <c r="E965" i="1"/>
  <c r="B966" i="1"/>
  <c r="C966" i="1"/>
  <c r="D966" i="1"/>
  <c r="E966" i="1"/>
  <c r="B967" i="1"/>
  <c r="C967" i="1"/>
  <c r="D967" i="1"/>
  <c r="E967" i="1"/>
  <c r="B968" i="1"/>
  <c r="C968" i="1"/>
  <c r="D968" i="1"/>
  <c r="E968" i="1"/>
  <c r="B969" i="1"/>
  <c r="C969" i="1"/>
  <c r="D969" i="1"/>
  <c r="E969" i="1"/>
  <c r="B970" i="1"/>
  <c r="C970" i="1"/>
  <c r="D970" i="1"/>
  <c r="E970" i="1"/>
  <c r="B971" i="1"/>
  <c r="C971" i="1"/>
  <c r="D971" i="1"/>
  <c r="E971" i="1"/>
  <c r="B972" i="1"/>
  <c r="C972" i="1"/>
  <c r="D972" i="1"/>
  <c r="E972" i="1"/>
  <c r="B973" i="1"/>
  <c r="C973" i="1"/>
  <c r="D973" i="1"/>
  <c r="E973" i="1"/>
  <c r="B974" i="1"/>
  <c r="C974" i="1"/>
  <c r="D974" i="1"/>
  <c r="E974" i="1"/>
  <c r="B975" i="1"/>
  <c r="C975" i="1"/>
  <c r="D975" i="1"/>
  <c r="E975" i="1"/>
  <c r="B976" i="1"/>
  <c r="C976" i="1"/>
  <c r="D976" i="1"/>
  <c r="E976" i="1"/>
  <c r="B977" i="1"/>
  <c r="C977" i="1"/>
  <c r="D977" i="1"/>
  <c r="E977" i="1"/>
  <c r="B978" i="1"/>
  <c r="C978" i="1"/>
  <c r="D978" i="1"/>
  <c r="E978" i="1"/>
  <c r="B979" i="1"/>
  <c r="C979" i="1"/>
  <c r="D979" i="1"/>
  <c r="E979" i="1"/>
  <c r="B980" i="1"/>
  <c r="C980" i="1"/>
  <c r="D980" i="1"/>
  <c r="E980" i="1"/>
  <c r="B981" i="1"/>
  <c r="C981" i="1"/>
  <c r="D981" i="1"/>
  <c r="E981" i="1"/>
  <c r="B982" i="1"/>
  <c r="C982" i="1"/>
  <c r="D982" i="1"/>
  <c r="E982" i="1"/>
  <c r="B984" i="1"/>
  <c r="C984" i="1"/>
  <c r="D984" i="1"/>
  <c r="E984" i="1"/>
  <c r="B985" i="1"/>
  <c r="C985" i="1"/>
  <c r="D985" i="1"/>
  <c r="E985" i="1"/>
  <c r="B986" i="1"/>
  <c r="C986" i="1"/>
  <c r="D986" i="1"/>
  <c r="E986" i="1"/>
  <c r="B987" i="1"/>
  <c r="C987" i="1"/>
  <c r="D987" i="1"/>
  <c r="E987" i="1"/>
  <c r="B989" i="1"/>
  <c r="C989" i="1"/>
  <c r="D989" i="1"/>
  <c r="E989" i="1"/>
  <c r="B990" i="1"/>
  <c r="C990" i="1"/>
  <c r="D990" i="1"/>
  <c r="E990" i="1"/>
  <c r="B991" i="1"/>
  <c r="C991" i="1"/>
  <c r="D991" i="1"/>
  <c r="E991" i="1"/>
  <c r="B992" i="1"/>
  <c r="C992" i="1"/>
  <c r="D992" i="1"/>
  <c r="E992" i="1"/>
  <c r="B993" i="1"/>
  <c r="C993" i="1"/>
  <c r="D993" i="1"/>
  <c r="E993" i="1"/>
  <c r="B994" i="1"/>
  <c r="C994" i="1"/>
  <c r="D994" i="1"/>
  <c r="E994" i="1"/>
  <c r="B995" i="1"/>
  <c r="C995" i="1"/>
  <c r="D995" i="1"/>
  <c r="E995" i="1"/>
  <c r="B996" i="1"/>
  <c r="C996" i="1"/>
  <c r="D996" i="1"/>
  <c r="E996" i="1"/>
  <c r="B997" i="1"/>
  <c r="C997" i="1"/>
  <c r="D997" i="1"/>
  <c r="E997" i="1"/>
  <c r="B998" i="1"/>
  <c r="C998" i="1"/>
  <c r="D998" i="1"/>
  <c r="E998" i="1"/>
  <c r="B999" i="1"/>
  <c r="C999" i="1"/>
  <c r="D999" i="1"/>
  <c r="E999" i="1"/>
  <c r="B1000" i="1"/>
  <c r="C1000" i="1"/>
  <c r="D1000" i="1"/>
  <c r="E1000" i="1"/>
  <c r="B1001" i="1"/>
  <c r="C1001" i="1"/>
  <c r="D1001" i="1"/>
  <c r="E1001" i="1"/>
  <c r="B1003" i="1"/>
  <c r="C1003" i="1"/>
  <c r="D1003" i="1"/>
  <c r="E1003" i="1"/>
  <c r="B1004" i="1"/>
  <c r="C1004" i="1"/>
  <c r="D1004" i="1"/>
  <c r="E1004" i="1"/>
  <c r="B1005" i="1"/>
  <c r="C1005" i="1"/>
  <c r="D1005" i="1"/>
  <c r="E1005" i="1"/>
  <c r="B1006" i="1"/>
  <c r="C1006" i="1"/>
  <c r="D1006" i="1"/>
  <c r="E1006" i="1"/>
  <c r="B1007" i="1"/>
  <c r="C1007" i="1"/>
  <c r="D1007" i="1"/>
  <c r="E1007" i="1"/>
  <c r="B1008" i="1"/>
  <c r="C1008" i="1"/>
  <c r="D1008" i="1"/>
  <c r="E1008" i="1"/>
  <c r="B1009" i="1"/>
  <c r="C1009" i="1"/>
  <c r="D1009" i="1"/>
  <c r="E1009" i="1"/>
  <c r="B1010" i="1"/>
  <c r="C1010" i="1"/>
  <c r="D1010" i="1"/>
  <c r="E1010" i="1"/>
  <c r="B1011" i="1"/>
  <c r="C1011" i="1"/>
  <c r="D1011" i="1"/>
  <c r="E1011" i="1"/>
  <c r="B1012" i="1"/>
  <c r="C1012" i="1"/>
  <c r="D1012" i="1"/>
  <c r="E1012" i="1"/>
  <c r="B1013" i="1"/>
  <c r="C1013" i="1"/>
  <c r="D1013" i="1"/>
  <c r="E1013" i="1"/>
  <c r="B1014" i="1"/>
  <c r="C1014" i="1"/>
  <c r="D1014" i="1"/>
  <c r="E1014" i="1"/>
  <c r="B1015" i="1"/>
  <c r="C1015" i="1"/>
  <c r="D1015" i="1"/>
  <c r="E1015" i="1"/>
  <c r="B1016" i="1"/>
  <c r="C1016" i="1"/>
  <c r="D1016" i="1"/>
  <c r="E1016" i="1"/>
  <c r="B1018" i="1"/>
  <c r="C1018" i="1"/>
  <c r="D1018" i="1"/>
  <c r="E1018" i="1"/>
  <c r="B1019" i="1"/>
  <c r="C1019" i="1"/>
  <c r="D1019" i="1"/>
  <c r="E1019" i="1"/>
  <c r="B1020" i="1"/>
  <c r="C1020" i="1"/>
  <c r="D1020" i="1"/>
  <c r="E1020" i="1"/>
  <c r="B1021" i="1"/>
  <c r="C1021" i="1"/>
  <c r="D1021" i="1"/>
  <c r="E1021" i="1"/>
  <c r="B1022" i="1"/>
  <c r="C1022" i="1"/>
  <c r="D1022" i="1"/>
  <c r="E1022" i="1"/>
  <c r="B1023" i="1"/>
  <c r="C1023" i="1"/>
  <c r="D1023" i="1"/>
  <c r="E1023" i="1"/>
  <c r="B1024" i="1"/>
  <c r="C1024" i="1"/>
  <c r="D1024" i="1"/>
  <c r="E1024" i="1"/>
  <c r="B1025" i="1"/>
  <c r="C1025" i="1"/>
  <c r="D1025" i="1"/>
  <c r="E1025" i="1"/>
  <c r="B1026" i="1"/>
  <c r="C1026" i="1"/>
  <c r="D1026" i="1"/>
  <c r="E1026" i="1"/>
  <c r="B1028" i="1"/>
  <c r="C1028" i="1"/>
  <c r="D1028" i="1"/>
  <c r="E1028" i="1"/>
  <c r="B1029" i="1"/>
  <c r="C1029" i="1"/>
  <c r="D1029" i="1"/>
  <c r="E1029" i="1"/>
  <c r="B1031" i="1"/>
  <c r="C1031" i="1"/>
  <c r="D1031" i="1"/>
  <c r="E1031" i="1"/>
  <c r="E1038" i="1"/>
  <c r="D1038" i="1"/>
  <c r="C1038" i="1"/>
  <c r="J1038" i="1"/>
  <c r="K1038" i="1"/>
  <c r="J1050" i="1"/>
  <c r="K1050" i="1"/>
  <c r="J1039" i="1"/>
  <c r="K1039" i="1"/>
  <c r="J1040" i="1"/>
  <c r="K1040" i="1"/>
  <c r="J1030" i="1"/>
  <c r="K1030" i="1"/>
  <c r="J1037" i="1"/>
  <c r="K1037" i="1"/>
  <c r="J1036" i="1"/>
  <c r="K1036" i="1"/>
  <c r="J1017" i="1"/>
  <c r="K1017" i="1"/>
  <c r="J1035" i="1"/>
  <c r="K1035" i="1"/>
  <c r="J1034" i="1"/>
  <c r="K1034" i="1"/>
  <c r="J1033" i="1"/>
  <c r="K1033" i="1"/>
  <c r="J1032" i="1"/>
  <c r="K1032" i="1"/>
  <c r="J1027" i="1"/>
  <c r="K1027" i="1"/>
  <c r="J1031" i="1"/>
  <c r="K1031" i="1"/>
  <c r="J1029" i="1"/>
  <c r="K1029" i="1"/>
  <c r="J1002" i="1"/>
  <c r="K1002" i="1"/>
  <c r="J1028" i="1"/>
  <c r="K1028" i="1"/>
  <c r="J1026" i="1"/>
  <c r="K1026" i="1"/>
  <c r="J1025" i="1"/>
  <c r="K1025" i="1"/>
  <c r="J1022" i="1"/>
  <c r="K1022" i="1"/>
  <c r="J1024" i="1"/>
  <c r="K1024" i="1"/>
  <c r="J954" i="1"/>
  <c r="K954" i="1"/>
  <c r="J1015" i="1"/>
  <c r="K1015" i="1"/>
  <c r="J1023" i="1"/>
  <c r="K1023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22" i="1"/>
  <c r="K515" i="1"/>
  <c r="K516" i="1"/>
  <c r="K597" i="1"/>
  <c r="K517" i="1"/>
  <c r="K744" i="1"/>
  <c r="K957" i="1"/>
  <c r="K827" i="1"/>
  <c r="K804" i="1"/>
  <c r="K524" i="1"/>
  <c r="K525" i="1"/>
  <c r="K526" i="1"/>
  <c r="K736" i="1"/>
  <c r="K948" i="1"/>
  <c r="K529" i="1"/>
  <c r="K530" i="1"/>
  <c r="K531" i="1"/>
  <c r="K532" i="1"/>
  <c r="K533" i="1"/>
  <c r="K534" i="1"/>
  <c r="K535" i="1"/>
  <c r="K850" i="1"/>
  <c r="K775" i="1"/>
  <c r="K996" i="1"/>
  <c r="K538" i="1"/>
  <c r="K984" i="1"/>
  <c r="K747" i="1"/>
  <c r="K755" i="1"/>
  <c r="K543" i="1"/>
  <c r="K795" i="1"/>
  <c r="K545" i="1"/>
  <c r="K546" i="1"/>
  <c r="K999" i="1"/>
  <c r="K547" i="1"/>
  <c r="K548" i="1"/>
  <c r="K578" i="1"/>
  <c r="K662" i="1"/>
  <c r="K746" i="1"/>
  <c r="K989" i="1"/>
  <c r="K553" i="1"/>
  <c r="K555" i="1"/>
  <c r="K842" i="1"/>
  <c r="K933" i="1"/>
  <c r="K726" i="1"/>
  <c r="K557" i="1"/>
  <c r="K560" i="1"/>
  <c r="K562" i="1"/>
  <c r="K925" i="1"/>
  <c r="K961" i="1"/>
  <c r="K962" i="1"/>
  <c r="K565" i="1"/>
  <c r="K566" i="1"/>
  <c r="K567" i="1"/>
  <c r="K606" i="1"/>
  <c r="K569" i="1"/>
  <c r="K570" i="1"/>
  <c r="K571" i="1"/>
  <c r="K554" i="1"/>
  <c r="K573" i="1"/>
  <c r="K575" i="1"/>
  <c r="K576" i="1"/>
  <c r="K624" i="1"/>
  <c r="K974" i="1"/>
  <c r="K579" i="1"/>
  <c r="K674" i="1"/>
  <c r="K581" i="1"/>
  <c r="K582" i="1"/>
  <c r="K661" i="1"/>
  <c r="K583" i="1"/>
  <c r="K584" i="1"/>
  <c r="K829" i="1"/>
  <c r="K586" i="1"/>
  <c r="K587" i="1"/>
  <c r="K589" i="1"/>
  <c r="K590" i="1"/>
  <c r="K591" i="1"/>
  <c r="K592" i="1"/>
  <c r="K593" i="1"/>
  <c r="K594" i="1"/>
  <c r="K617" i="1"/>
  <c r="K595" i="1"/>
  <c r="K835" i="1"/>
  <c r="K598" i="1"/>
  <c r="K599" i="1"/>
  <c r="K600" i="1"/>
  <c r="K601" i="1"/>
  <c r="K602" i="1"/>
  <c r="K702" i="1"/>
  <c r="K603" i="1"/>
  <c r="K604" i="1"/>
  <c r="K822" i="1"/>
  <c r="K607" i="1"/>
  <c r="K518" i="1"/>
  <c r="K608" i="1"/>
  <c r="K609" i="1"/>
  <c r="K610" i="1"/>
  <c r="K612" i="1"/>
  <c r="K694" i="1"/>
  <c r="K614" i="1"/>
  <c r="K708" i="1"/>
  <c r="K616" i="1"/>
  <c r="K656" i="1"/>
  <c r="K618" i="1"/>
  <c r="K519" i="1"/>
  <c r="K619" i="1"/>
  <c r="K856" i="1"/>
  <c r="K620" i="1"/>
  <c r="K621" i="1"/>
  <c r="K940" i="1"/>
  <c r="K625" i="1"/>
  <c r="K626" i="1"/>
  <c r="K627" i="1"/>
  <c r="K967" i="1"/>
  <c r="K1000" i="1"/>
  <c r="K630" i="1"/>
  <c r="K631" i="1"/>
  <c r="K622" i="1"/>
  <c r="K633" i="1"/>
  <c r="K683" i="1"/>
  <c r="K635" i="1"/>
  <c r="K636" i="1"/>
  <c r="K637" i="1"/>
  <c r="K638" i="1"/>
  <c r="K780" i="1"/>
  <c r="K639" i="1"/>
  <c r="K640" i="1"/>
  <c r="K641" i="1"/>
  <c r="K568" i="1"/>
  <c r="K644" i="1"/>
  <c r="K645" i="1"/>
  <c r="K646" i="1"/>
  <c r="K647" i="1"/>
  <c r="K648" i="1"/>
  <c r="K649" i="1"/>
  <c r="K623" i="1"/>
  <c r="K723" i="1"/>
  <c r="K650" i="1"/>
  <c r="K653" i="1"/>
  <c r="K915" i="1"/>
  <c r="K993" i="1"/>
  <c r="K979" i="1"/>
  <c r="K657" i="1"/>
  <c r="K658" i="1"/>
  <c r="K659" i="1"/>
  <c r="K660" i="1"/>
  <c r="K1001" i="1"/>
  <c r="K826" i="1"/>
  <c r="K663" i="1"/>
  <c r="K580" i="1"/>
  <c r="K520" i="1"/>
  <c r="K893" i="1"/>
  <c r="K848" i="1"/>
  <c r="K667" i="1"/>
  <c r="K574" i="1"/>
  <c r="K669" i="1"/>
  <c r="K671" i="1"/>
  <c r="K672" i="1"/>
  <c r="K664" i="1"/>
  <c r="K931" i="1"/>
  <c r="K675" i="1"/>
  <c r="K949" i="1"/>
  <c r="K676" i="1"/>
  <c r="K678" i="1"/>
  <c r="K947" i="1"/>
  <c r="K843" i="1"/>
  <c r="K681" i="1"/>
  <c r="K766" i="1"/>
  <c r="K846" i="1"/>
  <c r="K550" i="1"/>
  <c r="K611" i="1"/>
  <c r="K685" i="1"/>
  <c r="K686" i="1"/>
  <c r="K684" i="1"/>
  <c r="K688" i="1"/>
  <c r="K690" i="1"/>
  <c r="K691" i="1"/>
  <c r="K692" i="1"/>
  <c r="K997" i="1"/>
  <c r="K695" i="1"/>
  <c r="K748" i="1"/>
  <c r="K696" i="1"/>
  <c r="K697" i="1"/>
  <c r="K698" i="1"/>
  <c r="K699" i="1"/>
  <c r="K700" i="1"/>
  <c r="K863" i="1"/>
  <c r="K792" i="1"/>
  <c r="K703" i="1"/>
  <c r="K704" i="1"/>
  <c r="K705" i="1"/>
  <c r="K706" i="1"/>
  <c r="K707" i="1"/>
  <c r="K927" i="1"/>
  <c r="K709" i="1"/>
  <c r="K563" i="1"/>
  <c r="K711" i="1"/>
  <c r="K712" i="1"/>
  <c r="K585" i="1"/>
  <c r="K642" i="1"/>
  <c r="K715" i="1"/>
  <c r="K716" i="1"/>
  <c r="K629" i="1"/>
  <c r="K717" i="1"/>
  <c r="K724" i="1"/>
  <c r="K720" i="1"/>
  <c r="K737" i="1"/>
  <c r="K721" i="1"/>
  <c r="K798" i="1"/>
  <c r="K725" i="1"/>
  <c r="K549" i="1"/>
  <c r="K654" i="1"/>
  <c r="K727" i="1"/>
  <c r="K551" i="1"/>
  <c r="K729" i="1"/>
  <c r="K651" i="1"/>
  <c r="K701" i="1"/>
  <c r="K732" i="1"/>
  <c r="K809" i="1"/>
  <c r="K733" i="1"/>
  <c r="K734" i="1"/>
  <c r="K885" i="1"/>
  <c r="K632" i="1"/>
  <c r="K738" i="1"/>
  <c r="K739" i="1"/>
  <c r="K994" i="1"/>
  <c r="K544" i="1"/>
  <c r="K742" i="1"/>
  <c r="K743" i="1"/>
  <c r="K963" i="1"/>
  <c r="K745" i="1"/>
  <c r="K564" i="1"/>
  <c r="K871" i="1"/>
  <c r="K670" i="1"/>
  <c r="K741" i="1"/>
  <c r="K909" i="1"/>
  <c r="K749" i="1"/>
  <c r="K752" i="1"/>
  <c r="K753" i="1"/>
  <c r="K754" i="1"/>
  <c r="K756" i="1"/>
  <c r="K634" i="1"/>
  <c r="K801" i="1"/>
  <c r="K757" i="1"/>
  <c r="K852" i="1"/>
  <c r="K760" i="1"/>
  <c r="K761" i="1"/>
  <c r="K762" i="1"/>
  <c r="K763" i="1"/>
  <c r="K764" i="1"/>
  <c r="K765" i="1"/>
  <c r="K767" i="1"/>
  <c r="K836" i="1"/>
  <c r="K768" i="1"/>
  <c r="K552" i="1"/>
  <c r="K596" i="1"/>
  <c r="K771" i="1"/>
  <c r="K772" i="1"/>
  <c r="K773" i="1"/>
  <c r="K774" i="1"/>
  <c r="K718" i="1"/>
  <c r="K776" i="1"/>
  <c r="K777" i="1"/>
  <c r="K778" i="1"/>
  <c r="K779" i="1"/>
  <c r="K536" i="1"/>
  <c r="K781" i="1"/>
  <c r="K782" i="1"/>
  <c r="K783" i="1"/>
  <c r="K784" i="1"/>
  <c r="K728" i="1"/>
  <c r="K785" i="1"/>
  <c r="K787" i="1"/>
  <c r="K788" i="1"/>
  <c r="K789" i="1"/>
  <c r="K790" i="1"/>
  <c r="K932" i="1"/>
  <c r="K793" i="1"/>
  <c r="K794" i="1"/>
  <c r="K540" i="1"/>
  <c r="K558" i="1"/>
  <c r="K796" i="1"/>
  <c r="K797" i="1"/>
  <c r="K812" i="1"/>
  <c r="K799" i="1"/>
  <c r="K800" i="1"/>
  <c r="K921" i="1"/>
  <c r="K802" i="1"/>
  <c r="K803" i="1"/>
  <c r="K805" i="1"/>
  <c r="K677" i="1"/>
  <c r="K665" i="1"/>
  <c r="K807" i="1"/>
  <c r="K808" i="1"/>
  <c r="K759" i="1"/>
  <c r="K810" i="1"/>
  <c r="K905" i="1"/>
  <c r="K791" i="1"/>
  <c r="K813" i="1"/>
  <c r="K537" i="1"/>
  <c r="K815" i="1"/>
  <c r="K816" i="1"/>
  <c r="K977" i="1"/>
  <c r="K817" i="1"/>
  <c r="K819" i="1"/>
  <c r="K820" i="1"/>
  <c r="K821" i="1"/>
  <c r="K541" i="1"/>
  <c r="K823" i="1"/>
  <c r="K521" i="1"/>
  <c r="K825" i="1"/>
  <c r="K886" i="1"/>
  <c r="K679" i="1"/>
  <c r="K828" i="1"/>
  <c r="K877" i="1"/>
  <c r="K830" i="1"/>
  <c r="K831" i="1"/>
  <c r="K832" i="1"/>
  <c r="K833" i="1"/>
  <c r="K786" i="1"/>
  <c r="K542" i="1"/>
  <c r="K837" i="1"/>
  <c r="K735" i="1"/>
  <c r="K838" i="1"/>
  <c r="K839" i="1"/>
  <c r="K840" i="1"/>
  <c r="K841" i="1"/>
  <c r="K946" i="1"/>
  <c r="K844" i="1"/>
  <c r="K523" i="1"/>
  <c r="K539" i="1"/>
  <c r="K847" i="1"/>
  <c r="K673" i="1"/>
  <c r="K955" i="1"/>
  <c r="K849" i="1"/>
  <c r="K556" i="1"/>
  <c r="K851" i="1"/>
  <c r="K613" i="1"/>
  <c r="K853" i="1"/>
  <c r="K628" i="1"/>
  <c r="K968" i="1"/>
  <c r="K710" i="1"/>
  <c r="K857" i="1"/>
  <c r="K858" i="1"/>
  <c r="K750" i="1"/>
  <c r="K860" i="1"/>
  <c r="K861" i="1"/>
  <c r="K862" i="1"/>
  <c r="K769" i="1"/>
  <c r="K864" i="1"/>
  <c r="K814" i="1"/>
  <c r="K866" i="1"/>
  <c r="K867" i="1"/>
  <c r="K908" i="1"/>
  <c r="K964" i="1"/>
  <c r="K868" i="1"/>
  <c r="K936" i="1"/>
  <c r="K588" i="1"/>
  <c r="K605" i="1"/>
  <c r="K873" i="1"/>
  <c r="K874" i="1"/>
  <c r="K875" i="1"/>
  <c r="K878" i="1"/>
  <c r="K904" i="1"/>
  <c r="K879" i="1"/>
  <c r="K880" i="1"/>
  <c r="K881" i="1"/>
  <c r="K882" i="1"/>
  <c r="K883" i="1"/>
  <c r="K884" i="1"/>
  <c r="K887" i="1"/>
  <c r="K888" i="1"/>
  <c r="K666" i="1"/>
  <c r="K889" i="1"/>
  <c r="K890" i="1"/>
  <c r="K922" i="1"/>
  <c r="K891" i="1"/>
  <c r="K892" i="1"/>
  <c r="K894" i="1"/>
  <c r="K895" i="1"/>
  <c r="K751" i="1"/>
  <c r="K956" i="1"/>
  <c r="K898" i="1"/>
  <c r="K899" i="1"/>
  <c r="K900" i="1"/>
  <c r="K901" i="1"/>
  <c r="K902" i="1"/>
  <c r="K903" i="1"/>
  <c r="K527" i="1"/>
  <c r="K572" i="1"/>
  <c r="K906" i="1"/>
  <c r="K907" i="1"/>
  <c r="K942" i="1"/>
  <c r="K910" i="1"/>
  <c r="K970" i="1"/>
  <c r="K911" i="1"/>
  <c r="K912" i="1"/>
  <c r="K913" i="1"/>
  <c r="K722" i="1"/>
  <c r="K730" i="1"/>
  <c r="K528" i="1"/>
  <c r="K917" i="1"/>
  <c r="K918" i="1"/>
  <c r="K919" i="1"/>
  <c r="K920" i="1"/>
  <c r="K929" i="1"/>
  <c r="K980" i="1"/>
  <c r="K923" i="1"/>
  <c r="K713" i="1"/>
  <c r="K811" i="1"/>
  <c r="K559" i="1"/>
  <c r="K693" i="1"/>
  <c r="K928" i="1"/>
  <c r="K758" i="1"/>
  <c r="K824" i="1"/>
  <c r="K770" i="1"/>
  <c r="K924" i="1"/>
  <c r="K965" i="1"/>
  <c r="K577" i="1"/>
  <c r="K934" i="1"/>
  <c r="K937" i="1"/>
  <c r="K855" i="1"/>
  <c r="K938" i="1"/>
  <c r="K731" i="1"/>
  <c r="K991" i="1"/>
  <c r="K941" i="1"/>
  <c r="K943" i="1"/>
  <c r="K944" i="1"/>
  <c r="K945" i="1"/>
  <c r="K652" i="1"/>
  <c r="K806" i="1"/>
  <c r="K939" i="1"/>
  <c r="K689" i="1"/>
  <c r="K680" i="1"/>
  <c r="K950" i="1"/>
  <c r="K951" i="1"/>
  <c r="K952" i="1"/>
  <c r="K953" i="1"/>
  <c r="K818" i="1"/>
  <c r="K896" i="1"/>
  <c r="K958" i="1"/>
  <c r="K643" i="1"/>
  <c r="K959" i="1"/>
  <c r="K668" i="1"/>
  <c r="K740" i="1"/>
  <c r="K859" i="1"/>
  <c r="K930" i="1"/>
  <c r="K615" i="1"/>
  <c r="K854" i="1"/>
  <c r="K865" i="1"/>
  <c r="K869" i="1"/>
  <c r="K870" i="1"/>
  <c r="K969" i="1"/>
  <c r="K971" i="1"/>
  <c r="K872" i="1"/>
  <c r="K972" i="1"/>
  <c r="K973" i="1"/>
  <c r="K655" i="1"/>
  <c r="K975" i="1"/>
  <c r="K976" i="1"/>
  <c r="K682" i="1"/>
  <c r="K914" i="1"/>
  <c r="K714" i="1"/>
  <c r="K981" i="1"/>
  <c r="K834" i="1"/>
  <c r="K982" i="1"/>
  <c r="K916" i="1"/>
  <c r="K978" i="1"/>
  <c r="K876" i="1"/>
  <c r="K985" i="1"/>
  <c r="K986" i="1"/>
  <c r="K926" i="1"/>
  <c r="K990" i="1"/>
  <c r="K992" i="1"/>
  <c r="K687" i="1"/>
  <c r="K995" i="1"/>
  <c r="K719" i="1"/>
  <c r="K935" i="1"/>
  <c r="K966" i="1"/>
  <c r="K998" i="1"/>
  <c r="K987" i="1"/>
  <c r="K897" i="1"/>
  <c r="K1004" i="1"/>
  <c r="K1010" i="1"/>
  <c r="K1007" i="1"/>
  <c r="K1014" i="1"/>
  <c r="K1009" i="1"/>
  <c r="K983" i="1"/>
  <c r="K845" i="1"/>
  <c r="K1003" i="1"/>
  <c r="K1005" i="1"/>
  <c r="K1006" i="1"/>
  <c r="K1008" i="1"/>
  <c r="K1011" i="1"/>
  <c r="K1012" i="1"/>
  <c r="K1018" i="1"/>
  <c r="K1016" i="1"/>
  <c r="K960" i="1"/>
  <c r="K1013" i="1"/>
  <c r="K1019" i="1"/>
  <c r="K1020" i="1"/>
  <c r="K102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22" i="1"/>
  <c r="J515" i="1"/>
  <c r="J516" i="1"/>
  <c r="J597" i="1"/>
  <c r="J517" i="1"/>
  <c r="J744" i="1"/>
  <c r="J957" i="1"/>
  <c r="J827" i="1"/>
  <c r="J804" i="1"/>
  <c r="J524" i="1"/>
  <c r="J525" i="1"/>
  <c r="J526" i="1"/>
  <c r="J736" i="1"/>
  <c r="J948" i="1"/>
  <c r="J529" i="1"/>
  <c r="J530" i="1"/>
  <c r="J531" i="1"/>
  <c r="J532" i="1"/>
  <c r="J533" i="1"/>
  <c r="J534" i="1"/>
  <c r="J535" i="1"/>
  <c r="J850" i="1"/>
  <c r="J775" i="1"/>
  <c r="J996" i="1"/>
  <c r="J538" i="1"/>
  <c r="J984" i="1"/>
  <c r="J747" i="1"/>
  <c r="J755" i="1"/>
  <c r="J543" i="1"/>
  <c r="J795" i="1"/>
  <c r="J545" i="1"/>
  <c r="J546" i="1"/>
  <c r="J999" i="1"/>
  <c r="J547" i="1"/>
  <c r="J548" i="1"/>
  <c r="J578" i="1"/>
  <c r="J662" i="1"/>
  <c r="J746" i="1"/>
  <c r="J989" i="1"/>
  <c r="J553" i="1"/>
  <c r="J555" i="1"/>
  <c r="J842" i="1"/>
  <c r="J933" i="1"/>
  <c r="J726" i="1"/>
  <c r="J557" i="1"/>
  <c r="J560" i="1"/>
  <c r="J562" i="1"/>
  <c r="J925" i="1"/>
  <c r="J961" i="1"/>
  <c r="J962" i="1"/>
  <c r="J565" i="1"/>
  <c r="J566" i="1"/>
  <c r="J567" i="1"/>
  <c r="J606" i="1"/>
  <c r="J569" i="1"/>
  <c r="J570" i="1"/>
  <c r="J571" i="1"/>
  <c r="J554" i="1"/>
  <c r="J573" i="1"/>
  <c r="J575" i="1"/>
  <c r="J576" i="1"/>
  <c r="J624" i="1"/>
  <c r="J974" i="1"/>
  <c r="J579" i="1"/>
  <c r="J674" i="1"/>
  <c r="J581" i="1"/>
  <c r="J582" i="1"/>
  <c r="J661" i="1"/>
  <c r="J583" i="1"/>
  <c r="J584" i="1"/>
  <c r="J829" i="1"/>
  <c r="J586" i="1"/>
  <c r="J587" i="1"/>
  <c r="J589" i="1"/>
  <c r="J590" i="1"/>
  <c r="J591" i="1"/>
  <c r="J592" i="1"/>
  <c r="J593" i="1"/>
  <c r="J594" i="1"/>
  <c r="J617" i="1"/>
  <c r="J595" i="1"/>
  <c r="J835" i="1"/>
  <c r="J598" i="1"/>
  <c r="J599" i="1"/>
  <c r="J600" i="1"/>
  <c r="J601" i="1"/>
  <c r="J602" i="1"/>
  <c r="J702" i="1"/>
  <c r="J603" i="1"/>
  <c r="J604" i="1"/>
  <c r="J822" i="1"/>
  <c r="J607" i="1"/>
  <c r="J518" i="1"/>
  <c r="J608" i="1"/>
  <c r="J609" i="1"/>
  <c r="J610" i="1"/>
  <c r="J612" i="1"/>
  <c r="J694" i="1"/>
  <c r="J614" i="1"/>
  <c r="J708" i="1"/>
  <c r="J616" i="1"/>
  <c r="J656" i="1"/>
  <c r="J618" i="1"/>
  <c r="J519" i="1"/>
  <c r="J619" i="1"/>
  <c r="J856" i="1"/>
  <c r="J620" i="1"/>
  <c r="J621" i="1"/>
  <c r="J940" i="1"/>
  <c r="J625" i="1"/>
  <c r="J626" i="1"/>
  <c r="J627" i="1"/>
  <c r="J967" i="1"/>
  <c r="J1000" i="1"/>
  <c r="J630" i="1"/>
  <c r="J631" i="1"/>
  <c r="J622" i="1"/>
  <c r="J633" i="1"/>
  <c r="J683" i="1"/>
  <c r="J635" i="1"/>
  <c r="J636" i="1"/>
  <c r="J637" i="1"/>
  <c r="J638" i="1"/>
  <c r="J780" i="1"/>
  <c r="J639" i="1"/>
  <c r="J640" i="1"/>
  <c r="J641" i="1"/>
  <c r="J568" i="1"/>
  <c r="J644" i="1"/>
  <c r="J645" i="1"/>
  <c r="J646" i="1"/>
  <c r="J647" i="1"/>
  <c r="J648" i="1"/>
  <c r="J649" i="1"/>
  <c r="J623" i="1"/>
  <c r="J723" i="1"/>
  <c r="J650" i="1"/>
  <c r="J653" i="1"/>
  <c r="J915" i="1"/>
  <c r="J993" i="1"/>
  <c r="J979" i="1"/>
  <c r="J657" i="1"/>
  <c r="J658" i="1"/>
  <c r="J659" i="1"/>
  <c r="J660" i="1"/>
  <c r="J1001" i="1"/>
  <c r="J826" i="1"/>
  <c r="J663" i="1"/>
  <c r="J580" i="1"/>
  <c r="J520" i="1"/>
  <c r="J893" i="1"/>
  <c r="J848" i="1"/>
  <c r="J667" i="1"/>
  <c r="J574" i="1"/>
  <c r="J669" i="1"/>
  <c r="J671" i="1"/>
  <c r="J672" i="1"/>
  <c r="J664" i="1"/>
  <c r="J931" i="1"/>
  <c r="J675" i="1"/>
  <c r="J949" i="1"/>
  <c r="J676" i="1"/>
  <c r="J678" i="1"/>
  <c r="J947" i="1"/>
  <c r="J843" i="1"/>
  <c r="J681" i="1"/>
  <c r="J766" i="1"/>
  <c r="J846" i="1"/>
  <c r="J550" i="1"/>
  <c r="J611" i="1"/>
  <c r="J685" i="1"/>
  <c r="J686" i="1"/>
  <c r="J684" i="1"/>
  <c r="J688" i="1"/>
  <c r="J690" i="1"/>
  <c r="J691" i="1"/>
  <c r="J692" i="1"/>
  <c r="J997" i="1"/>
  <c r="J695" i="1"/>
  <c r="J748" i="1"/>
  <c r="J696" i="1"/>
  <c r="J697" i="1"/>
  <c r="J698" i="1"/>
  <c r="J699" i="1"/>
  <c r="J700" i="1"/>
  <c r="J863" i="1"/>
  <c r="J792" i="1"/>
  <c r="J703" i="1"/>
  <c r="J704" i="1"/>
  <c r="J705" i="1"/>
  <c r="J706" i="1"/>
  <c r="J707" i="1"/>
  <c r="J927" i="1"/>
  <c r="J709" i="1"/>
  <c r="J563" i="1"/>
  <c r="J711" i="1"/>
  <c r="J712" i="1"/>
  <c r="J585" i="1"/>
  <c r="J642" i="1"/>
  <c r="J715" i="1"/>
  <c r="J716" i="1"/>
  <c r="J629" i="1"/>
  <c r="J717" i="1"/>
  <c r="J724" i="1"/>
  <c r="J720" i="1"/>
  <c r="J737" i="1"/>
  <c r="J721" i="1"/>
  <c r="J798" i="1"/>
  <c r="J725" i="1"/>
  <c r="J549" i="1"/>
  <c r="J654" i="1"/>
  <c r="J727" i="1"/>
  <c r="J551" i="1"/>
  <c r="J729" i="1"/>
  <c r="J651" i="1"/>
  <c r="J701" i="1"/>
  <c r="J732" i="1"/>
  <c r="J809" i="1"/>
  <c r="J733" i="1"/>
  <c r="J734" i="1"/>
  <c r="J885" i="1"/>
  <c r="J632" i="1"/>
  <c r="J738" i="1"/>
  <c r="J739" i="1"/>
  <c r="J994" i="1"/>
  <c r="J544" i="1"/>
  <c r="J742" i="1"/>
  <c r="J743" i="1"/>
  <c r="J963" i="1"/>
  <c r="J745" i="1"/>
  <c r="J564" i="1"/>
  <c r="J871" i="1"/>
  <c r="J670" i="1"/>
  <c r="J741" i="1"/>
  <c r="J909" i="1"/>
  <c r="J749" i="1"/>
  <c r="J752" i="1"/>
  <c r="J753" i="1"/>
  <c r="J754" i="1"/>
  <c r="J756" i="1"/>
  <c r="J634" i="1"/>
  <c r="J801" i="1"/>
  <c r="J757" i="1"/>
  <c r="J852" i="1"/>
  <c r="J760" i="1"/>
  <c r="J761" i="1"/>
  <c r="J762" i="1"/>
  <c r="J763" i="1"/>
  <c r="J764" i="1"/>
  <c r="J765" i="1"/>
  <c r="J767" i="1"/>
  <c r="J836" i="1"/>
  <c r="J768" i="1"/>
  <c r="J552" i="1"/>
  <c r="J596" i="1"/>
  <c r="J771" i="1"/>
  <c r="J772" i="1"/>
  <c r="J773" i="1"/>
  <c r="J774" i="1"/>
  <c r="J718" i="1"/>
  <c r="J776" i="1"/>
  <c r="J777" i="1"/>
  <c r="J778" i="1"/>
  <c r="J779" i="1"/>
  <c r="J536" i="1"/>
  <c r="J781" i="1"/>
  <c r="J782" i="1"/>
  <c r="J783" i="1"/>
  <c r="J784" i="1"/>
  <c r="J728" i="1"/>
  <c r="J785" i="1"/>
  <c r="J787" i="1"/>
  <c r="J788" i="1"/>
  <c r="J789" i="1"/>
  <c r="J790" i="1"/>
  <c r="J932" i="1"/>
  <c r="J793" i="1"/>
  <c r="J794" i="1"/>
  <c r="J540" i="1"/>
  <c r="J558" i="1"/>
  <c r="J796" i="1"/>
  <c r="J797" i="1"/>
  <c r="J812" i="1"/>
  <c r="J799" i="1"/>
  <c r="J800" i="1"/>
  <c r="J921" i="1"/>
  <c r="J802" i="1"/>
  <c r="J803" i="1"/>
  <c r="J805" i="1"/>
  <c r="J677" i="1"/>
  <c r="J665" i="1"/>
  <c r="J807" i="1"/>
  <c r="J808" i="1"/>
  <c r="J759" i="1"/>
  <c r="J810" i="1"/>
  <c r="J905" i="1"/>
  <c r="J791" i="1"/>
  <c r="J813" i="1"/>
  <c r="J537" i="1"/>
  <c r="J815" i="1"/>
  <c r="J816" i="1"/>
  <c r="J977" i="1"/>
  <c r="J817" i="1"/>
  <c r="J819" i="1"/>
  <c r="J820" i="1"/>
  <c r="J821" i="1"/>
  <c r="J541" i="1"/>
  <c r="J823" i="1"/>
  <c r="J521" i="1"/>
  <c r="J825" i="1"/>
  <c r="J886" i="1"/>
  <c r="J679" i="1"/>
  <c r="J828" i="1"/>
  <c r="J877" i="1"/>
  <c r="J830" i="1"/>
  <c r="J831" i="1"/>
  <c r="J832" i="1"/>
  <c r="J833" i="1"/>
  <c r="J786" i="1"/>
  <c r="J542" i="1"/>
  <c r="J837" i="1"/>
  <c r="J735" i="1"/>
  <c r="J838" i="1"/>
  <c r="J839" i="1"/>
  <c r="J840" i="1"/>
  <c r="J841" i="1"/>
  <c r="J946" i="1"/>
  <c r="J844" i="1"/>
  <c r="J523" i="1"/>
  <c r="J539" i="1"/>
  <c r="J847" i="1"/>
  <c r="J673" i="1"/>
  <c r="J955" i="1"/>
  <c r="J849" i="1"/>
  <c r="J556" i="1"/>
  <c r="J851" i="1"/>
  <c r="J613" i="1"/>
  <c r="J853" i="1"/>
  <c r="J628" i="1"/>
  <c r="J968" i="1"/>
  <c r="J710" i="1"/>
  <c r="J857" i="1"/>
  <c r="J858" i="1"/>
  <c r="J750" i="1"/>
  <c r="J860" i="1"/>
  <c r="J861" i="1"/>
  <c r="J862" i="1"/>
  <c r="J769" i="1"/>
  <c r="J864" i="1"/>
  <c r="J814" i="1"/>
  <c r="J866" i="1"/>
  <c r="J867" i="1"/>
  <c r="J908" i="1"/>
  <c r="J964" i="1"/>
  <c r="J868" i="1"/>
  <c r="J936" i="1"/>
  <c r="J588" i="1"/>
  <c r="J605" i="1"/>
  <c r="J873" i="1"/>
  <c r="J874" i="1"/>
  <c r="J875" i="1"/>
  <c r="J878" i="1"/>
  <c r="J904" i="1"/>
  <c r="J879" i="1"/>
  <c r="J880" i="1"/>
  <c r="J881" i="1"/>
  <c r="J882" i="1"/>
  <c r="J883" i="1"/>
  <c r="J884" i="1"/>
  <c r="J887" i="1"/>
  <c r="J888" i="1"/>
  <c r="J666" i="1"/>
  <c r="J889" i="1"/>
  <c r="J890" i="1"/>
  <c r="J922" i="1"/>
  <c r="J891" i="1"/>
  <c r="J892" i="1"/>
  <c r="J894" i="1"/>
  <c r="J895" i="1"/>
  <c r="J751" i="1"/>
  <c r="J956" i="1"/>
  <c r="J898" i="1"/>
  <c r="J899" i="1"/>
  <c r="J900" i="1"/>
  <c r="J901" i="1"/>
  <c r="J902" i="1"/>
  <c r="J903" i="1"/>
  <c r="J527" i="1"/>
  <c r="J572" i="1"/>
  <c r="J906" i="1"/>
  <c r="J907" i="1"/>
  <c r="J942" i="1"/>
  <c r="J910" i="1"/>
  <c r="J970" i="1"/>
  <c r="J911" i="1"/>
  <c r="J912" i="1"/>
  <c r="J913" i="1"/>
  <c r="J722" i="1"/>
  <c r="J730" i="1"/>
  <c r="J528" i="1"/>
  <c r="J917" i="1"/>
  <c r="J918" i="1"/>
  <c r="J919" i="1"/>
  <c r="J920" i="1"/>
  <c r="J929" i="1"/>
  <c r="J980" i="1"/>
  <c r="J923" i="1"/>
  <c r="J713" i="1"/>
  <c r="J811" i="1"/>
  <c r="J559" i="1"/>
  <c r="J693" i="1"/>
  <c r="J928" i="1"/>
  <c r="J758" i="1"/>
  <c r="J824" i="1"/>
  <c r="J770" i="1"/>
  <c r="J924" i="1"/>
  <c r="J965" i="1"/>
  <c r="J577" i="1"/>
  <c r="J934" i="1"/>
  <c r="J937" i="1"/>
  <c r="J855" i="1"/>
  <c r="J938" i="1"/>
  <c r="J731" i="1"/>
  <c r="J991" i="1"/>
  <c r="J941" i="1"/>
  <c r="J943" i="1"/>
  <c r="J944" i="1"/>
  <c r="J945" i="1"/>
  <c r="J652" i="1"/>
  <c r="J806" i="1"/>
  <c r="J939" i="1"/>
  <c r="J689" i="1"/>
  <c r="J680" i="1"/>
  <c r="J950" i="1"/>
  <c r="J951" i="1"/>
  <c r="J952" i="1"/>
  <c r="J953" i="1"/>
  <c r="J818" i="1"/>
  <c r="J896" i="1"/>
  <c r="J958" i="1"/>
  <c r="J643" i="1"/>
  <c r="J959" i="1"/>
  <c r="J668" i="1"/>
  <c r="J740" i="1"/>
  <c r="J859" i="1"/>
  <c r="J930" i="1"/>
  <c r="J615" i="1"/>
  <c r="J854" i="1"/>
  <c r="J865" i="1"/>
  <c r="J869" i="1"/>
  <c r="J870" i="1"/>
  <c r="J969" i="1"/>
  <c r="J971" i="1"/>
  <c r="J872" i="1"/>
  <c r="J972" i="1"/>
  <c r="J973" i="1"/>
  <c r="J655" i="1"/>
  <c r="J975" i="1"/>
  <c r="J976" i="1"/>
  <c r="J682" i="1"/>
  <c r="J914" i="1"/>
  <c r="J714" i="1"/>
  <c r="J981" i="1"/>
  <c r="J834" i="1"/>
  <c r="J982" i="1"/>
  <c r="J916" i="1"/>
  <c r="J978" i="1"/>
  <c r="J876" i="1"/>
  <c r="J985" i="1"/>
  <c r="J986" i="1"/>
  <c r="J926" i="1"/>
  <c r="J990" i="1"/>
  <c r="J992" i="1"/>
  <c r="J687" i="1"/>
  <c r="J995" i="1"/>
  <c r="J719" i="1"/>
  <c r="J935" i="1"/>
  <c r="J966" i="1"/>
  <c r="J998" i="1"/>
  <c r="J987" i="1"/>
  <c r="J897" i="1"/>
  <c r="J1004" i="1"/>
  <c r="J1010" i="1"/>
  <c r="J1007" i="1"/>
  <c r="J1014" i="1"/>
  <c r="J1009" i="1"/>
  <c r="J983" i="1"/>
  <c r="J845" i="1"/>
  <c r="J1003" i="1"/>
  <c r="J1005" i="1"/>
  <c r="J1006" i="1"/>
  <c r="J1008" i="1"/>
  <c r="J1011" i="1"/>
  <c r="J1012" i="1"/>
  <c r="J1018" i="1"/>
  <c r="J1016" i="1"/>
  <c r="J960" i="1"/>
  <c r="J1013" i="1"/>
  <c r="J1019" i="1"/>
  <c r="J1020" i="1"/>
  <c r="J1021" i="1"/>
  <c r="E2" i="10"/>
  <c r="G304" i="16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G33" i="18" l="1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H944" i="1" l="1"/>
  <c r="E408" i="10" l="1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D2" i="10"/>
  <c r="C2" i="10"/>
  <c r="B2" i="10" s="1"/>
  <c r="B119" i="10" l="1"/>
  <c r="B389" i="10"/>
  <c r="B20" i="10"/>
  <c r="B160" i="10"/>
  <c r="B176" i="10"/>
  <c r="B184" i="10"/>
  <c r="B264" i="10"/>
  <c r="B272" i="10"/>
  <c r="B288" i="10"/>
  <c r="B320" i="10"/>
  <c r="B356" i="10"/>
  <c r="B400" i="10"/>
  <c r="B330" i="10"/>
  <c r="B135" i="10"/>
  <c r="B163" i="10"/>
  <c r="B283" i="10"/>
  <c r="B291" i="10"/>
  <c r="B307" i="10"/>
  <c r="B331" i="10"/>
  <c r="B351" i="10"/>
  <c r="B359" i="10"/>
  <c r="B395" i="10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362" i="10"/>
  <c r="B365" i="10"/>
  <c r="B305" i="10"/>
  <c r="B11" i="10"/>
  <c r="B19" i="10"/>
  <c r="B27" i="10"/>
  <c r="B35" i="10"/>
  <c r="B43" i="10"/>
  <c r="B51" i="10"/>
  <c r="B67" i="10"/>
  <c r="B75" i="10"/>
  <c r="B47" i="10"/>
  <c r="B71" i="10"/>
  <c r="B87" i="10"/>
  <c r="B343" i="10"/>
  <c r="B367" i="10"/>
  <c r="B403" i="10"/>
  <c r="B62" i="10"/>
  <c r="B78" i="10"/>
  <c r="B290" i="10"/>
  <c r="B306" i="10"/>
  <c r="B380" i="10"/>
  <c r="B388" i="10"/>
  <c r="B402" i="10"/>
  <c r="B22" i="10"/>
  <c r="B274" i="10"/>
  <c r="B358" i="10"/>
  <c r="B126" i="10"/>
  <c r="B140" i="10"/>
  <c r="B170" i="10"/>
  <c r="B342" i="10"/>
  <c r="B378" i="10"/>
  <c r="B386" i="10"/>
  <c r="B408" i="10"/>
  <c r="B6" i="10"/>
  <c r="B102" i="10"/>
  <c r="B298" i="10"/>
  <c r="B350" i="10"/>
  <c r="B394" i="10"/>
  <c r="B100" i="10"/>
  <c r="B304" i="10"/>
  <c r="B158" i="10"/>
  <c r="B338" i="10"/>
  <c r="B54" i="10"/>
  <c r="B86" i="10"/>
  <c r="B162" i="10"/>
  <c r="B282" i="10"/>
  <c r="B322" i="10"/>
  <c r="B68" i="10"/>
  <c r="B224" i="10"/>
  <c r="B328" i="10"/>
  <c r="B392" i="10"/>
  <c r="B196" i="10"/>
  <c r="B244" i="10"/>
  <c r="B260" i="10"/>
  <c r="B308" i="10"/>
  <c r="B316" i="10"/>
  <c r="B360" i="10"/>
  <c r="B368" i="10"/>
  <c r="B374" i="10"/>
  <c r="B404" i="10"/>
  <c r="B372" i="10"/>
  <c r="B95" i="10"/>
  <c r="B171" i="10"/>
  <c r="B187" i="10"/>
  <c r="B227" i="10"/>
  <c r="B267" i="10"/>
  <c r="B315" i="10"/>
  <c r="B177" i="10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36" i="10"/>
  <c r="B84" i="10"/>
  <c r="B132" i="10"/>
  <c r="B168" i="10"/>
  <c r="B208" i="10"/>
  <c r="B240" i="10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" i="10"/>
  <c r="B10" i="10"/>
  <c r="B13" i="10"/>
  <c r="B18" i="10"/>
  <c r="B21" i="10"/>
  <c r="B29" i="10"/>
  <c r="B34" i="10"/>
  <c r="B37" i="10"/>
  <c r="B42" i="10"/>
  <c r="B45" i="10"/>
  <c r="B50" i="10"/>
  <c r="B53" i="10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114" i="10"/>
  <c r="B341" i="10"/>
  <c r="B349" i="10"/>
  <c r="B357" i="10"/>
  <c r="B379" i="10"/>
  <c r="B387" i="10"/>
  <c r="B393" i="10"/>
  <c r="B401" i="10"/>
  <c r="B142" i="10"/>
  <c r="B352" i="10"/>
  <c r="B30" i="10"/>
  <c r="B94" i="10"/>
  <c r="B110" i="10"/>
  <c r="B118" i="10"/>
  <c r="B186" i="10"/>
  <c r="B48" i="10"/>
  <c r="B104" i="10"/>
  <c r="B120" i="10"/>
  <c r="B188" i="10"/>
  <c r="B204" i="10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3" i="10"/>
  <c r="B12" i="10"/>
  <c r="B80" i="10"/>
  <c r="B88" i="10"/>
</calcChain>
</file>

<file path=xl/sharedStrings.xml><?xml version="1.0" encoding="utf-8"?>
<sst xmlns="http://schemas.openxmlformats.org/spreadsheetml/2006/main" count="7027" uniqueCount="3355">
  <si>
    <t>Rijlabels</t>
  </si>
  <si>
    <t>Aantal van Datum</t>
  </si>
  <si>
    <t>Flexity</t>
  </si>
  <si>
    <t>Hermelijn</t>
  </si>
  <si>
    <t>Bart Van Der Beken</t>
  </si>
  <si>
    <t>Standaard</t>
  </si>
  <si>
    <t>Eindtotaal</t>
  </si>
  <si>
    <t>Brusselsesteenweg</t>
  </si>
  <si>
    <t>Gent</t>
  </si>
  <si>
    <t>Stelplaats GBR</t>
  </si>
  <si>
    <t>Stelplaats E17</t>
  </si>
  <si>
    <t>Gent Sint Pieters</t>
  </si>
  <si>
    <t>Rooigemlaan</t>
  </si>
  <si>
    <t>Zwijnaardsesteenweg</t>
  </si>
  <si>
    <t>Dampoort</t>
  </si>
  <si>
    <t>Morekstraat</t>
  </si>
  <si>
    <t>Dendermondsesteenweg</t>
  </si>
  <si>
    <t>Voskenslaan</t>
  </si>
  <si>
    <t>steendam</t>
  </si>
  <si>
    <t>Hundelgemsesteenweg</t>
  </si>
  <si>
    <t>Nieuwe Wandeling</t>
  </si>
  <si>
    <t>Noordstraat</t>
  </si>
  <si>
    <t>Brugsesteenweg</t>
  </si>
  <si>
    <t>Groeningewijk Gent</t>
  </si>
  <si>
    <t>Wondelgembrug</t>
  </si>
  <si>
    <t>Hovenierstraat</t>
  </si>
  <si>
    <t>Deinze</t>
  </si>
  <si>
    <t>Tolhuislaan</t>
  </si>
  <si>
    <t>Coupure</t>
  </si>
  <si>
    <t>Hoogstraat</t>
  </si>
  <si>
    <t>Meulesteedsesteenweg</t>
  </si>
  <si>
    <t>Drongensteenweg</t>
  </si>
  <si>
    <t>Dampoortstraat</t>
  </si>
  <si>
    <t>Kartuizerlaan</t>
  </si>
  <si>
    <t>Ledebergplein</t>
  </si>
  <si>
    <t xml:space="preserve">Stapelplein </t>
  </si>
  <si>
    <t>Opgeeistenlaan</t>
  </si>
  <si>
    <t>Neuseplein</t>
  </si>
  <si>
    <t>Doornzelestraat</t>
  </si>
  <si>
    <t>Brusselsepoort</t>
  </si>
  <si>
    <t>Gebroeders Van De Veldestraat</t>
  </si>
  <si>
    <t>Clarissenstraat</t>
  </si>
  <si>
    <t>Bevrijdingslaan</t>
  </si>
  <si>
    <t>Antoon sanderusstraat</t>
  </si>
  <si>
    <t>Gent zuid</t>
  </si>
  <si>
    <t>Port Arthurlaan</t>
  </si>
  <si>
    <t>Gentbruggestraat</t>
  </si>
  <si>
    <t xml:space="preserve">Sint Salvatorstraat </t>
  </si>
  <si>
    <t>Blaisantvest</t>
  </si>
  <si>
    <t>Steenakker</t>
  </si>
  <si>
    <t>Koning Albertstraat</t>
  </si>
  <si>
    <t>Zonnestraat</t>
  </si>
  <si>
    <t>Muidepoort</t>
  </si>
  <si>
    <t>Muidebrug</t>
  </si>
  <si>
    <t>UZ Gent</t>
  </si>
  <si>
    <t>Blandijnberg</t>
  </si>
  <si>
    <t>Sint Lievenspoort</t>
  </si>
  <si>
    <t>Meerhem</t>
  </si>
  <si>
    <t>Technologiepark</t>
  </si>
  <si>
    <t>Meeuwstraat</t>
  </si>
  <si>
    <t>Zuidstationstraat</t>
  </si>
  <si>
    <t>Melle</t>
  </si>
  <si>
    <t>Gasmeterlaan</t>
  </si>
  <si>
    <t>Meulestede</t>
  </si>
  <si>
    <t>Astene</t>
  </si>
  <si>
    <t>Molenstraat</t>
  </si>
  <si>
    <t>Tolpoort</t>
  </si>
  <si>
    <t>Baarledorp</t>
  </si>
  <si>
    <t>contributiestraat</t>
  </si>
  <si>
    <t>Muide</t>
  </si>
  <si>
    <t>Hofbouwlaan</t>
  </si>
  <si>
    <t>(leeg)</t>
  </si>
  <si>
    <t>Sint Pietersaalstraat</t>
  </si>
  <si>
    <t>De Pintelaan</t>
  </si>
  <si>
    <t>Sleepstraat</t>
  </si>
  <si>
    <t>Einde were</t>
  </si>
  <si>
    <t>Koning albertlaan</t>
  </si>
  <si>
    <t>Evergemsesteenweg</t>
  </si>
  <si>
    <t>Burggravenlaan</t>
  </si>
  <si>
    <t>Hagelandkaai</t>
  </si>
  <si>
    <t>Dikkelindestraat</t>
  </si>
  <si>
    <t>Oude houtlei</t>
  </si>
  <si>
    <t>UZ</t>
  </si>
  <si>
    <t>Overzet</t>
  </si>
  <si>
    <t>Clementinalaan</t>
  </si>
  <si>
    <t>Phoenixstraat</t>
  </si>
  <si>
    <t>Ledeberg</t>
  </si>
  <si>
    <t>Pilorijnstraat</t>
  </si>
  <si>
    <t>Lijnmolenstraat</t>
  </si>
  <si>
    <t>Ham</t>
  </si>
  <si>
    <t>Brugsepoort</t>
  </si>
  <si>
    <t>Sint Jorisbrug</t>
  </si>
  <si>
    <t>Keizer karelstraat</t>
  </si>
  <si>
    <t>Temse</t>
  </si>
  <si>
    <t>eksaarderijweg</t>
  </si>
  <si>
    <t>Kolegemstraat</t>
  </si>
  <si>
    <t>Evergem</t>
  </si>
  <si>
    <t>Spaarstraat</t>
  </si>
  <si>
    <t>Koninging Elisabethlaan</t>
  </si>
  <si>
    <t>Karekietlaan</t>
  </si>
  <si>
    <t>Kortrijksepoortstraat</t>
  </si>
  <si>
    <t>Wondelgem</t>
  </si>
  <si>
    <t>Kortrijksesteenweg</t>
  </si>
  <si>
    <t>Segersplein</t>
  </si>
  <si>
    <t>krijtestraat</t>
  </si>
  <si>
    <t>Heuvelpoort</t>
  </si>
  <si>
    <t>Kruisem</t>
  </si>
  <si>
    <t>Stelplaats Destelbergen</t>
  </si>
  <si>
    <t>Kunstlaan</t>
  </si>
  <si>
    <t>John F Kennedylaan</t>
  </si>
  <si>
    <t>Laarne</t>
  </si>
  <si>
    <t>Van Rijhovelaan</t>
  </si>
  <si>
    <t>Lammerstraat</t>
  </si>
  <si>
    <t>Winkelstraat</t>
  </si>
  <si>
    <t>Land van Rhodelaan</t>
  </si>
  <si>
    <t>Kerkstraat</t>
  </si>
  <si>
    <t>Berkhoutestraat</t>
  </si>
  <si>
    <t>Salvatorstraat</t>
  </si>
  <si>
    <t>Groene valei</t>
  </si>
  <si>
    <t>Sint Baafsplein</t>
  </si>
  <si>
    <t>Speurder</t>
  </si>
  <si>
    <t>Sint pieters nieuwstraat</t>
  </si>
  <si>
    <t>Antoon Catriestraat</t>
  </si>
  <si>
    <t>Heymanslaan</t>
  </si>
  <si>
    <t>Frere Orbanlaan</t>
  </si>
  <si>
    <t>Hollenaarstraat</t>
  </si>
  <si>
    <t>Maaltebruggestraat</t>
  </si>
  <si>
    <t>Citadellaan</t>
  </si>
  <si>
    <t>Malem</t>
  </si>
  <si>
    <t>Ter Platen</t>
  </si>
  <si>
    <t>Martelaarslaan</t>
  </si>
  <si>
    <t>Tweebruggenstraat</t>
  </si>
  <si>
    <t>Behijnhoflaan</t>
  </si>
  <si>
    <t>Van Beverenplein</t>
  </si>
  <si>
    <t>Gebroeders de smetstraat</t>
  </si>
  <si>
    <t>Vlaanderenstraat</t>
  </si>
  <si>
    <t>Doornzelesteenweg</t>
  </si>
  <si>
    <t>Merelbeke statrion</t>
  </si>
  <si>
    <t>Wittewalle</t>
  </si>
  <si>
    <t>Bernard Spaelaan</t>
  </si>
  <si>
    <t>Keizerpoort</t>
  </si>
  <si>
    <t>braemkasteelstraat</t>
  </si>
  <si>
    <t>Kikvorsstraat</t>
  </si>
  <si>
    <t>Gent Dampoort</t>
  </si>
  <si>
    <t>Drongen plein</t>
  </si>
  <si>
    <t>Beelbroekstraat</t>
  </si>
  <si>
    <t>Sassekaai</t>
  </si>
  <si>
    <t>Moscou</t>
  </si>
  <si>
    <t>Sint Amandsstraat</t>
  </si>
  <si>
    <t>Drapstraat</t>
  </si>
  <si>
    <t>Sint Bernadettestraat</t>
  </si>
  <si>
    <t>Gentbrugge</t>
  </si>
  <si>
    <t>Bernadettestraat</t>
  </si>
  <si>
    <t>Drongen</t>
  </si>
  <si>
    <t>Heiveldstraat</t>
  </si>
  <si>
    <t>N60</t>
  </si>
  <si>
    <t>sint-Pietersnieuwstraat</t>
  </si>
  <si>
    <t>Nazareth</t>
  </si>
  <si>
    <t>Snellaertplein</t>
  </si>
  <si>
    <t>Nazarethsesteenweg</t>
  </si>
  <si>
    <t>Edelsteenstraat</t>
  </si>
  <si>
    <t>Gentsesteenweg Deinze</t>
  </si>
  <si>
    <t>Belfortstraat</t>
  </si>
  <si>
    <t>Nieuwe vaart</t>
  </si>
  <si>
    <t>Houtdoklaan</t>
  </si>
  <si>
    <t>Brugsepoortstraat</t>
  </si>
  <si>
    <t>Eke</t>
  </si>
  <si>
    <t>Gentstraat (Oostakker)</t>
  </si>
  <si>
    <t>Tentoonstellingslaan</t>
  </si>
  <si>
    <t>Onbekend</t>
  </si>
  <si>
    <t>Bollebergen</t>
  </si>
  <si>
    <t>Oostakker</t>
  </si>
  <si>
    <t>Trolleyloods</t>
  </si>
  <si>
    <t>Gravenbolwerkstraat</t>
  </si>
  <si>
    <t>Tweekappellestraat</t>
  </si>
  <si>
    <t>Groene staakstraat</t>
  </si>
  <si>
    <t>brabantdam</t>
  </si>
  <si>
    <t>Oudebareelstraat</t>
  </si>
  <si>
    <t>Van Goethemstraat</t>
  </si>
  <si>
    <t>overpoortstraat</t>
  </si>
  <si>
    <t>Verenigde Natielaan</t>
  </si>
  <si>
    <t>Blaarmeersen</t>
  </si>
  <si>
    <t>volvo cars</t>
  </si>
  <si>
    <t>P+R Ledeberg</t>
  </si>
  <si>
    <t>Westergemstraat</t>
  </si>
  <si>
    <t>Palinghuizen</t>
  </si>
  <si>
    <t>Willy Maststraat</t>
  </si>
  <si>
    <t>Papegaaistraat</t>
  </si>
  <si>
    <t>Wittebroodhof</t>
  </si>
  <si>
    <t>Pauwstraat</t>
  </si>
  <si>
    <t>Wondegembrug</t>
  </si>
  <si>
    <t>Groentenmarkt</t>
  </si>
  <si>
    <t>Wondelgem station</t>
  </si>
  <si>
    <t>Grote steenweg noord (zwijnaarde</t>
  </si>
  <si>
    <t>Zomerstraat</t>
  </si>
  <si>
    <t>Poel</t>
  </si>
  <si>
    <t>zuiderlaan</t>
  </si>
  <si>
    <t>guislainbrug</t>
  </si>
  <si>
    <t>Corneel Heymanslaan</t>
  </si>
  <si>
    <t>Rabotstraat</t>
  </si>
  <si>
    <t>Koning Albertbrug</t>
  </si>
  <si>
    <t>Robert Rinskoplaan</t>
  </si>
  <si>
    <t>Vijfwindgatenstraat</t>
  </si>
  <si>
    <t>Leo Tertzwiellaan</t>
  </si>
  <si>
    <t>Liefkensstraat</t>
  </si>
  <si>
    <t>#</t>
  </si>
  <si>
    <t>personeelsnr</t>
  </si>
  <si>
    <t>volledige naam</t>
  </si>
  <si>
    <t>achternaam</t>
  </si>
  <si>
    <t>voornaam</t>
  </si>
  <si>
    <t>teamcoach</t>
  </si>
  <si>
    <t>Datum</t>
  </si>
  <si>
    <t>Link</t>
  </si>
  <si>
    <t>Bus</t>
  </si>
  <si>
    <t>Tram</t>
  </si>
  <si>
    <t>Locatie</t>
  </si>
  <si>
    <t>voertuig</t>
  </si>
  <si>
    <t>Bus/tram</t>
  </si>
  <si>
    <t>Type</t>
  </si>
  <si>
    <t>totaal</t>
  </si>
  <si>
    <t>-</t>
  </si>
  <si>
    <t>uit dienst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</si>
  <si>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</si>
  <si>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</si>
  <si>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</si>
  <si>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</si>
  <si>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</si>
  <si>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</si>
  <si>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</si>
  <si>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</si>
  <si>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</si>
  <si>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</si>
  <si>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</si>
  <si>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</si>
  <si>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</si>
  <si>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</si>
  <si>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</si>
  <si>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</si>
  <si>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</si>
  <si>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</si>
  <si>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</si>
  <si>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</si>
  <si>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</si>
  <si>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</si>
  <si>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</si>
  <si>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</si>
  <si>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</si>
  <si>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</si>
  <si>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</si>
  <si>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</si>
  <si>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</si>
  <si>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</si>
  <si>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</si>
  <si>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</si>
  <si>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</si>
  <si>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</si>
  <si>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</si>
  <si>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</si>
  <si>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</si>
  <si>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</si>
  <si>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</si>
  <si>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</si>
  <si>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</si>
  <si>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</si>
  <si>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</si>
  <si>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</si>
  <si>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</si>
  <si>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</si>
  <si>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</si>
  <si>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</si>
  <si>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</si>
  <si>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</si>
  <si>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</si>
  <si>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</si>
  <si>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</si>
  <si>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</si>
  <si>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</si>
  <si>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</si>
  <si>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</si>
  <si>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</si>
  <si>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</si>
  <si>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</si>
  <si>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</si>
  <si>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</si>
  <si>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</si>
  <si>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</si>
  <si>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</si>
  <si>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</si>
  <si>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</si>
  <si>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</si>
  <si>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</si>
  <si>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</si>
  <si>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</si>
  <si>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</si>
  <si>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</si>
  <si>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</si>
  <si>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</si>
  <si>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</si>
  <si>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</si>
  <si>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</si>
  <si>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</si>
  <si>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</si>
  <si>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</si>
  <si>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</si>
  <si>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</si>
  <si>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</si>
  <si>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</si>
  <si>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</si>
  <si>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</si>
  <si>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</si>
  <si>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</si>
  <si>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</si>
  <si>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</si>
  <si>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</si>
  <si>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</si>
  <si>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</si>
  <si>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</si>
  <si>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</si>
  <si>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</si>
  <si>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</si>
  <si>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</si>
  <si>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</si>
  <si>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</si>
  <si>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</si>
  <si>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</si>
  <si>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</si>
  <si>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</si>
  <si>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</si>
  <si>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</si>
  <si>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</si>
  <si>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</si>
  <si>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</si>
  <si>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</si>
  <si>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</si>
  <si>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</si>
  <si>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</si>
  <si>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</si>
  <si>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</si>
  <si>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</si>
  <si>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</si>
  <si>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</si>
  <si>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</si>
  <si>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</si>
  <si>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</si>
  <si>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</si>
  <si>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</si>
  <si>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</si>
  <si>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</si>
  <si>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</si>
  <si>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</si>
  <si>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</si>
  <si>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</si>
  <si>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</si>
  <si>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</si>
  <si>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</si>
  <si>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</si>
  <si>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</si>
  <si>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</si>
  <si>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</si>
  <si>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</si>
  <si>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</si>
  <si>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</si>
  <si>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</si>
  <si>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</si>
  <si>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</si>
  <si>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</si>
  <si>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</si>
  <si>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</si>
  <si>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</si>
  <si>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</si>
  <si>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</si>
  <si>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</si>
  <si>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</si>
  <si>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</si>
  <si>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</si>
  <si>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</si>
  <si>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</si>
  <si>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</si>
  <si>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</si>
  <si>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</si>
  <si>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</si>
  <si>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</si>
  <si>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</si>
  <si>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</si>
  <si>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</si>
  <si>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</si>
  <si>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</si>
  <si>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</si>
  <si>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</si>
  <si>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</si>
  <si>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</si>
  <si>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</si>
  <si>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</si>
  <si>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</si>
  <si>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</si>
  <si>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</si>
  <si>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</si>
  <si>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</si>
  <si>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</si>
  <si>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</si>
  <si>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</si>
  <si>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</si>
  <si>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</si>
  <si>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</si>
  <si>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</si>
  <si>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</si>
  <si>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</si>
  <si>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</si>
  <si>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</si>
  <si>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</si>
  <si>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</si>
  <si>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</si>
  <si>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</si>
  <si>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</si>
  <si>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</si>
  <si>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</si>
  <si>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</si>
  <si>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</si>
  <si>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</si>
  <si>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</si>
  <si>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</si>
  <si>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</si>
  <si>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</si>
  <si>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</si>
  <si>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</si>
  <si>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</si>
  <si>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</si>
  <si>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</si>
  <si>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</si>
  <si>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</si>
  <si>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</si>
  <si>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</si>
  <si>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</si>
  <si>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</si>
  <si>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</si>
  <si>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</si>
  <si>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</si>
  <si>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</si>
  <si>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</si>
  <si>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</si>
  <si>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</si>
  <si>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</si>
  <si>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</si>
  <si>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</si>
  <si>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</si>
  <si>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</si>
  <si>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</si>
  <si>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</si>
  <si>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</si>
  <si>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</si>
  <si>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</si>
  <si>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</si>
  <si>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</si>
  <si>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</si>
  <si>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</si>
  <si>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</si>
  <si>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</si>
  <si>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</si>
  <si>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</si>
  <si>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</si>
  <si>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</si>
  <si>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</si>
  <si>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</si>
  <si>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</si>
  <si>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</si>
  <si>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</si>
  <si>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</si>
  <si>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</si>
  <si>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</si>
  <si>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</si>
  <si>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</si>
  <si>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</si>
  <si>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</si>
  <si>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</si>
  <si>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</si>
  <si>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</si>
  <si>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</si>
  <si>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</si>
  <si>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</si>
  <si>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</si>
  <si>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</si>
  <si>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</si>
  <si>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</si>
  <si>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</si>
  <si>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</si>
  <si>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</si>
  <si>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</si>
  <si>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</si>
  <si>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</si>
  <si>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</si>
  <si>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</si>
  <si>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</si>
  <si>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</si>
  <si>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</si>
  <si>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</si>
  <si>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</si>
  <si>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</si>
  <si>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</si>
  <si>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</si>
  <si>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</si>
  <si>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</si>
  <si>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</si>
  <si>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</si>
  <si>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</si>
  <si>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</si>
  <si>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</si>
  <si>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</si>
  <si>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</si>
  <si>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</si>
  <si>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</si>
  <si>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</si>
  <si>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</si>
  <si>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</si>
  <si>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</si>
  <si>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</si>
  <si>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</si>
  <si>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</si>
  <si>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</si>
  <si>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</si>
  <si>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</si>
  <si>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</si>
  <si>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</si>
  <si>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</si>
  <si>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</si>
  <si>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</si>
  <si>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</si>
  <si>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</si>
  <si>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</si>
  <si>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</si>
  <si>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</si>
  <si>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</si>
  <si>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</si>
  <si>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</si>
  <si>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</si>
  <si>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</si>
  <si>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</si>
  <si>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</si>
  <si>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</si>
  <si>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</si>
  <si>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</si>
  <si>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</si>
  <si>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</si>
  <si>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</si>
  <si>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</si>
  <si>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</si>
  <si>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</si>
  <si>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</si>
  <si>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</si>
  <si>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</si>
  <si>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</si>
  <si>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</si>
  <si>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</si>
  <si>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</si>
  <si>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</si>
  <si>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</si>
  <si>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</si>
  <si>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</si>
  <si>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</si>
  <si>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</si>
  <si>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</si>
  <si>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</si>
  <si>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</si>
  <si>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</si>
  <si>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</si>
  <si>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</si>
  <si>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</si>
  <si>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</si>
  <si>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</si>
  <si>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</si>
  <si>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</si>
  <si>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</si>
  <si>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</si>
  <si>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</si>
  <si>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</si>
  <si>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</si>
  <si>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</si>
  <si>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</si>
  <si>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</si>
  <si>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</si>
  <si>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</si>
  <si>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</si>
  <si>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</si>
  <si>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</si>
  <si>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</si>
  <si>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</si>
  <si>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</si>
  <si>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</si>
  <si>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</si>
  <si>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</si>
  <si>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</si>
  <si>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</si>
  <si>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</si>
  <si>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</si>
  <si>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</si>
  <si>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</si>
  <si>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</si>
  <si>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</si>
  <si>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</si>
  <si>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</si>
  <si>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</si>
  <si>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</si>
  <si>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</si>
  <si>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</si>
  <si>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</si>
  <si>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</si>
  <si>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</si>
  <si>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</si>
  <si>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</si>
  <si>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</si>
  <si>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</si>
  <si>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</si>
  <si>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</si>
  <si>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</si>
  <si>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</si>
  <si>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</si>
  <si>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</si>
  <si>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</si>
  <si>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</si>
  <si>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</si>
  <si>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</si>
  <si>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</si>
  <si>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</si>
  <si>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</si>
  <si>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</si>
  <si>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</si>
  <si>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</si>
  <si>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</si>
  <si>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</si>
  <si>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</si>
  <si>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</si>
  <si>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</si>
  <si>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</si>
  <si>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</si>
  <si>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</si>
  <si>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</si>
  <si>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</si>
  <si>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</si>
  <si>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</si>
  <si>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</si>
  <si>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</si>
  <si>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</si>
  <si>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</si>
  <si>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</si>
  <si>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</si>
  <si>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</si>
  <si>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</si>
  <si>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</si>
  <si>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</si>
  <si>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</si>
  <si>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</si>
  <si>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</si>
  <si>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</si>
  <si>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</si>
  <si>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</si>
  <si>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</si>
  <si>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</si>
  <si>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</si>
  <si>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</si>
  <si>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</si>
  <si>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</si>
  <si>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</si>
  <si>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</si>
  <si>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</si>
  <si>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</si>
  <si>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</si>
  <si>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</si>
  <si>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</si>
  <si>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</si>
  <si>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</si>
  <si>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</si>
  <si>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</si>
  <si>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</si>
  <si>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</si>
  <si>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</si>
  <si>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</si>
  <si>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</si>
  <si>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</si>
  <si>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</si>
  <si>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</si>
  <si>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</si>
  <si>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</si>
  <si>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</si>
  <si>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</si>
  <si>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</si>
  <si>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</si>
  <si>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</si>
  <si>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</si>
  <si>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</si>
  <si>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</si>
  <si>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</si>
  <si>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</si>
  <si>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</si>
  <si>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</si>
  <si>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</si>
  <si>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</si>
  <si>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</si>
  <si>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</si>
  <si>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</si>
  <si>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</si>
  <si>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</si>
  <si>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</si>
  <si>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</si>
  <si>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</si>
  <si>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</si>
  <si>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</si>
  <si>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</si>
  <si>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</si>
  <si>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</si>
  <si>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</si>
  <si>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</si>
  <si>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</si>
  <si>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</si>
  <si>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</si>
  <si>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</si>
  <si>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</si>
  <si>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</si>
  <si>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</si>
  <si>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</si>
  <si>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</si>
  <si>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</si>
  <si>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</si>
  <si>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</si>
  <si>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</si>
  <si>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</si>
  <si>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</si>
  <si>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</si>
  <si>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</si>
  <si>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</si>
  <si>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</si>
  <si>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</si>
  <si>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</si>
  <si>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</si>
  <si>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</si>
  <si>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</si>
  <si>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</si>
  <si>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</si>
  <si>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</si>
  <si>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</si>
  <si>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</si>
  <si>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</si>
  <si>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</si>
  <si>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</si>
  <si>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</si>
  <si>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</si>
  <si>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</si>
  <si>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</si>
  <si>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</si>
  <si>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</si>
  <si>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</si>
  <si>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</si>
  <si>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</si>
  <si>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</si>
  <si>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</si>
  <si>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</si>
  <si>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</si>
  <si>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</si>
  <si>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</si>
  <si>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</si>
  <si>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</si>
  <si>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</si>
  <si>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</si>
  <si>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</si>
  <si>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</si>
  <si>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</si>
  <si>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</si>
  <si>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</si>
  <si>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</si>
  <si>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</si>
  <si>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</si>
  <si>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</si>
  <si>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</si>
  <si>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</si>
  <si>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</si>
  <si>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EAF 5261 Brugsepoort Gent 09122024.pdf</t>
  </si>
  <si>
    <t>EAF 6320 Griendeplein 9122024 Kenny Vanderstock.pdf</t>
  </si>
  <si>
    <t>Griendeplein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</si>
  <si>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</si>
  <si>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</si>
  <si>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</si>
  <si>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</si>
  <si>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</si>
  <si>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</si>
  <si>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</si>
  <si>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</si>
  <si>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</si>
  <si>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</si>
  <si>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</si>
  <si>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</si>
  <si>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</si>
  <si>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</si>
  <si>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</si>
  <si>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</si>
  <si>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</si>
  <si>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</si>
  <si>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</si>
  <si>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</si>
  <si>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</si>
  <si>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</si>
  <si>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</si>
  <si>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</si>
  <si>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</si>
  <si>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</si>
  <si>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</si>
  <si>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</si>
  <si>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</si>
  <si>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</si>
  <si>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</si>
  <si>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</si>
  <si>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</si>
  <si>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</si>
  <si>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</si>
  <si>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</si>
  <si>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https://delijn.sharepoint.com/:b:/r/teams/CTM-OTGentStad/Shared%20Documents/General/EAF/CSI(nieuwe%20sharepoint)%202025/1.%20Januari/EAF%205229%20Gent%2003012025.pdf?csf=1&amp;web=1&amp;e=SbxtNJ</t>
  </si>
  <si>
    <t>EAF 5047 Gent 03012025.pdf</t>
  </si>
  <si>
    <t>Geen EAF Opgemaakt (via VWF)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</si>
  <si>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</si>
  <si>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</si>
  <si>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</si>
  <si>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</si>
  <si>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</si>
  <si>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</si>
  <si>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</si>
  <si>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</si>
  <si>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EAF 5263 Mariakerke 13012025.pdf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</si>
  <si>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</si>
  <si>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</si>
  <si>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</si>
  <si>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</si>
  <si>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</si>
  <si>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</si>
  <si>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</si>
  <si>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</si>
  <si>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</si>
  <si>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</si>
  <si>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</si>
  <si>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</si>
  <si>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</si>
  <si>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</si>
  <si>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</si>
  <si>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</si>
  <si>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</si>
  <si>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</si>
  <si>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</si>
  <si>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</si>
  <si>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</si>
  <si>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</si>
  <si>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</si>
  <si>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</si>
  <si>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</si>
  <si>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</si>
  <si>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</si>
  <si>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</si>
  <si>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</si>
  <si>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EAf 5916 Wondelgem 13568 Dirk Reynen 03022025.pdf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</si>
  <si>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</si>
  <si>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</si>
  <si>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</si>
  <si>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</si>
  <si>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</si>
  <si>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</si>
  <si>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</si>
  <si>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</si>
  <si>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</si>
  <si>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</si>
  <si>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</si>
  <si>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</si>
  <si>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</si>
  <si>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</si>
  <si>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</si>
  <si>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</si>
  <si>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</si>
  <si>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</si>
  <si>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</si>
  <si>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</si>
  <si>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EAF 2208 Gent 15022025 37543 öztürk Bilehan.pdf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</si>
  <si>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</si>
  <si>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</si>
  <si>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EAF 18022025 5912 Gent Brisco Romeo Nguetto 35490.pdf</t>
  </si>
  <si>
    <t>EAF 2200 Steinstraat Nazareth 18.02.2025.pdf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</si>
  <si>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</si>
  <si>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</si>
  <si>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</si>
  <si>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</si>
  <si>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</si>
  <si>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</si>
  <si>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</si>
  <si>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</si>
  <si>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</si>
  <si>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</si>
  <si>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</si>
  <si>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</si>
  <si>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</si>
  <si>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</si>
  <si>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</si>
  <si>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</si>
  <si>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</si>
  <si>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</si>
  <si>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</si>
  <si>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</si>
  <si>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https://delijn.sharepoint.com/:b:/r/teams/CTM-OTGentStad/Shared%20Documents/General/EAF/CSI(nieuwe%20sharepoint)%202025/2.%20Februari/EAF%202546%20Meeuwstraat%20Gent%2027.02.2025.pdf?csf=1&amp;web=1&amp;e=CQdWKK</t>
  </si>
  <si>
    <t xml:space="preserve"> https://delijn.sharepoint.com/:b:/r/teams/CTM-OTGentStad/Shared%20Documents/General/EAF/CSI(nieuwe%20sharepoint)%202025/2.%20Februari/EAF%206320%20Gent%20Zonnestraat%2027022025%20El-Mohamed%20Mohamed.pdf?csf=1&amp;web=1&amp;e=Zqlj8f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</si>
  <si>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</si>
  <si>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</si>
  <si>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</si>
  <si>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</si>
  <si>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</si>
  <si>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</si>
  <si>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</si>
  <si>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</si>
  <si>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</si>
  <si>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</si>
  <si>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</si>
  <si>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</si>
  <si>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</si>
  <si>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</si>
  <si>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</si>
  <si>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</si>
  <si>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</si>
  <si>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</si>
  <si>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</si>
  <si>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</si>
  <si>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</si>
  <si>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</si>
  <si>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</si>
  <si>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</si>
  <si>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</si>
  <si>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</si>
  <si>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</si>
  <si>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</si>
  <si>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</si>
  <si>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</si>
  <si>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</si>
  <si>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</si>
  <si>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</si>
  <si>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</si>
  <si>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</si>
  <si>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</si>
  <si>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</si>
  <si>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</si>
  <si>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</si>
  <si>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</si>
  <si>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</si>
  <si>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</si>
  <si>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</si>
  <si>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</si>
  <si>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</si>
  <si>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</si>
  <si>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</si>
  <si>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</si>
  <si>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</si>
  <si>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</si>
  <si>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</si>
  <si>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</si>
  <si>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</si>
  <si>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</si>
  <si>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</si>
  <si>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</si>
  <si>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</si>
  <si>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</si>
  <si>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</si>
  <si>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</si>
  <si>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</si>
  <si>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</si>
  <si>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</si>
  <si>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</si>
  <si>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</si>
  <si>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</si>
  <si>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</si>
  <si>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</si>
  <si>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</si>
  <si>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</si>
  <si>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Wiedowkaai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</si>
  <si>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</si>
  <si>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</si>
  <si>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</si>
  <si>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</si>
  <si>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</si>
  <si>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</si>
  <si>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</si>
  <si>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</si>
  <si>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</si>
  <si>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</si>
  <si>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</si>
  <si>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</si>
  <si>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</si>
  <si>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</si>
  <si>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</si>
  <si>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</si>
  <si>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</si>
  <si>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</si>
  <si>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</si>
  <si>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</si>
  <si>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</si>
  <si>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</si>
  <si>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</si>
  <si>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</si>
  <si>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</si>
  <si>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</si>
  <si>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</si>
  <si>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</si>
  <si>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</si>
  <si>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</si>
  <si>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</si>
  <si>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https://delijn.sharepoint.com/:b:/r/teams/CTM-OTGentStad/Shared%20Documents/General/EAF/CSI(nieuwe%20sharepoint)%202025/5.%20Mei/EAF%206367%20Gent%2015052025%2036428%20Abdi%20Shaiye.pdf?csf=1&amp;web=1&amp;e=qs7FK3</t>
  </si>
  <si>
    <t>EAF 7897 15052024 Nederzwalmsesteenweg Eydzhan Salimova.pdf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</si>
  <si>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</si>
  <si>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</si>
  <si>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</si>
  <si>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</si>
  <si>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</si>
  <si>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</si>
  <si>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</si>
  <si>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</si>
  <si>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</si>
  <si>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</si>
  <si>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</si>
  <si>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</si>
  <si>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</si>
  <si>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</si>
  <si>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</si>
  <si>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</si>
  <si>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</si>
  <si>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</si>
  <si>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</si>
  <si>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</si>
  <si>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</si>
  <si>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</si>
  <si>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</si>
  <si>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</si>
  <si>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</si>
  <si>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</si>
  <si>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</si>
  <si>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</si>
  <si>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</si>
  <si>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</si>
  <si>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</si>
  <si>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</si>
  <si>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</si>
  <si>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</si>
  <si>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</si>
  <si>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</si>
  <si>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</si>
  <si>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</si>
  <si>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</si>
  <si>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</si>
  <si>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</si>
  <si>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</si>
  <si>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</si>
  <si>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</si>
  <si>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</si>
  <si>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</si>
  <si>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</si>
  <si>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</si>
  <si>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</si>
  <si>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</si>
  <si>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</si>
  <si>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</si>
  <si>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</si>
  <si>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</si>
  <si>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</si>
  <si>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</si>
  <si>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</si>
  <si>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</si>
  <si>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</si>
  <si>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</si>
  <si>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</si>
  <si>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</si>
  <si>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</si>
  <si>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</si>
  <si>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</si>
  <si>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</si>
  <si>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</si>
  <si>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</si>
  <si>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</si>
  <si>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</si>
  <si>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</si>
  <si>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</si>
  <si>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</si>
  <si>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</si>
  <si>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</si>
  <si>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</si>
  <si>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</si>
  <si>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</si>
  <si>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</si>
  <si>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</si>
  <si>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</si>
  <si>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</si>
  <si>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</si>
  <si>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</si>
  <si>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</si>
  <si>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</si>
  <si>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</si>
  <si>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</si>
  <si>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</si>
  <si>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</si>
  <si>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</si>
  <si>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</si>
  <si>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</si>
  <si>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</si>
  <si>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https://delijn.sharepoint.com/:b:/r/teams/CTM-OTGentStad/Shared%20Documents/General/EAF/CSI(nieuwe%20sharepoint)%202025/7.%20Juli/EAF%205767%20GEnt%2026072025%2041384%20Thimo%20Hillaert.pdf?csf=1&amp;web=1&amp;e=LokqEX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</si>
  <si>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</si>
  <si>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</si>
  <si>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https://delijn.sharepoint.com/:b:/r/teams/CTM-OTGentStad/Shared%20Documents/General/EAF/CSI(nieuwe%20sharepoint)%202025/7.%20Juli/EAF%206325%20Gent%2029072025%2020653%20Mestdag.pdf?csf=1&amp;web=1&amp;e=4seyHD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</si>
  <si>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</si>
  <si>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</si>
  <si>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</si>
  <si>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</si>
  <si>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https://delijn.sharepoint.com/:b:/r/teams/CTM-OTGentStad/Shared%20Documents/General/EAF/CSI(nieuwe%20sharepoint)%202025/7.%20Juli/EAF%206337%20Gent%2030072025%2010782%20Ina%20De%20Kee.pdf?csf=1&amp;web=1&amp;e=6ptLXK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</si>
  <si>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</si>
  <si>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</si>
  <si>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</si>
  <si>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https://delijn.sharepoint.com/:b:/r/teams/CTM-OTGentStad/Shared%20Documents/General/EAF/CSI(nieuwe%20sharepoint)%202025/8.%20Augustus/EAF%2005082025%20Gent%2036021%20Frederik%20Boelaert.pdf?csf=1&amp;web=1&amp;e=BPGPuk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</si>
  <si>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</si>
  <si>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</si>
  <si>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</si>
  <si>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</si>
  <si>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</si>
  <si>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</si>
  <si>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</si>
  <si>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</si>
  <si>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</si>
  <si>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https://delijn.sharepoint.com/:b:/r/teams/CTM-OTGentStad/Shared%20Documents/General/EAF/CSI(nieuwe%20sharepoint)%202025/8.%20Augustus/EAF%2018082025%206315%20Gent.pdf?csf=1&amp;web=1&amp;e=TBR6j6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</si>
  <si>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</si>
  <si>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</si>
  <si>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</si>
  <si>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</si>
  <si>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</si>
  <si>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</si>
  <si>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</si>
  <si>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</si>
  <si>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</si>
  <si>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</si>
  <si>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</si>
  <si>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</si>
  <si>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</si>
  <si>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</si>
  <si>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</si>
  <si>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</si>
  <si>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</si>
  <si>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https://delijn.sharepoint.com/:b:/r/teams/CTM-OTGentStad/Shared%20Documents/General/EAF/CSI(nieuwe%20sharepoint)%202025/9.%20September/EAF%205233%2002092025%20Gent%2039528.pdf?csf=1&amp;web=1&amp;e=h3q8oW</t>
  </si>
  <si>
    <t xml:space="preserve"> https://delijn.sharepoint.com/:b:/r/teams/CTM-OTGentStad/Shared%20Documents/General/EAF/CSI(nieuwe%20sharepoint)%202025/9.%20September/Scan_29076_1126_001.pdf?csf=1&amp;web=1&amp;e=TwnRmW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</si>
  <si>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</si>
  <si>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</si>
  <si>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</si>
  <si>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</si>
  <si>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</si>
  <si>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 xml:space="preserve"> https://delijn.sharepoint.com/:b:/r/teams/CTM-OTGentStad/Shared%20Documents/General/EAF/CSI(nieuwe%20sharepoint)%202025/9.%20September/EAF%205259%2007092025.pdf?csf=1&amp;web=1&amp;e=2COBhc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</si>
  <si>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</si>
  <si>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</si>
  <si>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</si>
  <si>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https://delijn.sharepoint.com/:b:/r/teams/CTM-OTGentStad/Shared%20Documents/General/EAF/CSI(nieuwe%20sharepoint)%202025/9.%20September/EAF%206369%20Gent%2010092025.pdf?csf=1&amp;web=1&amp;e=yr5kh9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</si>
  <si>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</si>
  <si>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</si>
  <si>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https://delijn.sharepoint.com/:b:/r/teams/CTM-OTGentStad/Shared%20Documents/General/EAF/CSI(nieuwe%20sharepoint)%202025/9.%20September/EAF%202193%20Gent%2012092025%2041101.pdf?csf=1&amp;web=1&amp;e=qG6SdX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</si>
  <si>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</si>
  <si>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</si>
  <si>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https://delijn.sharepoint.com/:b:/r/teams/CTM-OTGentStad/Shared%20Documents/General/EAF/CSI(nieuwe%20sharepoint)%202025/9.%20September/EAF%205763%20Gent%2015092025.pdf?csf=1&amp;web=1&amp;e=FGBfzI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</si>
  <si>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</si>
  <si>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</si>
  <si>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</si>
  <si>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</si>
  <si>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</si>
  <si>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</si>
  <si>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</si>
  <si>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</si>
  <si>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https://delijn.sharepoint.com/:b:/r/teams/CTM-OTGentStad/Shared%20Documents/General/EAF/CSI(nieuwe%20sharepoint)%202025/9.%20September/EAF%202047%20Gent%2022092025%2042252.pdf?csf=1&amp;web=1&amp;e=pdmsps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</si>
  <si>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</si>
  <si>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</si>
  <si>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</si>
  <si>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</si>
  <si>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</si>
  <si>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</si>
  <si>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</si>
  <si>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</si>
  <si>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</si>
  <si>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</si>
  <si>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</si>
  <si>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</si>
  <si>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</si>
  <si>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</si>
  <si>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https://delijn.sharepoint.com/:b:/r/teams/CTM-OTGentStad/Shared%20Documents/General/EAF/CSI(nieuwe%20sharepoint)%202025/10.%20Oktober/EAF%206325%20Gent%2003102025%2021892.pdf?csf=1&amp;web=1&amp;e=OcDyzF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</si>
  <si>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</si>
  <si>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https://delijn.sharepoint.com/:b:/r/teams/CTM-OTGentStad/Shared%20Documents/General/EAF/CSI(nieuwe%20sharepoint)%202025/10.%20Oktober/EAF%205486%20Gent%2003102025%2042146.pdf?csf=1&amp;web=1&amp;e=rBSDdl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</si>
  <si>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</si>
  <si>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</si>
  <si>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</si>
  <si>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</si>
  <si>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</si>
  <si>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</si>
  <si>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https://delijn.sharepoint.com/:b:/r/teams/CTM-OTGentStad/Shared%20Documents/General/EAF/CSI(nieuwe%20sharepoint)%202025/10.%20Oktober/EAF%205044%20Gent%2004102025%2038555.pdf?csf=1&amp;web=1&amp;e=kVUesg</t>
  </si>
  <si>
    <t xml:space="preserve"> https://delijn.sharepoint.com/:b:/r/teams/CTM-OTGentStad/Shared%20Documents/General/EAF/CSI(nieuwe%20sharepoint)%202025/10.%20Oktober/EAF%202196%20Gent%2004102025%2041520.pdf?csf=1&amp;web=1&amp;e=dlXapv</t>
  </si>
  <si>
    <t xml:space="preserve"> https://delijn.sharepoint.com/:b:/r/teams/CTM-OTGentStad/Shared%20Documents/General/EAF/CSI(nieuwe%20sharepoint)%202025/10.%20Oktober/EAF%205051%2004102025%2035397.pdf?csf=1&amp;web=1&amp;e=uAnrOi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</si>
  <si>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</si>
  <si>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</si>
  <si>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</si>
  <si>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https://delijn.sharepoint.com/:b:/r/teams/CTM-OTGentStad/Shared%20Documents/General/EAF/CSI(nieuwe%20sharepoint)%202025/10.%20Oktober/EAF%205328%20Gent%2008102025%2012024.pdf?csf=1&amp;web=1&amp;e=MQjNpp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</si>
  <si>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</si>
  <si>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https://delijn.sharepoint.com/:b:/r/teams/CTM-OTGentStad/Shared%20Documents/General/EAF/CSI(nieuwe%20sharepoint)%202025/10.%20Oktober/EAF%205770%20Gent%2008102025%2030623.pdf?csf=1&amp;web=1&amp;e=D3jdVl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</si>
  <si>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</si>
  <si>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</si>
  <si>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</si>
  <si>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</si>
  <si>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</si>
  <si>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</si>
  <si>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</si>
  <si>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</si>
  <si>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</si>
  <si>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</si>
  <si>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</si>
  <si>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</si>
  <si>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</si>
  <si>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</si>
  <si>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</si>
  <si>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</si>
  <si>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https://delijn.sharepoint.com/:b:/r/teams/CTM-OTGentStad/Shared%20Documents/General/EAF/CSI(nieuwe%20sharepoint)%202025/10.%20Oktober/EAF%205259%20Gent%2021102025.pdf?csf=1&amp;web=1&amp;e=u7LKiJ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</si>
  <si>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</si>
  <si>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</si>
  <si>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</si>
  <si>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 xml:space="preserve"> https://delijn.sharepoint.com/:b:/r/teams/CTM-OTGentStad/Shared%20Documents/General/EAF/CSI(nieuwe%20sharepoint)%202025/10.%20Oktober/EAF%2024102025%205764%20Gent.pdf?csf=1&amp;web=1&amp;e=c8wGmP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</si>
  <si>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</si>
  <si>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</si>
  <si>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</si>
  <si>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</si>
  <si>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</si>
  <si>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</si>
  <si>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</si>
  <si>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</si>
  <si>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</si>
  <si>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</si>
  <si>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</si>
  <si>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</si>
  <si>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https://delijn.sharepoint.com/:b:/r/teams/CTM-OTGentStad/Shared%20Documents/General/EAF/CSI(nieuwe%20sharepoint)%202025/10.%20Oktober/EZAF%206363%20GEnt%2031102025%2014072.pdf?csf=1&amp;web=1&amp;e=GIzhJQ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</si>
  <si>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</si>
  <si>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</si>
  <si>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</si>
  <si>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</si>
  <si>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https://delijn.sharepoint.com/:b:/r/teams/CTM-OTGentStad/Shared%20Documents/General/EAF/CSI(nieuwe%20sharepoint)%202025/11.%20November/EAF%205938%20Gent%2002112025%2026639.pdf?csf=1&amp;web=1&amp;e=mhzexx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</si>
  <si>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</si>
  <si>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https://delijn.sharepoint.com/:b:/r/teams/CTM-OTGentStad/Shared%20Documents/General/EAF/CSI(nieuwe%20sharepoint)%202025/11.%20November/Scan_28740_1486_001.pdf?csf=1&amp;web=1&amp;e=h2IJ5h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</si>
  <si>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</si>
  <si>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</si>
  <si>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</si>
  <si>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https://delijn.sharepoint.com/:b:/r/teams/CTM-OTGentStad/Shared%20Documents/General/EAF/CSI(nieuwe%20sharepoint)%202025/11.%20November/EAF%205933%20Gent%2005112025%2039379.pdf?csf=1&amp;web=1&amp;e=bJUzEK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</si>
  <si>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</si>
  <si>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</si>
  <si>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https://delijn.sharepoint.com/:b:/r/teams/CTM-OTGentStad/Shared%20Documents/General/EAF/CSI(nieuwe%20sharepoint)%202025/11.%20November/EAF%205768%20Gent%2006112025%2038688.pdf?csf=1&amp;web=1&amp;e=mBnGnV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</si>
  <si>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</si>
  <si>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</si>
  <si>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</si>
  <si>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</si>
  <si>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</si>
  <si>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</si>
  <si>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https://delijn.sharepoint.com/:b:/r/teams/CTM-OTGentStad/Shared%20Documents/General/EAF/CSI(nieuwe%20sharepoint)%202025/11.%20November/EAF%205047%20Gent%2012112025%2032620.pdf?csf=1&amp;web=1&amp;e=hQjsGJ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</si>
  <si>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</si>
  <si>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https://delijn.sharepoint.com/:b:/r/teams/CTM-OTGentStad/Shared%20Documents/General/EAF/CSI(nieuwe%20sharepoint)%202025/11.%20November/Scan_28740_1543_001.pdf?csf=1&amp;web=1&amp;e=b1Z5IP</t>
  </si>
  <si>
    <t xml:space="preserve"> https://delijn.sharepoint.com/:b:/r/teams/CTM-OTGentStad/Shared%20Documents/General/EAF/CSI(nieuwe%20sharepoint)%202025/11.%20November/EAF%205794%20GEnt%2014112025%2031118.pdf?csf=1&amp;web=1&amp;e=Wyppzu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</si>
  <si>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</si>
  <si>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</si>
  <si>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</si>
  <si>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</si>
  <si>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</si>
  <si>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https://delijn.sharepoint.com/:b:/r/teams/CTM-OTGentStad/Shared%20Documents/General/EAF/CSI(nieuwe%20sharepoint)%202025/11.%20November/EAF%2015112025%20Gent%2038807.pdf?csf=1&amp;web=1&amp;e=bAfqOk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</si>
  <si>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</si>
  <si>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</si>
  <si>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</si>
  <si>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</si>
  <si>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</si>
  <si>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</si>
  <si>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</si>
  <si>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</si>
  <si>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</si>
  <si>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</si>
  <si>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https://delijn.sharepoint.com/:b:/r/teams/CTM-OTGentStad/Shared%20Documents/General/EAF/CSI(nieuwe%20sharepoint)%202025/11.%20November/EAF%20104023%20Gent%2021112025.pdf?csf=1&amp;web=1&amp;e=MPWelv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</si>
  <si>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</si>
  <si>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</si>
  <si>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https://delijn.sharepoint.com/:b:/r/teams/CTM-OTGentStad/Shared%20Documents/General/EAF/CSI(nieuwe%20sharepoint)%202025/11.%20November/EAF%205260%20Gent%2023112025%2036627.pdf?csf=1&amp;web=1&amp;e=f6EI9o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</si>
  <si>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</si>
  <si>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</si>
  <si>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https://delijn.sharepoint.com/:b:/r/teams/CTM-OTGentStad/Shared%20Documents/General/EAF/CSI(nieuwe%20sharepoint)%202025/11.%20November/EAF%205927%20Gent%2027112025%2025486.pdf?csf=1&amp;web=1&amp;e=TuRPNT</t>
  </si>
  <si>
    <t xml:space="preserve"> https://delijn.sharepoint.com/:b:/r/teams/CTM-OTGentStad/Shared%20Documents/General/EAF/CSI(nieuwe%20sharepoint)%202025/11.%20November/Scan_28740_1651_001.pdf?csf=1&amp;web=1&amp;e=K9k3hG</t>
  </si>
  <si>
    <t xml:space="preserve"> https://delijn.sharepoint.com/:b:/r/teams/CTM-OTGentStad/Shared%20Documents/General/EAF/CSI(nieuwe%20sharepoint)%202025/11.%20November/EAF%205229%20Gent%2027112025%2036627.pdf?csf=1&amp;web=1&amp;e=umJyuC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</si>
  <si>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</si>
  <si>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https://delijn.sharepoint.com/:b:/r/teams/CTM-OTGentStad/Shared%20Documents/General/EAF/CSI(nieuwe%20sharepoint)%202025/11.%20November/EAF%205774%20Gent%2028112025%2026695.pdf?csf=1&amp;web=1&amp;e=eV6xgZ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</si>
  <si>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</si>
  <si>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</si>
  <si>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</si>
  <si>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https://delijn.sharepoint.com/:b:/r/teams/CTM-OTGentStad/Shared%20Documents/General/EAF/CSI(nieuwe%20sharepoint)%202025/12.%20December/EAF%206314%20Gent%2001122025%2017954.pdf?csf=1&amp;web=1&amp;e=SJVaiT</t>
  </si>
  <si>
    <t xml:space="preserve"> https://delijn.sharepoint.com/:b:/r/teams/CTM-OTGentStad/Shared%20Documents/General/EAF/CSI(nieuwe%20sharepoint)%202025/12.%20December/Scan_28740_1692_001.pdf?csf=1&amp;web=1&amp;e=0Kslsh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</si>
  <si>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</si>
  <si>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https://delijn.sharepoint.com/:b:/r/teams/CTM-OTGentStad/Shared%20Documents/General/EAF/CSI(nieuwe%20sharepoint)%202025/12.%20December/EAF%206309%20Gent%2003122025%2023924.pdf?csf=1&amp;web=1&amp;e=WlNTOU</t>
  </si>
  <si>
    <t>Sint-Denijslaan</t>
  </si>
  <si>
    <t xml:space="preserve"> https://delijn.sharepoint.com/:b:/r/teams/CTM-OTGentStad/Shared%20Documents/General/EAF/CSI(nieuwe%20sharepoint)%202025/12.%20December/EAF%206320%20Gent%2003122025%2016280.pdf?csf=1&amp;web=1&amp;e=QEqXPX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</si>
  <si>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</si>
  <si>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</si>
  <si>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</si>
  <si>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</si>
  <si>
    <t xml:space="preserve"> https://delijn.sharepoint.com/:b:/r/teams/CTM-OTGentStad/Shared%20Documents/General/EAF/CSI(nieuwe%20sharepoint)%202025/12.%20December/EAF%206314%20Gent%2004122025%2031891.pdf?csf=1&amp;web=1&amp;e=38ykWK</t>
  </si>
  <si>
    <t xml:space="preserve"> https://delijn.sharepoint.com/:b:/r/teams/CTM-OTGentStad/Shared%20Documents/General/EAF/CSI(nieuwe%20sharepoint)%202025/12.%20December/EAF%205273%20Boer%20Janssensstraat%20Gentbrugge%2005122025%20-%2036438.pdf?csf=1&amp;web=1&amp;e=SroQWe</t>
  </si>
  <si>
    <t xml:space="preserve"> https://delijn.sharepoint.com/:b:/r/teams/CTM-OTGentStad/Shared%20Documents/General/EAF/CSI(nieuwe%20sharepoint)%202025/12.%20December/EAF%206320%20Gent%2006122025%2036438.pdf?csf=1&amp;web=1&amp;e=rdfKpN</t>
  </si>
  <si>
    <t xml:space="preserve"> https://delijn.sharepoint.com/:b:/r/teams/CTM-OTGentStad/Shared%20Documents/General/EAF/CSI(nieuwe%20sharepoint)%202025/12.%20December/EAF%202193%20Gent%2006122025.pdf?csf=1&amp;web=1&amp;e=pGKbsJ</t>
  </si>
  <si>
    <t>Sint-bernadettestraat</t>
  </si>
  <si>
    <t xml:space="preserve"> https://delijn.sharepoint.com/:b:/r/teams/CTM-OTGentStad/Shared%20Documents/General/EAF/CSI(nieuwe%20sharepoint)%202025/12.%20December/EAF%205936%2007122025%20Gent%2037662.pdf?csf=1&amp;web=1&amp;e=0VF5bY</t>
  </si>
  <si>
    <t>https://delijn.sharepoint.com/:b:/r/teams/CTM-OTGentStad/Shared%20Documents/General/EAF/CSI(nieuwe%20sharepoint)%202025/12.%20December/EAF%205487%20Dendermondsesteenweg%20Gent%2008122025%20-%2040652.pdf?csf=1&amp;web=1&amp;e=66e3bX</t>
  </si>
  <si>
    <t xml:space="preserve"> https://delijn.sharepoint.com/:b:/r/teams/CTM-OTGentStad/Shared%20Documents/General/EAF/CSI(nieuwe%20sharepoint)%202025/12.%20December/EAF%205935%20Gent%2008122025.pdf?csf=1&amp;web=1&amp;e=td5jcS</t>
  </si>
  <si>
    <t xml:space="preserve"> https://delijn.sharepoint.com/:b:/r/teams/CTM-OTGentStad/Shared%20Documents/General/EAF/CSI(nieuwe%20sharepoint)%202025/12.%20December/EAF%205489%20Gent%2008122025%2029477.pdf?csf=1&amp;web=1&amp;e=ExM92y</t>
  </si>
  <si>
    <t>https://delijn.sharepoint.com/:b:/r/teams/CTM-OTGentStad/Shared%20Documents/General/EAF/CSI(nieuwe%20sharepoint)%202025/12.%20December/EAF%205054%2009122025%20Gent%2032611.pdf?csf=1&amp;web=1&amp;e=rLUCEf</t>
  </si>
  <si>
    <t xml:space="preserve"> https://delijn.sharepoint.com/:b:/r/teams/CTM-OTGentStad/Shared%20Documents/General/EAF/CSI(nieuwe%20sharepoint)%202025/12.%20December/EAF%205229%20Gent%2009122025%2034445.pdf?csf=1&amp;web=1&amp;e=JDDDkU</t>
  </si>
  <si>
    <t xml:space="preserve"> https://delijn.sharepoint.com/:b:/r/teams/CTM-OTGentStad/Shared%20Documents/General/EAF/CSI(nieuwe%20sharepoint)%202025/12.%20December/EAF%202192%20Gent%2011122025%2038481.pdf?csf=1&amp;web=1&amp;e=euJseV</t>
  </si>
  <si>
    <t xml:space="preserve"> https://delijn.sharepoint.com/:b:/r/teams/CTM-OTGentStad/Shared%20Documents/General/EAF/CSI(nieuwe%20sharepoint)%202025/12.%20December/EAF%202546%2009122025%20Gent%2041918.pdf?csf=1&amp;web=1&amp;e=IKXhet</t>
  </si>
  <si>
    <t>voertuiglijst</t>
  </si>
  <si>
    <t>voertuignummer</t>
  </si>
  <si>
    <t>type</t>
  </si>
  <si>
    <t>familie</t>
  </si>
  <si>
    <t>Gelede</t>
  </si>
  <si>
    <t>Citybus</t>
  </si>
  <si>
    <t>E-bus</t>
  </si>
  <si>
    <t>Gehuurd</t>
  </si>
  <si>
    <t>Rijschool</t>
  </si>
  <si>
    <t>Employee</t>
  </si>
  <si>
    <t>Last Name</t>
  </si>
  <si>
    <t>First Name</t>
  </si>
  <si>
    <t>Birth Date</t>
  </si>
  <si>
    <t>jaar</t>
  </si>
  <si>
    <t>leeftijd</t>
  </si>
  <si>
    <t>schades</t>
  </si>
  <si>
    <t>Vandenbogaerde</t>
  </si>
  <si>
    <t>Tony</t>
  </si>
  <si>
    <t>Gemiddelde van schades</t>
  </si>
  <si>
    <t>Eggermont</t>
  </si>
  <si>
    <t>Wim</t>
  </si>
  <si>
    <t>Lefebvre</t>
  </si>
  <si>
    <t>Olivier</t>
  </si>
  <si>
    <t>De Kee</t>
  </si>
  <si>
    <t>Ina</t>
  </si>
  <si>
    <t>Seeuws</t>
  </si>
  <si>
    <t>Marnic</t>
  </si>
  <si>
    <t>Goethals</t>
  </si>
  <si>
    <t>Jeffrey</t>
  </si>
  <si>
    <t>De Vrieze</t>
  </si>
  <si>
    <t>Ludo</t>
  </si>
  <si>
    <t>De Plus</t>
  </si>
  <si>
    <t>Gunter</t>
  </si>
  <si>
    <t>Baert</t>
  </si>
  <si>
    <t>Freddy</t>
  </si>
  <si>
    <t>Beeckman</t>
  </si>
  <si>
    <t>Nico</t>
  </si>
  <si>
    <t>Bolle</t>
  </si>
  <si>
    <t>Pascal</t>
  </si>
  <si>
    <t>De Cooman</t>
  </si>
  <si>
    <t>Kurt</t>
  </si>
  <si>
    <t>Van Vliet</t>
  </si>
  <si>
    <t>Tom</t>
  </si>
  <si>
    <t>De Feyter</t>
  </si>
  <si>
    <t>David</t>
  </si>
  <si>
    <t>De Smet</t>
  </si>
  <si>
    <t>Kenneth</t>
  </si>
  <si>
    <t>Van Den Bossche</t>
  </si>
  <si>
    <t>Martine</t>
  </si>
  <si>
    <t>Van Eenaeme</t>
  </si>
  <si>
    <t>Riobello-Olalla</t>
  </si>
  <si>
    <t>De Geyter</t>
  </si>
  <si>
    <t>Claudine</t>
  </si>
  <si>
    <t>Oosterlinck</t>
  </si>
  <si>
    <t>Jan</t>
  </si>
  <si>
    <t>Eeckhout</t>
  </si>
  <si>
    <t>Steve</t>
  </si>
  <si>
    <t>Schijvens</t>
  </si>
  <si>
    <t>Ronny</t>
  </si>
  <si>
    <t>Kirdas</t>
  </si>
  <si>
    <t>De Weirt</t>
  </si>
  <si>
    <t>Chris</t>
  </si>
  <si>
    <t>Van Kerckhove</t>
  </si>
  <si>
    <t>Sabine</t>
  </si>
  <si>
    <t>Vervoort</t>
  </si>
  <si>
    <t>Koen</t>
  </si>
  <si>
    <t>Vandaele</t>
  </si>
  <si>
    <t>Sofie</t>
  </si>
  <si>
    <t>Thibaut</t>
  </si>
  <si>
    <t>Rodrigue</t>
  </si>
  <si>
    <t>Vincent</t>
  </si>
  <si>
    <t>De Mulder</t>
  </si>
  <si>
    <t>Philip</t>
  </si>
  <si>
    <t>De paepe</t>
  </si>
  <si>
    <t>Hilde</t>
  </si>
  <si>
    <t>Laute</t>
  </si>
  <si>
    <t>Dirk</t>
  </si>
  <si>
    <t>Ackermans</t>
  </si>
  <si>
    <t>Christian</t>
  </si>
  <si>
    <t>De Mey</t>
  </si>
  <si>
    <t>Peter</t>
  </si>
  <si>
    <t>Dejonghe</t>
  </si>
  <si>
    <t>Katleen</t>
  </si>
  <si>
    <t>Marinx</t>
  </si>
  <si>
    <t>Kristoff</t>
  </si>
  <si>
    <t>Vandenberghe</t>
  </si>
  <si>
    <t>Filip</t>
  </si>
  <si>
    <t>Dhondt</t>
  </si>
  <si>
    <t>Frank</t>
  </si>
  <si>
    <t>Tondeleir</t>
  </si>
  <si>
    <t>Ron</t>
  </si>
  <si>
    <t>Wulfranck</t>
  </si>
  <si>
    <t>Dominique</t>
  </si>
  <si>
    <t>Mestdagh</t>
  </si>
  <si>
    <t>Van Wezemael</t>
  </si>
  <si>
    <t>Patrick</t>
  </si>
  <si>
    <t>Petereyns</t>
  </si>
  <si>
    <t>Vanessa</t>
  </si>
  <si>
    <t>Bracke</t>
  </si>
  <si>
    <t>Rouan</t>
  </si>
  <si>
    <t>Jeroen</t>
  </si>
  <si>
    <t>Meau</t>
  </si>
  <si>
    <t>Tania</t>
  </si>
  <si>
    <t>Devriendt</t>
  </si>
  <si>
    <t>Vermaete</t>
  </si>
  <si>
    <t>Cynthia</t>
  </si>
  <si>
    <t>Bouckhout</t>
  </si>
  <si>
    <t>Ingeborg</t>
  </si>
  <si>
    <t>Vandecasteele</t>
  </si>
  <si>
    <t>Ruth</t>
  </si>
  <si>
    <t>Toch</t>
  </si>
  <si>
    <t>Erwin</t>
  </si>
  <si>
    <t>Rosita</t>
  </si>
  <si>
    <t>Notte</t>
  </si>
  <si>
    <t>Nancy</t>
  </si>
  <si>
    <t>Van Lauwe</t>
  </si>
  <si>
    <t>VandenDaele</t>
  </si>
  <si>
    <t>Andy</t>
  </si>
  <si>
    <t>Devriese</t>
  </si>
  <si>
    <t>Luc</t>
  </si>
  <si>
    <t>Lootens</t>
  </si>
  <si>
    <t>Davy</t>
  </si>
  <si>
    <t>Van Landschoot</t>
  </si>
  <si>
    <t>Jürgen</t>
  </si>
  <si>
    <t>DeBisschop</t>
  </si>
  <si>
    <t>Wendy</t>
  </si>
  <si>
    <t>Praet</t>
  </si>
  <si>
    <t>Reginald</t>
  </si>
  <si>
    <t>Idrisi</t>
  </si>
  <si>
    <t>Hasana</t>
  </si>
  <si>
    <t>Lega</t>
  </si>
  <si>
    <t>Claude</t>
  </si>
  <si>
    <t>Vanlerberghe</t>
  </si>
  <si>
    <t>Rudy</t>
  </si>
  <si>
    <t>Van Wittenberge</t>
  </si>
  <si>
    <t>Platteau</t>
  </si>
  <si>
    <t>Lydie</t>
  </si>
  <si>
    <t>De Vos</t>
  </si>
  <si>
    <t>Günter</t>
  </si>
  <si>
    <t>Azahaf</t>
  </si>
  <si>
    <t>M'Hamed</t>
  </si>
  <si>
    <t>Joos</t>
  </si>
  <si>
    <t>Veronique</t>
  </si>
  <si>
    <t>Fiers</t>
  </si>
  <si>
    <t>Ben</t>
  </si>
  <si>
    <t>Deschepper</t>
  </si>
  <si>
    <t>Remmery</t>
  </si>
  <si>
    <t>De Clercq</t>
  </si>
  <si>
    <t>Aspeslagh</t>
  </si>
  <si>
    <t>Geert</t>
  </si>
  <si>
    <t>Odaci</t>
  </si>
  <si>
    <t>Kadir</t>
  </si>
  <si>
    <t>Vanooteghem</t>
  </si>
  <si>
    <t>Johnny</t>
  </si>
  <si>
    <t>Van Steenbergen</t>
  </si>
  <si>
    <t>Kris</t>
  </si>
  <si>
    <t>Arampatzis</t>
  </si>
  <si>
    <t>Stavros</t>
  </si>
  <si>
    <t>Deschrijver</t>
  </si>
  <si>
    <t>Ivan</t>
  </si>
  <si>
    <t>Akhayad</t>
  </si>
  <si>
    <t>Ahmed</t>
  </si>
  <si>
    <t>De Boeck</t>
  </si>
  <si>
    <t>Johannes</t>
  </si>
  <si>
    <t>Willems</t>
  </si>
  <si>
    <t>Kristine</t>
  </si>
  <si>
    <t>Gevaert</t>
  </si>
  <si>
    <t>Vandevyvere</t>
  </si>
  <si>
    <t>Verlaeckt</t>
  </si>
  <si>
    <t>Lincey</t>
  </si>
  <si>
    <t>Delamper</t>
  </si>
  <si>
    <t>Mario</t>
  </si>
  <si>
    <t>Allan</t>
  </si>
  <si>
    <t>Van Grootenbrulle</t>
  </si>
  <si>
    <t>Vranken</t>
  </si>
  <si>
    <t>Ghysels</t>
  </si>
  <si>
    <t>Erik</t>
  </si>
  <si>
    <t>Kizilmese</t>
  </si>
  <si>
    <t>Emra</t>
  </si>
  <si>
    <t>Pekdemir</t>
  </si>
  <si>
    <t>Ilkmur</t>
  </si>
  <si>
    <t>Imschoot</t>
  </si>
  <si>
    <t>Frederik</t>
  </si>
  <si>
    <t>Vonck</t>
  </si>
  <si>
    <t>Sandra</t>
  </si>
  <si>
    <t>Mestdag</t>
  </si>
  <si>
    <t>Marius</t>
  </si>
  <si>
    <t>Rivière</t>
  </si>
  <si>
    <t>Bart</t>
  </si>
  <si>
    <t>Van Den Neste</t>
  </si>
  <si>
    <t>Diederik</t>
  </si>
  <si>
    <t>In</t>
  </si>
  <si>
    <t>Murat</t>
  </si>
  <si>
    <t>Laforce</t>
  </si>
  <si>
    <t>Mike</t>
  </si>
  <si>
    <t>De Ridder</t>
  </si>
  <si>
    <t>Danny</t>
  </si>
  <si>
    <t>Alkanat</t>
  </si>
  <si>
    <t>Metin</t>
  </si>
  <si>
    <t>Sari</t>
  </si>
  <si>
    <t>Cemâl</t>
  </si>
  <si>
    <t>De Volder</t>
  </si>
  <si>
    <t>Marc</t>
  </si>
  <si>
    <t>De Moor</t>
  </si>
  <si>
    <t>Verstichel</t>
  </si>
  <si>
    <t>Jethro</t>
  </si>
  <si>
    <t>Anjuijn</t>
  </si>
  <si>
    <t>Doolaege</t>
  </si>
  <si>
    <t>Yasin</t>
  </si>
  <si>
    <t>Alex</t>
  </si>
  <si>
    <t>Kesteloot</t>
  </si>
  <si>
    <t>De Craemer</t>
  </si>
  <si>
    <t>Vanderstraeten</t>
  </si>
  <si>
    <t>Franky</t>
  </si>
  <si>
    <t>Van Hulle</t>
  </si>
  <si>
    <t>Werner</t>
  </si>
  <si>
    <t>Horemans</t>
  </si>
  <si>
    <t>Elisa</t>
  </si>
  <si>
    <t>Davey</t>
  </si>
  <si>
    <t>Dierick</t>
  </si>
  <si>
    <t>La Fontaine</t>
  </si>
  <si>
    <t>Meyvaert</t>
  </si>
  <si>
    <t>De Boever</t>
  </si>
  <si>
    <t>Maarten</t>
  </si>
  <si>
    <t>Pluym</t>
  </si>
  <si>
    <t>Delahaye</t>
  </si>
  <si>
    <t>Karina</t>
  </si>
  <si>
    <t>Süleyman</t>
  </si>
  <si>
    <t>Brilyov</t>
  </si>
  <si>
    <t>Dmitriy</t>
  </si>
  <si>
    <t>Bicici</t>
  </si>
  <si>
    <t>Abdul Kadir</t>
  </si>
  <si>
    <t>Callebert</t>
  </si>
  <si>
    <t>Pieter Jan</t>
  </si>
  <si>
    <t>Osseel</t>
  </si>
  <si>
    <t>Johan</t>
  </si>
  <si>
    <t>Goossens</t>
  </si>
  <si>
    <t>Gunther</t>
  </si>
  <si>
    <t>Achalhi</t>
  </si>
  <si>
    <t>Abderrachid</t>
  </si>
  <si>
    <t>Kerman</t>
  </si>
  <si>
    <t>Riza</t>
  </si>
  <si>
    <t>Unal</t>
  </si>
  <si>
    <t>Mustafa</t>
  </si>
  <si>
    <t>Maes</t>
  </si>
  <si>
    <t>Byosière</t>
  </si>
  <si>
    <t>Christof</t>
  </si>
  <si>
    <t>Adiyil</t>
  </si>
  <si>
    <t>Attila</t>
  </si>
  <si>
    <t>Baetens</t>
  </si>
  <si>
    <t>Christine</t>
  </si>
  <si>
    <t>Dellaert</t>
  </si>
  <si>
    <t>Yves</t>
  </si>
  <si>
    <t>Wyffels</t>
  </si>
  <si>
    <t>Jean-Pierre</t>
  </si>
  <si>
    <t>D'Haeyere</t>
  </si>
  <si>
    <t>Bernard</t>
  </si>
  <si>
    <t>Planckaert</t>
  </si>
  <si>
    <t>Jurgen</t>
  </si>
  <si>
    <t>Luttens</t>
  </si>
  <si>
    <t>Kaya</t>
  </si>
  <si>
    <t>Aydin</t>
  </si>
  <si>
    <t>Tayefeh Arbab</t>
  </si>
  <si>
    <t>Ali</t>
  </si>
  <si>
    <t>Gök</t>
  </si>
  <si>
    <t>Davut</t>
  </si>
  <si>
    <t>Haelterman</t>
  </si>
  <si>
    <t>Devos</t>
  </si>
  <si>
    <t>Stefaan</t>
  </si>
  <si>
    <t>Vanrenterghem</t>
  </si>
  <si>
    <t>Serge</t>
  </si>
  <si>
    <t>Cetinkaya</t>
  </si>
  <si>
    <t>Veysel</t>
  </si>
  <si>
    <t>Simsek</t>
  </si>
  <si>
    <t>Abdullah</t>
  </si>
  <si>
    <t>Kayim</t>
  </si>
  <si>
    <t>Akin</t>
  </si>
  <si>
    <t>Fasseur</t>
  </si>
  <si>
    <t>Frederic</t>
  </si>
  <si>
    <t>Kazakbiyev</t>
  </si>
  <si>
    <t>Osman</t>
  </si>
  <si>
    <t>De Wit</t>
  </si>
  <si>
    <t>Bruno</t>
  </si>
  <si>
    <t>Peers</t>
  </si>
  <si>
    <t>Bral</t>
  </si>
  <si>
    <t>Jessica</t>
  </si>
  <si>
    <t>Hublau</t>
  </si>
  <si>
    <t>Roland</t>
  </si>
  <si>
    <t>Van Puyenbroeck</t>
  </si>
  <si>
    <t>Pascale</t>
  </si>
  <si>
    <t>Justé</t>
  </si>
  <si>
    <t>Steven</t>
  </si>
  <si>
    <t>Wauters</t>
  </si>
  <si>
    <t>Van Vlem</t>
  </si>
  <si>
    <t>Van Semmertier</t>
  </si>
  <si>
    <t>Aelterman</t>
  </si>
  <si>
    <t>Van Cauwenberg</t>
  </si>
  <si>
    <t>Siderov</t>
  </si>
  <si>
    <t>Miroslav</t>
  </si>
  <si>
    <t>Van de Capelle</t>
  </si>
  <si>
    <t>Engels</t>
  </si>
  <si>
    <t>Lippens</t>
  </si>
  <si>
    <t>Miguel</t>
  </si>
  <si>
    <t>Ong</t>
  </si>
  <si>
    <t>Geok Hong</t>
  </si>
  <si>
    <t>De Meester</t>
  </si>
  <si>
    <t>Bohez</t>
  </si>
  <si>
    <t>Toubadie</t>
  </si>
  <si>
    <t>Mossa</t>
  </si>
  <si>
    <t>Oben</t>
  </si>
  <si>
    <t>Thibaud</t>
  </si>
  <si>
    <t>Neghli</t>
  </si>
  <si>
    <t>Farid</t>
  </si>
  <si>
    <t>Frans</t>
  </si>
  <si>
    <t>Gabriella</t>
  </si>
  <si>
    <t>Petrovic</t>
  </si>
  <si>
    <t>Damir</t>
  </si>
  <si>
    <t>Criel</t>
  </si>
  <si>
    <t>Verbanck</t>
  </si>
  <si>
    <t>De Schenkel</t>
  </si>
  <si>
    <t>Parmentier</t>
  </si>
  <si>
    <t>Van Lierde</t>
  </si>
  <si>
    <t>Michel</t>
  </si>
  <si>
    <t>Olenski</t>
  </si>
  <si>
    <t>Leonard</t>
  </si>
  <si>
    <t>Omari</t>
  </si>
  <si>
    <t>Said</t>
  </si>
  <si>
    <t>De Muynck</t>
  </si>
  <si>
    <t>Laurian</t>
  </si>
  <si>
    <t>De Pauw</t>
  </si>
  <si>
    <t>Debreuckere</t>
  </si>
  <si>
    <t>Renzo</t>
  </si>
  <si>
    <t>Dejonckheere</t>
  </si>
  <si>
    <t>Els</t>
  </si>
  <si>
    <t>El-Mohamed</t>
  </si>
  <si>
    <t>Mohamed</t>
  </si>
  <si>
    <t>Van Malderghem</t>
  </si>
  <si>
    <t>Niels</t>
  </si>
  <si>
    <t>Roels</t>
  </si>
  <si>
    <t>Isiklar</t>
  </si>
  <si>
    <t>Okan</t>
  </si>
  <si>
    <t>Choaïbi</t>
  </si>
  <si>
    <t>Bilal</t>
  </si>
  <si>
    <t>Gassa</t>
  </si>
  <si>
    <t>Osmane</t>
  </si>
  <si>
    <t>Grillaert</t>
  </si>
  <si>
    <t>Lieven</t>
  </si>
  <si>
    <t>Verwee</t>
  </si>
  <si>
    <t>Dries</t>
  </si>
  <si>
    <t>Van Turtelboom</t>
  </si>
  <si>
    <t>De Weerdt</t>
  </si>
  <si>
    <t>Samuel</t>
  </si>
  <si>
    <t>De Vuyst</t>
  </si>
  <si>
    <t>Boyke</t>
  </si>
  <si>
    <t>Priwall</t>
  </si>
  <si>
    <t>Heike</t>
  </si>
  <si>
    <t>Dullaert</t>
  </si>
  <si>
    <t>De Keyzer</t>
  </si>
  <si>
    <t>Celikoz</t>
  </si>
  <si>
    <t>Musa</t>
  </si>
  <si>
    <t>Özer</t>
  </si>
  <si>
    <t>Mesut</t>
  </si>
  <si>
    <t>Martens</t>
  </si>
  <si>
    <t>Geoffrey</t>
  </si>
  <si>
    <t>Huyse</t>
  </si>
  <si>
    <t>Annicke</t>
  </si>
  <si>
    <t>Deboosere</t>
  </si>
  <si>
    <t>Kathy</t>
  </si>
  <si>
    <t>Van De Velde</t>
  </si>
  <si>
    <t>Anneleen</t>
  </si>
  <si>
    <t>Mehman Doust</t>
  </si>
  <si>
    <t>Farhad</t>
  </si>
  <si>
    <t>Haerens</t>
  </si>
  <si>
    <t>Simons</t>
  </si>
  <si>
    <t>Andreas</t>
  </si>
  <si>
    <t>Verberckmoes</t>
  </si>
  <si>
    <t>Sebastiaan</t>
  </si>
  <si>
    <t>Unver</t>
  </si>
  <si>
    <t>Ismaïl</t>
  </si>
  <si>
    <t>Vandersmissen</t>
  </si>
  <si>
    <t>Denis</t>
  </si>
  <si>
    <t>vanden Bulcke</t>
  </si>
  <si>
    <t>Taser</t>
  </si>
  <si>
    <t>Fatih</t>
  </si>
  <si>
    <t>Biesemans</t>
  </si>
  <si>
    <t>Jasper</t>
  </si>
  <si>
    <t>De Jaeger</t>
  </si>
  <si>
    <t>Kevin</t>
  </si>
  <si>
    <t>Bonne</t>
  </si>
  <si>
    <t>Niko</t>
  </si>
  <si>
    <t>De Sutter</t>
  </si>
  <si>
    <t>Michiel</t>
  </si>
  <si>
    <t>Oueslati</t>
  </si>
  <si>
    <t>Mohamed Ali</t>
  </si>
  <si>
    <t>Govaerts</t>
  </si>
  <si>
    <t>Sandro</t>
  </si>
  <si>
    <t>Colaes</t>
  </si>
  <si>
    <t>Dylan</t>
  </si>
  <si>
    <t>Pille</t>
  </si>
  <si>
    <t>Vindevogel</t>
  </si>
  <si>
    <t>Nick</t>
  </si>
  <si>
    <t>Cetin</t>
  </si>
  <si>
    <t>Serdar</t>
  </si>
  <si>
    <t>Mertens</t>
  </si>
  <si>
    <t>Ridvan</t>
  </si>
  <si>
    <t>Kirsan</t>
  </si>
  <si>
    <t>Ömer</t>
  </si>
  <si>
    <t>Vaeyens</t>
  </si>
  <si>
    <t>Midas</t>
  </si>
  <si>
    <t>Grypdonck</t>
  </si>
  <si>
    <t>Weemhof</t>
  </si>
  <si>
    <t>Maurice</t>
  </si>
  <si>
    <t>Van Achte</t>
  </si>
  <si>
    <t>Jay</t>
  </si>
  <si>
    <t>Dedapper</t>
  </si>
  <si>
    <t>Marijke</t>
  </si>
  <si>
    <t>Sonck</t>
  </si>
  <si>
    <t>Kristof</t>
  </si>
  <si>
    <t>Famelaer</t>
  </si>
  <si>
    <t>De Wilde</t>
  </si>
  <si>
    <t>Dimitry</t>
  </si>
  <si>
    <t>Hasni</t>
  </si>
  <si>
    <t>Helmi</t>
  </si>
  <si>
    <t>Köroglu</t>
  </si>
  <si>
    <t>Ercan</t>
  </si>
  <si>
    <t>Er</t>
  </si>
  <si>
    <t>Tolga</t>
  </si>
  <si>
    <t>Zulkifly</t>
  </si>
  <si>
    <t>Kelchtermans</t>
  </si>
  <si>
    <t>Raf</t>
  </si>
  <si>
    <t>Verlinden</t>
  </si>
  <si>
    <t>Bianca</t>
  </si>
  <si>
    <t>Vandenborre</t>
  </si>
  <si>
    <t>Meersman</t>
  </si>
  <si>
    <t>Herman</t>
  </si>
  <si>
    <t>Cifteoglu</t>
  </si>
  <si>
    <t>Sedat</t>
  </si>
  <si>
    <t>Benjilali</t>
  </si>
  <si>
    <t>Abdelhak</t>
  </si>
  <si>
    <t>Vanderstock</t>
  </si>
  <si>
    <t>Kenny</t>
  </si>
  <si>
    <t>Özgur</t>
  </si>
  <si>
    <t>Saey</t>
  </si>
  <si>
    <t>Elias</t>
  </si>
  <si>
    <t>De Bruyne</t>
  </si>
  <si>
    <t>Sonia</t>
  </si>
  <si>
    <t>Depaepe</t>
  </si>
  <si>
    <t>Van Hoe</t>
  </si>
  <si>
    <t>Ivo</t>
  </si>
  <si>
    <t>Petit</t>
  </si>
  <si>
    <t>Verroeye</t>
  </si>
  <si>
    <t>Holub</t>
  </si>
  <si>
    <t>Patrik</t>
  </si>
  <si>
    <t>Dekens</t>
  </si>
  <si>
    <t>Caufrier</t>
  </si>
  <si>
    <t>Matthew</t>
  </si>
  <si>
    <t>Van de Velde</t>
  </si>
  <si>
    <t>Valentijn</t>
  </si>
  <si>
    <t>Verschraegen</t>
  </si>
  <si>
    <t>Van Limbergen</t>
  </si>
  <si>
    <t>Vergucht</t>
  </si>
  <si>
    <t>Hugo</t>
  </si>
  <si>
    <t>Hoffelinck</t>
  </si>
  <si>
    <t>Thomas</t>
  </si>
  <si>
    <t>Göktas</t>
  </si>
  <si>
    <t>Muharrem</t>
  </si>
  <si>
    <t>Hoste</t>
  </si>
  <si>
    <t>Wieme</t>
  </si>
  <si>
    <t>Pelfrene</t>
  </si>
  <si>
    <t>Toby</t>
  </si>
  <si>
    <t>Ghani</t>
  </si>
  <si>
    <t>Mozamil</t>
  </si>
  <si>
    <t>Halil</t>
  </si>
  <si>
    <t>Eid</t>
  </si>
  <si>
    <t>Mathyn</t>
  </si>
  <si>
    <t>Kerremans</t>
  </si>
  <si>
    <t>Callant</t>
  </si>
  <si>
    <t>Dieter</t>
  </si>
  <si>
    <t>Wulleput</t>
  </si>
  <si>
    <t>Illya</t>
  </si>
  <si>
    <t>Agacseven</t>
  </si>
  <si>
    <t>Youri</t>
  </si>
  <si>
    <t>Momsen</t>
  </si>
  <si>
    <t>Rory</t>
  </si>
  <si>
    <t>De Henau</t>
  </si>
  <si>
    <t>Kocabas</t>
  </si>
  <si>
    <t>Abdülkadir</t>
  </si>
  <si>
    <t>Rotsaert</t>
  </si>
  <si>
    <t>Delcourt</t>
  </si>
  <si>
    <t>Daniel</t>
  </si>
  <si>
    <t>Bastiaen</t>
  </si>
  <si>
    <t>Eric</t>
  </si>
  <si>
    <t>Coban</t>
  </si>
  <si>
    <t>Mehmet</t>
  </si>
  <si>
    <t>Akmese</t>
  </si>
  <si>
    <t>Ahmet</t>
  </si>
  <si>
    <t>Karel</t>
  </si>
  <si>
    <t>Dewulf</t>
  </si>
  <si>
    <t>Matthias</t>
  </si>
  <si>
    <t>Sam</t>
  </si>
  <si>
    <t>Limbourg</t>
  </si>
  <si>
    <t>Heidi</t>
  </si>
  <si>
    <t>Minbari</t>
  </si>
  <si>
    <t>Ako</t>
  </si>
  <si>
    <t>Riahi</t>
  </si>
  <si>
    <t>Brahim</t>
  </si>
  <si>
    <t>Vermeir</t>
  </si>
  <si>
    <t>Vlaminck</t>
  </si>
  <si>
    <t>Aytekin</t>
  </si>
  <si>
    <t>Roos</t>
  </si>
  <si>
    <t>Nguetto</t>
  </si>
  <si>
    <t>Brisco Romeo</t>
  </si>
  <si>
    <t>Zakaria</t>
  </si>
  <si>
    <t>van Turnhout</t>
  </si>
  <si>
    <t>Mariëlle</t>
  </si>
  <si>
    <t>Rummens</t>
  </si>
  <si>
    <t>Razzaz</t>
  </si>
  <si>
    <t>Mahmoud</t>
  </si>
  <si>
    <t>Smesman</t>
  </si>
  <si>
    <t>Glenn</t>
  </si>
  <si>
    <t>Braeckman</t>
  </si>
  <si>
    <t>Wouter</t>
  </si>
  <si>
    <t>El Mezroui</t>
  </si>
  <si>
    <t>Zouheir</t>
  </si>
  <si>
    <t>Dolleslagers</t>
  </si>
  <si>
    <t>Jalili</t>
  </si>
  <si>
    <t>Yaseeb</t>
  </si>
  <si>
    <t>El Gasmi</t>
  </si>
  <si>
    <t>Sami</t>
  </si>
  <si>
    <t>Huseyin</t>
  </si>
  <si>
    <t>Van Damme</t>
  </si>
  <si>
    <t>Boelaert</t>
  </si>
  <si>
    <t>Sven</t>
  </si>
  <si>
    <t>Kilinc</t>
  </si>
  <si>
    <t>Atilay</t>
  </si>
  <si>
    <t>Acosta Salinas</t>
  </si>
  <si>
    <t>Benigna</t>
  </si>
  <si>
    <t>Van Rentergem</t>
  </si>
  <si>
    <t>Haenebalcke</t>
  </si>
  <si>
    <t>Desmadryl</t>
  </si>
  <si>
    <t>El Aaddam</t>
  </si>
  <si>
    <t>Hodayfa</t>
  </si>
  <si>
    <t>De Nys</t>
  </si>
  <si>
    <t>Elise</t>
  </si>
  <si>
    <t>Opsomer</t>
  </si>
  <si>
    <t>Gerrit</t>
  </si>
  <si>
    <t>Vandekerckhove</t>
  </si>
  <si>
    <t>Mohamed Yassin</t>
  </si>
  <si>
    <t>Abdulhamid</t>
  </si>
  <si>
    <t>Malak</t>
  </si>
  <si>
    <t>Kemal</t>
  </si>
  <si>
    <t>Abdi Shaiye</t>
  </si>
  <si>
    <t>Rashid</t>
  </si>
  <si>
    <t>Ahlaloum</t>
  </si>
  <si>
    <t>Khalid</t>
  </si>
  <si>
    <t>Agil</t>
  </si>
  <si>
    <t>Birol</t>
  </si>
  <si>
    <t>Callens</t>
  </si>
  <si>
    <t>Dimitri</t>
  </si>
  <si>
    <t>De Lange</t>
  </si>
  <si>
    <t>Ruben</t>
  </si>
  <si>
    <t>Van Belleghem</t>
  </si>
  <si>
    <t>Peggy</t>
  </si>
  <si>
    <t>Van Herreweghe</t>
  </si>
  <si>
    <t>Branco</t>
  </si>
  <si>
    <t>Rauf</t>
  </si>
  <si>
    <t>Babaian</t>
  </si>
  <si>
    <t>Sammy</t>
  </si>
  <si>
    <t>De Staercke</t>
  </si>
  <si>
    <t>De Meulenaere</t>
  </si>
  <si>
    <t>Carion</t>
  </si>
  <si>
    <t>Rojet</t>
  </si>
  <si>
    <t>Kartal</t>
  </si>
  <si>
    <t>Dobbelaere</t>
  </si>
  <si>
    <t>Fadel</t>
  </si>
  <si>
    <t>Husam</t>
  </si>
  <si>
    <t>Cesmeli</t>
  </si>
  <si>
    <t>Achraf</t>
  </si>
  <si>
    <t>Haché</t>
  </si>
  <si>
    <t>De Kesel</t>
  </si>
  <si>
    <t>Milan</t>
  </si>
  <si>
    <t>Flamant</t>
  </si>
  <si>
    <t>Saritag</t>
  </si>
  <si>
    <t>Mehmed</t>
  </si>
  <si>
    <t>Dacic</t>
  </si>
  <si>
    <t>Esmir</t>
  </si>
  <si>
    <t>Bashir</t>
  </si>
  <si>
    <t>Muhammad Salman</t>
  </si>
  <si>
    <t>Catar</t>
  </si>
  <si>
    <t>Gökhan</t>
  </si>
  <si>
    <t>Antoniewicz</t>
  </si>
  <si>
    <t>Stephan</t>
  </si>
  <si>
    <t>Blondeel</t>
  </si>
  <si>
    <t>Berth</t>
  </si>
  <si>
    <t>Bjorn</t>
  </si>
  <si>
    <t>Coulon</t>
  </si>
  <si>
    <t>Rayan</t>
  </si>
  <si>
    <t>Van Wayenbergh</t>
  </si>
  <si>
    <t>Yordi</t>
  </si>
  <si>
    <t>Dedeci</t>
  </si>
  <si>
    <t>Mecit</t>
  </si>
  <si>
    <t>Walleyn</t>
  </si>
  <si>
    <t>Renaat</t>
  </si>
  <si>
    <t>Demirkazik</t>
  </si>
  <si>
    <t>Willy</t>
  </si>
  <si>
    <t>Abdulkader</t>
  </si>
  <si>
    <t>Sabah</t>
  </si>
  <si>
    <t>De Tandt</t>
  </si>
  <si>
    <t>Hans</t>
  </si>
  <si>
    <t>Öztürk</t>
  </si>
  <si>
    <t>Bilgehan</t>
  </si>
  <si>
    <t>Damlakhi</t>
  </si>
  <si>
    <t>Nawras</t>
  </si>
  <si>
    <t>De Groote</t>
  </si>
  <si>
    <t>Van den Meerssche</t>
  </si>
  <si>
    <t>Charlotte</t>
  </si>
  <si>
    <t>Demirkaya</t>
  </si>
  <si>
    <t>Kâzim</t>
  </si>
  <si>
    <t>Sturtewagen</t>
  </si>
  <si>
    <t>Van Doorselaere</t>
  </si>
  <si>
    <t>Alan</t>
  </si>
  <si>
    <t>Michael</t>
  </si>
  <si>
    <t>Detaeye</t>
  </si>
  <si>
    <t>Alexander</t>
  </si>
  <si>
    <t>De Naegel</t>
  </si>
  <si>
    <t>Van De Voorde</t>
  </si>
  <si>
    <t>Cindy</t>
  </si>
  <si>
    <t>Dierinck</t>
  </si>
  <si>
    <t>Charles</t>
  </si>
  <si>
    <t>Mine</t>
  </si>
  <si>
    <t>Isa</t>
  </si>
  <si>
    <t>Aljorof</t>
  </si>
  <si>
    <t>Marwan</t>
  </si>
  <si>
    <t>Uenk</t>
  </si>
  <si>
    <t>Hermina</t>
  </si>
  <si>
    <t>Devrim</t>
  </si>
  <si>
    <t>Huyghe</t>
  </si>
  <si>
    <t>Haaze</t>
  </si>
  <si>
    <t>Sarah</t>
  </si>
  <si>
    <t>Alassad</t>
  </si>
  <si>
    <t>Ahmad</t>
  </si>
  <si>
    <t>Almohammad</t>
  </si>
  <si>
    <t>Malek</t>
  </si>
  <si>
    <t>Smajla</t>
  </si>
  <si>
    <t>Samet</t>
  </si>
  <si>
    <t>Stomphorst</t>
  </si>
  <si>
    <t>Mattanja</t>
  </si>
  <si>
    <t>Asskale</t>
  </si>
  <si>
    <t>Zouhir</t>
  </si>
  <si>
    <t>Uckuyulu</t>
  </si>
  <si>
    <t>Muhammet Emin</t>
  </si>
  <si>
    <t>Basgurboga</t>
  </si>
  <si>
    <t>Selahattin</t>
  </si>
  <si>
    <t>Muys</t>
  </si>
  <si>
    <t>Aäron</t>
  </si>
  <si>
    <t>Ben Sidhom</t>
  </si>
  <si>
    <t>Samir</t>
  </si>
  <si>
    <t>Meskens</t>
  </si>
  <si>
    <t>Anthony</t>
  </si>
  <si>
    <t>Dossche</t>
  </si>
  <si>
    <t>Caroline</t>
  </si>
  <si>
    <t>Wasen</t>
  </si>
  <si>
    <t>Jens</t>
  </si>
  <si>
    <t>Sancak</t>
  </si>
  <si>
    <t>Eyuphan</t>
  </si>
  <si>
    <t>Sedighi</t>
  </si>
  <si>
    <t>Hamid</t>
  </si>
  <si>
    <t>Asrih</t>
  </si>
  <si>
    <t>Habib</t>
  </si>
  <si>
    <t>Genbrugge</t>
  </si>
  <si>
    <t>Kyllian</t>
  </si>
  <si>
    <t>De taeye</t>
  </si>
  <si>
    <t>Kelly</t>
  </si>
  <si>
    <t>Dalli</t>
  </si>
  <si>
    <t>Salam Housin</t>
  </si>
  <si>
    <t>Landoulsi</t>
  </si>
  <si>
    <t>Sabeur</t>
  </si>
  <si>
    <t>Burrick</t>
  </si>
  <si>
    <t>Al Masri</t>
  </si>
  <si>
    <t>Anas</t>
  </si>
  <si>
    <t>Shinwari</t>
  </si>
  <si>
    <t>Abdi Ali</t>
  </si>
  <si>
    <t>Van Holsbeeck</t>
  </si>
  <si>
    <t>Weeks Aracena</t>
  </si>
  <si>
    <t>Jimmy Alexander</t>
  </si>
  <si>
    <t>Bensalah</t>
  </si>
  <si>
    <t>Mohammed</t>
  </si>
  <si>
    <t>Mihaylov</t>
  </si>
  <si>
    <t>Plamen</t>
  </si>
  <si>
    <t>Desmet</t>
  </si>
  <si>
    <t>Patricia</t>
  </si>
  <si>
    <t>Sahin</t>
  </si>
  <si>
    <t>Orhan</t>
  </si>
  <si>
    <t>Cedric</t>
  </si>
  <si>
    <t>Nguende Ngatcheu</t>
  </si>
  <si>
    <t>Ivan Belerd</t>
  </si>
  <si>
    <t>Vandenhaute</t>
  </si>
  <si>
    <t>Linus</t>
  </si>
  <si>
    <t>Sayin</t>
  </si>
  <si>
    <t>Batuhan</t>
  </si>
  <si>
    <t>Kallenbach</t>
  </si>
  <si>
    <t>Sunny</t>
  </si>
  <si>
    <t>Camacho Encarnacion</t>
  </si>
  <si>
    <t>Lisandro Javier</t>
  </si>
  <si>
    <t>Lloyd</t>
  </si>
  <si>
    <t>Steurbaut</t>
  </si>
  <si>
    <t>Henri</t>
  </si>
  <si>
    <t>Tacq</t>
  </si>
  <si>
    <t>Joey</t>
  </si>
  <si>
    <t>El Khayat</t>
  </si>
  <si>
    <t>Jamal</t>
  </si>
  <si>
    <t>Nohut</t>
  </si>
  <si>
    <t>Baki</t>
  </si>
  <si>
    <t>Avci</t>
  </si>
  <si>
    <t>Muhammet Abdullah</t>
  </si>
  <si>
    <t>Serkan</t>
  </si>
  <si>
    <t>Dolgiev</t>
  </si>
  <si>
    <t>Mukhamed</t>
  </si>
  <si>
    <t>Helleputte</t>
  </si>
  <si>
    <t>William</t>
  </si>
  <si>
    <t>Curukcu</t>
  </si>
  <si>
    <t>Bayram</t>
  </si>
  <si>
    <t>Jacobs</t>
  </si>
  <si>
    <t>Elos</t>
  </si>
  <si>
    <t>Costers</t>
  </si>
  <si>
    <t>Stanikazi</t>
  </si>
  <si>
    <t>Roien Sadder</t>
  </si>
  <si>
    <t>Calinalti</t>
  </si>
  <si>
    <t>Abdil</t>
  </si>
  <si>
    <t>Basha</t>
  </si>
  <si>
    <t>Izmir</t>
  </si>
  <si>
    <t>Marian</t>
  </si>
  <si>
    <t>Birsanuc</t>
  </si>
  <si>
    <t>Jordy</t>
  </si>
  <si>
    <t>Momand</t>
  </si>
  <si>
    <t>Staneva</t>
  </si>
  <si>
    <t>Mariyana</t>
  </si>
  <si>
    <t>Mirazai</t>
  </si>
  <si>
    <t>Rahmatullah</t>
  </si>
  <si>
    <t>Mattan</t>
  </si>
  <si>
    <t>Maaren</t>
  </si>
  <si>
    <t>Souda</t>
  </si>
  <si>
    <t>Bernaerts</t>
  </si>
  <si>
    <t>Benjamin</t>
  </si>
  <si>
    <t>Karakaya</t>
  </si>
  <si>
    <t>Oguz</t>
  </si>
  <si>
    <t>Afara</t>
  </si>
  <si>
    <t>Ammar</t>
  </si>
  <si>
    <t>Sögüt</t>
  </si>
  <si>
    <t>Can</t>
  </si>
  <si>
    <t>Cardon</t>
  </si>
  <si>
    <t>Sharon</t>
  </si>
  <si>
    <t>Moerman</t>
  </si>
  <si>
    <t>Tjimmy</t>
  </si>
  <si>
    <t>De Waegeneer</t>
  </si>
  <si>
    <t>Shahriyari</t>
  </si>
  <si>
    <t>Khalil</t>
  </si>
  <si>
    <t>Arne</t>
  </si>
  <si>
    <t>Van Iterson</t>
  </si>
  <si>
    <t>Troch</t>
  </si>
  <si>
    <t>Jorick</t>
  </si>
  <si>
    <t>Taibi</t>
  </si>
  <si>
    <t>Yassine</t>
  </si>
  <si>
    <t>Ates</t>
  </si>
  <si>
    <t>Firat</t>
  </si>
  <si>
    <t>Khder</t>
  </si>
  <si>
    <t>Aram</t>
  </si>
  <si>
    <t>Kuru</t>
  </si>
  <si>
    <t>Salimova</t>
  </si>
  <si>
    <t>Eydzhan</t>
  </si>
  <si>
    <t>Sherifi</t>
  </si>
  <si>
    <t>Gani</t>
  </si>
  <si>
    <t>Prové</t>
  </si>
  <si>
    <t>Michaël</t>
  </si>
  <si>
    <t>Ennakaba</t>
  </si>
  <si>
    <t>Khaoula</t>
  </si>
  <si>
    <t>Dekeuckelaere</t>
  </si>
  <si>
    <t>De Roo</t>
  </si>
  <si>
    <t>Paul</t>
  </si>
  <si>
    <t>Fakash</t>
  </si>
  <si>
    <t>Lopez Hernandez</t>
  </si>
  <si>
    <t>Herber Felix</t>
  </si>
  <si>
    <t>Hashimi</t>
  </si>
  <si>
    <t>Ali Mir</t>
  </si>
  <si>
    <t>De Souza</t>
  </si>
  <si>
    <t>Marcos Eduardo</t>
  </si>
  <si>
    <t>Mekdad</t>
  </si>
  <si>
    <t>Noppe</t>
  </si>
  <si>
    <t>Lode</t>
  </si>
  <si>
    <t>Hiloui</t>
  </si>
  <si>
    <t>Kurti</t>
  </si>
  <si>
    <t>Domeniko</t>
  </si>
  <si>
    <t>Bytebier</t>
  </si>
  <si>
    <t>Jason</t>
  </si>
  <si>
    <t>Gilyann</t>
  </si>
  <si>
    <t>Gözüküçük</t>
  </si>
  <si>
    <t>Ugur</t>
  </si>
  <si>
    <t>Ivanov</t>
  </si>
  <si>
    <t>De Vijlder</t>
  </si>
  <si>
    <t>Neissi</t>
  </si>
  <si>
    <t>Sadegh</t>
  </si>
  <si>
    <t>Yagoub</t>
  </si>
  <si>
    <t>Abdelali</t>
  </si>
  <si>
    <t>Hyuseinov</t>
  </si>
  <si>
    <t>Berdan</t>
  </si>
  <si>
    <t>Hasnaoui</t>
  </si>
  <si>
    <t>Nejmeddine</t>
  </si>
  <si>
    <t>Cisse</t>
  </si>
  <si>
    <t>Sayon</t>
  </si>
  <si>
    <t>Natad</t>
  </si>
  <si>
    <t>Younes</t>
  </si>
  <si>
    <t>Rocabado Hinojosa</t>
  </si>
  <si>
    <t>Lukas</t>
  </si>
  <si>
    <t>Ardic</t>
  </si>
  <si>
    <t>Atilla</t>
  </si>
  <si>
    <t>Yavas</t>
  </si>
  <si>
    <t>Talha</t>
  </si>
  <si>
    <t>De Keyser</t>
  </si>
  <si>
    <t>Dorien</t>
  </si>
  <si>
    <t>Shah</t>
  </si>
  <si>
    <t>Sekandar</t>
  </si>
  <si>
    <t>De smet</t>
  </si>
  <si>
    <t>Hoeckman</t>
  </si>
  <si>
    <t>De Witte</t>
  </si>
  <si>
    <t>Yana</t>
  </si>
  <si>
    <t>Abulehia</t>
  </si>
  <si>
    <t>Oday</t>
  </si>
  <si>
    <t>Frise</t>
  </si>
  <si>
    <t>Jordi</t>
  </si>
  <si>
    <t>Van Huffel</t>
  </si>
  <si>
    <t>Tim</t>
  </si>
  <si>
    <t>Inci</t>
  </si>
  <si>
    <t>Hillaert</t>
  </si>
  <si>
    <t>Thimo</t>
  </si>
  <si>
    <t>Özdemir</t>
  </si>
  <si>
    <t>Smets</t>
  </si>
  <si>
    <t>Avery</t>
  </si>
  <si>
    <t>Bekir</t>
  </si>
  <si>
    <t>Timmerman</t>
  </si>
  <si>
    <t>Naessens</t>
  </si>
  <si>
    <t>Bachiri</t>
  </si>
  <si>
    <t>Ousama</t>
  </si>
  <si>
    <t>Van Eeckhaut</t>
  </si>
  <si>
    <t>Rudi</t>
  </si>
  <si>
    <t>Hasan</t>
  </si>
  <si>
    <t>Salem</t>
  </si>
  <si>
    <t>Zjarmi</t>
  </si>
  <si>
    <t>Hylgis</t>
  </si>
  <si>
    <t>Van de Winckel</t>
  </si>
  <si>
    <t>Fazal</t>
  </si>
  <si>
    <t>Nolf</t>
  </si>
  <si>
    <t>Philippe</t>
  </si>
  <si>
    <t>Diels</t>
  </si>
  <si>
    <t>Kasmi</t>
  </si>
  <si>
    <t>Abdesamad</t>
  </si>
  <si>
    <t>Yannick</t>
  </si>
  <si>
    <t>Karanfil</t>
  </si>
  <si>
    <t>Ibrahim</t>
  </si>
  <si>
    <t>Dobbeleire</t>
  </si>
  <si>
    <t>Van der Bauwhede</t>
  </si>
  <si>
    <t>De Rammelaere</t>
  </si>
  <si>
    <t>Babai</t>
  </si>
  <si>
    <t>Saber</t>
  </si>
  <si>
    <t>Tuncer</t>
  </si>
  <si>
    <t>Hamza</t>
  </si>
  <si>
    <t>Vervaecke</t>
  </si>
  <si>
    <t>Van Loo</t>
  </si>
  <si>
    <t>Bogaert</t>
  </si>
  <si>
    <t>Crop</t>
  </si>
  <si>
    <t>Safi</t>
  </si>
  <si>
    <t>Amrullah</t>
  </si>
  <si>
    <t>El Gana</t>
  </si>
  <si>
    <t>Karim</t>
  </si>
  <si>
    <t>Othman</t>
  </si>
  <si>
    <t>De Bruycker</t>
  </si>
  <si>
    <t>Verniers</t>
  </si>
  <si>
    <t>Rahoens</t>
  </si>
  <si>
    <t>Christ</t>
  </si>
  <si>
    <t>Coppens</t>
  </si>
  <si>
    <t>Lauwrence</t>
  </si>
  <si>
    <t>Gys</t>
  </si>
  <si>
    <t>Shayya</t>
  </si>
  <si>
    <t>Cichonski</t>
  </si>
  <si>
    <t>Kamil</t>
  </si>
  <si>
    <t>Orozco Camacho</t>
  </si>
  <si>
    <t>Ronald Reynaldo</t>
  </si>
  <si>
    <t>Aissati</t>
  </si>
  <si>
    <t>Ridouan</t>
  </si>
  <si>
    <t>Rombaut</t>
  </si>
  <si>
    <t>Timo</t>
  </si>
  <si>
    <t>Akbulut</t>
  </si>
  <si>
    <t>Samed</t>
  </si>
  <si>
    <t>Metehan</t>
  </si>
  <si>
    <t>Bontinck</t>
  </si>
  <si>
    <t>Sular</t>
  </si>
  <si>
    <t>Abdul</t>
  </si>
  <si>
    <t>Güler</t>
  </si>
  <si>
    <t>Ender</t>
  </si>
  <si>
    <t>Camgöz</t>
  </si>
  <si>
    <t>Furkan</t>
  </si>
  <si>
    <t>Keita</t>
  </si>
  <si>
    <t>Yassin</t>
  </si>
  <si>
    <t>Blancquaert</t>
  </si>
  <si>
    <t>AL-Haddad</t>
  </si>
  <si>
    <t>Sahbaz</t>
  </si>
  <si>
    <t>Celal</t>
  </si>
  <si>
    <t>Maelbrancke</t>
  </si>
  <si>
    <t>Eddy</t>
  </si>
  <si>
    <t>Vanthomme</t>
  </si>
  <si>
    <t>Steenbrugge</t>
  </si>
  <si>
    <t>Jo</t>
  </si>
  <si>
    <t>Beke</t>
  </si>
  <si>
    <t>De Fré</t>
  </si>
  <si>
    <t>Vervust</t>
  </si>
  <si>
    <t>Guido</t>
  </si>
  <si>
    <t>Merre</t>
  </si>
  <si>
    <t>Karin</t>
  </si>
  <si>
    <t>Pretel</t>
  </si>
  <si>
    <t>Inge</t>
  </si>
  <si>
    <t>Binard</t>
  </si>
  <si>
    <t>Jouret</t>
  </si>
  <si>
    <t>Alain</t>
  </si>
  <si>
    <t>Vantilcke</t>
  </si>
  <si>
    <t>Fabien</t>
  </si>
  <si>
    <t>Boone</t>
  </si>
  <si>
    <t>Antoon</t>
  </si>
  <si>
    <t>Busson</t>
  </si>
  <si>
    <t>Didier</t>
  </si>
  <si>
    <t>Baetslé</t>
  </si>
  <si>
    <t>Stephen</t>
  </si>
  <si>
    <t>Vinck</t>
  </si>
  <si>
    <t>Remue</t>
  </si>
  <si>
    <t>Lucq</t>
  </si>
  <si>
    <t>Joeri</t>
  </si>
  <si>
    <t>Priem</t>
  </si>
  <si>
    <t>Smet</t>
  </si>
  <si>
    <t>Middernacht</t>
  </si>
  <si>
    <t>Dave</t>
  </si>
  <si>
    <t>De Graeve</t>
  </si>
  <si>
    <t>Westelinck</t>
  </si>
  <si>
    <t>Dewispelaere</t>
  </si>
  <si>
    <t>Lust</t>
  </si>
  <si>
    <t>Dominiek</t>
  </si>
  <si>
    <t>Loots</t>
  </si>
  <si>
    <t xml:space="preserve"> Volledige naam</t>
  </si>
  <si>
    <t>Voornaam</t>
  </si>
  <si>
    <t>Achternaam</t>
  </si>
  <si>
    <t>Personeelsnummer</t>
  </si>
  <si>
    <t>Team Coach</t>
  </si>
  <si>
    <t>Datum in dienst</t>
  </si>
  <si>
    <t>Dienstjaren</t>
  </si>
  <si>
    <t>De Clercq, Marc</t>
  </si>
  <si>
    <t>Van Der Beken, Bart</t>
  </si>
  <si>
    <t>Maelbrancke, Eddy</t>
  </si>
  <si>
    <t>Vande Velde, Lucie</t>
  </si>
  <si>
    <t>Vanthomme, Geert</t>
  </si>
  <si>
    <t>De Rick, Kenneth</t>
  </si>
  <si>
    <t>0-4</t>
  </si>
  <si>
    <t>Steenbrugge, Johan</t>
  </si>
  <si>
    <t>5-9</t>
  </si>
  <si>
    <t>De Roo, Jo</t>
  </si>
  <si>
    <t>Vanhoe, Els</t>
  </si>
  <si>
    <t>10-14</t>
  </si>
  <si>
    <t>Beke, Erik</t>
  </si>
  <si>
    <t>15-19</t>
  </si>
  <si>
    <t>De Fré, Sandra</t>
  </si>
  <si>
    <t>20-24</t>
  </si>
  <si>
    <t>Vervust, Guido</t>
  </si>
  <si>
    <t>Dewulf, Els</t>
  </si>
  <si>
    <t>25-29</t>
  </si>
  <si>
    <t>De Clercq, Peter</t>
  </si>
  <si>
    <t>30-34</t>
  </si>
  <si>
    <t>Merre, Bart</t>
  </si>
  <si>
    <t>35-39</t>
  </si>
  <si>
    <t>Van Damme, Karin</t>
  </si>
  <si>
    <t>40-44</t>
  </si>
  <si>
    <t>Hoste, Tania</t>
  </si>
  <si>
    <t>Storm, Steven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</si>
  <si>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</si>
  <si>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</si>
  <si>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</si>
  <si>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</si>
  <si>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</si>
  <si>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</si>
  <si>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</si>
  <si>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</si>
  <si>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</si>
  <si>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</si>
  <si>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Rotty, Christoff</t>
  </si>
  <si>
    <t>Baetslé, Stephen</t>
  </si>
  <si>
    <t>Vinck, Roland</t>
  </si>
  <si>
    <t>De Clercq, Dominique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</si>
  <si>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</si>
  <si>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</si>
  <si>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</si>
  <si>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</si>
  <si>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</si>
  <si>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</si>
  <si>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</si>
  <si>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Lust, Dominiek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</si>
  <si>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</si>
  <si>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</si>
  <si>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</si>
  <si>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</si>
  <si>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</si>
  <si>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</si>
  <si>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</si>
  <si>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</si>
  <si>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</si>
  <si>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</si>
  <si>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</si>
  <si>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</si>
  <si>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</si>
  <si>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</si>
  <si>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</si>
  <si>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</si>
  <si>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</si>
  <si>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</si>
  <si>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</si>
  <si>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</si>
  <si>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</si>
  <si>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</si>
  <si>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</si>
  <si>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</si>
  <si>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</si>
  <si>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</si>
  <si>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</si>
  <si>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</si>
  <si>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</si>
  <si>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</si>
  <si>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</si>
  <si>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</si>
  <si>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</si>
  <si>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</si>
  <si>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</si>
  <si>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</si>
  <si>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</si>
  <si>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</si>
  <si>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</si>
  <si>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</si>
  <si>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</si>
  <si>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</si>
  <si>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</si>
  <si>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</si>
  <si>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</si>
  <si>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</si>
  <si>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</si>
  <si>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</si>
  <si>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</si>
  <si>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</si>
  <si>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</si>
  <si>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</si>
  <si>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</si>
  <si>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</si>
  <si>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</si>
  <si>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</si>
  <si>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</si>
  <si>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</si>
  <si>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</si>
  <si>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</si>
  <si>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</si>
  <si>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</si>
  <si>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</si>
  <si>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</si>
  <si>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</si>
  <si>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</si>
  <si>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</si>
  <si>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Stubbe, Jarne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</si>
  <si>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</si>
  <si>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</si>
  <si>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</si>
  <si>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</si>
  <si>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</si>
  <si>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</si>
  <si>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</si>
  <si>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</si>
  <si>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</si>
  <si>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</si>
  <si>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</si>
  <si>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</si>
  <si>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</si>
  <si>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</si>
  <si>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</si>
  <si>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</si>
  <si>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</si>
  <si>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</si>
  <si>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</si>
  <si>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</si>
  <si>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</si>
  <si>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</si>
  <si>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</si>
  <si>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</si>
  <si>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</si>
  <si>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</si>
  <si>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</si>
  <si>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</si>
  <si>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</si>
  <si>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</si>
  <si>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</si>
  <si>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</si>
  <si>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</si>
  <si>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</si>
  <si>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</si>
  <si>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</si>
  <si>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</si>
  <si>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</si>
  <si>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</si>
  <si>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</si>
  <si>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</si>
  <si>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</si>
  <si>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</si>
  <si>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</si>
  <si>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</si>
  <si>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</si>
  <si>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</si>
  <si>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</si>
  <si>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</si>
  <si>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</si>
  <si>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</si>
  <si>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</si>
  <si>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</si>
  <si>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</si>
  <si>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</si>
  <si>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</si>
  <si>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</si>
  <si>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Baskurt, Hasan</t>
  </si>
  <si>
    <t>Baskurt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</si>
  <si>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</si>
  <si>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</si>
  <si>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</si>
  <si>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</si>
  <si>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</si>
  <si>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</si>
  <si>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</si>
  <si>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</si>
  <si>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</si>
  <si>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</si>
  <si>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</si>
  <si>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</si>
  <si>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</si>
  <si>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</si>
  <si>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</si>
  <si>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</si>
  <si>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</si>
  <si>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</si>
  <si>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</si>
  <si>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</si>
  <si>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</si>
  <si>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</si>
  <si>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</si>
  <si>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</si>
  <si>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</si>
  <si>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</si>
  <si>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</si>
  <si>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</si>
  <si>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</si>
  <si>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</si>
  <si>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</si>
  <si>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</si>
  <si>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</si>
  <si>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</si>
  <si>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</si>
  <si>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</si>
  <si>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</si>
  <si>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</si>
  <si>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</si>
  <si>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</si>
  <si>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</si>
  <si>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</si>
  <si>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</si>
  <si>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</si>
  <si>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</si>
  <si>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</si>
  <si>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</si>
  <si>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</si>
  <si>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</si>
  <si>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</si>
  <si>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</si>
  <si>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</si>
  <si>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</si>
  <si>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</si>
  <si>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</si>
  <si>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</si>
  <si>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</si>
  <si>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</si>
  <si>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</si>
  <si>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</si>
  <si>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</si>
  <si>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</si>
  <si>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</si>
  <si>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</si>
  <si>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</si>
  <si>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</si>
  <si>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</si>
  <si>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</si>
  <si>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</si>
  <si>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</si>
  <si>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</si>
  <si>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</si>
  <si>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</si>
  <si>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Frans, Gabriella</t>
  </si>
  <si>
    <t>Oben, Thibaud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</si>
  <si>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</si>
  <si>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</si>
  <si>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</si>
  <si>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</si>
  <si>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</si>
  <si>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</si>
  <si>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</si>
  <si>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</si>
  <si>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</si>
  <si>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</si>
  <si>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</si>
  <si>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</si>
  <si>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</si>
  <si>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</si>
  <si>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</si>
  <si>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</si>
  <si>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</si>
  <si>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</si>
  <si>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</si>
  <si>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</si>
  <si>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</si>
  <si>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</si>
  <si>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</si>
  <si>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</si>
  <si>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</si>
  <si>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</si>
  <si>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</si>
  <si>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</si>
  <si>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</si>
  <si>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</si>
  <si>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</si>
  <si>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</si>
  <si>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</si>
  <si>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</si>
  <si>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</si>
  <si>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</si>
  <si>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</si>
  <si>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</si>
  <si>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</si>
  <si>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</si>
  <si>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</si>
  <si>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</si>
  <si>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</si>
  <si>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</si>
  <si>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</si>
  <si>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</si>
  <si>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Gassa, Mustafa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</si>
  <si>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</si>
  <si>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</si>
  <si>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</si>
  <si>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</si>
  <si>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</si>
  <si>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</si>
  <si>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</si>
  <si>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</si>
  <si>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</si>
  <si>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</si>
  <si>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</si>
  <si>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</si>
  <si>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</si>
  <si>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</si>
  <si>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</si>
  <si>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</si>
  <si>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</si>
  <si>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</si>
  <si>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</si>
  <si>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</si>
  <si>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</si>
  <si>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</si>
  <si>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</si>
  <si>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</si>
  <si>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</si>
  <si>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</si>
  <si>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</si>
  <si>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</si>
  <si>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</si>
  <si>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</si>
  <si>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</si>
  <si>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</si>
  <si>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</si>
  <si>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</si>
  <si>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</si>
  <si>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</si>
  <si>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</si>
  <si>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</si>
  <si>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</si>
  <si>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</si>
  <si>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</si>
  <si>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Petit, Cynthia</t>
  </si>
  <si>
    <t>Verroeye, Chris</t>
  </si>
  <si>
    <t>Holub, Patrik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</si>
  <si>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</si>
  <si>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</si>
  <si>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</si>
  <si>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</si>
  <si>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</si>
  <si>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</si>
  <si>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</si>
  <si>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</si>
  <si>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</si>
  <si>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</si>
  <si>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</si>
  <si>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</si>
  <si>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</si>
  <si>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</si>
  <si>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</si>
  <si>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</si>
  <si>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</si>
  <si>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</si>
  <si>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</si>
  <si>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</si>
  <si>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</si>
  <si>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</si>
  <si>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</si>
  <si>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</si>
  <si>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</si>
  <si>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</si>
  <si>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</si>
  <si>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</si>
  <si>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</si>
  <si>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</si>
  <si>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</si>
  <si>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</si>
  <si>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</si>
  <si>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</si>
  <si>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</si>
  <si>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</si>
  <si>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</si>
  <si>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</si>
  <si>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</si>
  <si>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</si>
  <si>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</si>
  <si>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</si>
  <si>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</si>
  <si>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</si>
  <si>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</si>
  <si>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</si>
  <si>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</si>
  <si>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</si>
  <si>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</si>
  <si>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</si>
  <si>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</si>
  <si>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</si>
  <si>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Unver, Ismaïl</t>
  </si>
  <si>
    <t>Riahi, Brahim</t>
  </si>
  <si>
    <t>De Clercq, Sven</t>
  </si>
  <si>
    <t>Kilinc, Atilay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</si>
  <si>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</si>
  <si>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</si>
  <si>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</si>
  <si>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</si>
  <si>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</si>
  <si>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</si>
  <si>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</si>
  <si>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</si>
  <si>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</si>
  <si>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</si>
  <si>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</si>
  <si>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</si>
  <si>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</si>
  <si>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</si>
  <si>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</si>
  <si>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</si>
  <si>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</si>
  <si>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</si>
  <si>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</si>
  <si>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Jonas</t>
  </si>
  <si>
    <t>Stroobandt</t>
  </si>
  <si>
    <t>De Smet, Martine</t>
  </si>
  <si>
    <t>Duyck, Lorenzo</t>
  </si>
  <si>
    <t>Lorenzo</t>
  </si>
  <si>
    <t>Duyck</t>
  </si>
  <si>
    <t>De Meulenaere, Kurt</t>
  </si>
  <si>
    <t>Kartal, Kadir</t>
  </si>
  <si>
    <t>Dobbelaere, David</t>
  </si>
  <si>
    <t>Fadel, Husam</t>
  </si>
  <si>
    <t>Cesmeli, Achraf</t>
  </si>
  <si>
    <t>Haché, Philip</t>
  </si>
  <si>
    <t>De Kesel, Milan</t>
  </si>
  <si>
    <t>Flamant, Marc</t>
  </si>
  <si>
    <t>Carion, Rojet</t>
  </si>
  <si>
    <t>Vanooteghem, Johnny</t>
  </si>
  <si>
    <t>Acosta Salinas, Benigna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</si>
  <si>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</si>
  <si>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</si>
  <si>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</si>
  <si>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</si>
  <si>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</si>
  <si>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</si>
  <si>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</si>
  <si>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</si>
  <si>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</si>
  <si>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</si>
  <si>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</si>
  <si>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</si>
  <si>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</si>
  <si>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</si>
  <si>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</si>
  <si>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</si>
  <si>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</si>
  <si>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</si>
  <si>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</si>
  <si>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</si>
  <si>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</si>
  <si>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</si>
  <si>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</si>
  <si>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</si>
  <si>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</si>
  <si>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</si>
  <si>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</si>
  <si>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</si>
  <si>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</si>
  <si>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</si>
  <si>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</si>
  <si>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</si>
  <si>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</si>
  <si>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</si>
  <si>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</si>
  <si>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Uenk, Hermina</t>
  </si>
  <si>
    <t>Sari, Devrim</t>
  </si>
  <si>
    <t>Byosière, Christof</t>
  </si>
  <si>
    <t>Neghli, Farid</t>
  </si>
  <si>
    <t>Eid, Mathyn</t>
  </si>
  <si>
    <t>Aljorof, Marwan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</si>
  <si>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</si>
  <si>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</si>
  <si>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</si>
  <si>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</si>
  <si>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</si>
  <si>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</si>
  <si>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</si>
  <si>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</si>
  <si>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</si>
  <si>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</si>
  <si>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</si>
  <si>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</si>
  <si>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</si>
  <si>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</si>
  <si>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</si>
  <si>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</si>
  <si>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</si>
  <si>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</si>
  <si>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</si>
  <si>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</si>
  <si>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</si>
  <si>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</si>
  <si>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</si>
  <si>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</si>
  <si>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</si>
  <si>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</si>
  <si>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</si>
  <si>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</si>
  <si>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</si>
  <si>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</si>
  <si>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</si>
  <si>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</si>
  <si>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</si>
  <si>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</si>
  <si>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</si>
  <si>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</si>
  <si>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</si>
  <si>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</si>
  <si>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</si>
  <si>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</si>
  <si>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</si>
  <si>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</si>
  <si>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</si>
  <si>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</si>
  <si>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</si>
  <si>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</si>
  <si>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</si>
  <si>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</si>
  <si>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</si>
  <si>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</si>
  <si>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Martens, Geoffrey</t>
  </si>
  <si>
    <t>Van Hoe, Ivo</t>
  </si>
  <si>
    <t>Dekens, Andy</t>
  </si>
  <si>
    <t>Dalli, Mustafa</t>
  </si>
  <si>
    <t>Desmet, Patricia</t>
  </si>
  <si>
    <t>El Khayat, Jamal</t>
  </si>
  <si>
    <t>Stanikazi, Roien Sadder</t>
  </si>
  <si>
    <t>Calinalti, Abdil</t>
  </si>
  <si>
    <t>Basha, Izmir</t>
  </si>
  <si>
    <t>Marian, Birsanuc</t>
  </si>
  <si>
    <t>De Wilde, Jordy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</si>
  <si>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</si>
  <si>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</si>
  <si>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</si>
  <si>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</si>
  <si>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</si>
  <si>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</si>
  <si>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</si>
  <si>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</si>
  <si>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</si>
  <si>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</si>
  <si>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</si>
  <si>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</si>
  <si>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</si>
  <si>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</si>
  <si>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</si>
  <si>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</si>
  <si>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</si>
  <si>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</si>
  <si>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</si>
  <si>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</si>
  <si>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</si>
  <si>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</si>
  <si>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</si>
  <si>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</si>
  <si>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</si>
  <si>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</si>
  <si>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</si>
  <si>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</si>
  <si>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</si>
  <si>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</si>
  <si>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</si>
  <si>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</si>
  <si>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</si>
  <si>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</si>
  <si>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</si>
  <si>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</si>
  <si>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</si>
  <si>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</si>
  <si>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</si>
  <si>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</si>
  <si>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</si>
  <si>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</si>
  <si>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</si>
  <si>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</si>
  <si>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</si>
  <si>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</si>
  <si>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</si>
  <si>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</si>
  <si>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</si>
  <si>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</si>
  <si>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</si>
  <si>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</si>
  <si>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</si>
  <si>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</si>
  <si>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</si>
  <si>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</si>
  <si>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</si>
  <si>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</si>
  <si>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Abulehia, Oday</t>
  </si>
  <si>
    <t>Helleputte, Jens</t>
  </si>
  <si>
    <t>De Wilde, Dimitry</t>
  </si>
  <si>
    <t>Malak, Kemal</t>
  </si>
  <si>
    <t>Mc Hugh, Neal</t>
  </si>
  <si>
    <t>Neal</t>
  </si>
  <si>
    <t>Mc Hugh</t>
  </si>
  <si>
    <t>Momand, Abdullah</t>
  </si>
  <si>
    <t>Van Holsbeeck, Yana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</si>
  <si>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</si>
  <si>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</si>
  <si>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</si>
  <si>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</si>
  <si>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</si>
  <si>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</si>
  <si>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</si>
  <si>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</si>
  <si>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</si>
  <si>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</si>
  <si>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</si>
  <si>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</si>
  <si>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</si>
  <si>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</si>
  <si>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</si>
  <si>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</si>
  <si>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</si>
  <si>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</si>
  <si>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</si>
  <si>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</si>
  <si>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</si>
  <si>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</si>
  <si>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</si>
  <si>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</si>
  <si>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</si>
  <si>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</si>
  <si>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</si>
  <si>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</si>
  <si>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</si>
  <si>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</si>
  <si>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</si>
  <si>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</si>
  <si>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</si>
  <si>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</si>
  <si>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</si>
  <si>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</si>
  <si>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</si>
  <si>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</si>
  <si>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</si>
  <si>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</si>
  <si>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</si>
  <si>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</si>
  <si>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</si>
  <si>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</si>
  <si>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</si>
  <si>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</si>
  <si>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</si>
  <si>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</si>
  <si>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</si>
  <si>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</si>
  <si>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</si>
  <si>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</si>
  <si>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</si>
  <si>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</si>
  <si>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</si>
  <si>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</si>
  <si>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</si>
  <si>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Jarne</t>
  </si>
  <si>
    <t>2024</t>
  </si>
  <si>
    <t>chauffeur niet meer in dienst</t>
  </si>
  <si>
    <t>leeg</t>
  </si>
  <si>
    <t>Nachtploeg</t>
  </si>
  <si>
    <t>personeelsnummer</t>
  </si>
  <si>
    <t>naam</t>
  </si>
  <si>
    <t>mailadres</t>
  </si>
  <si>
    <t>Kolom1</t>
  </si>
  <si>
    <t>Christoff</t>
  </si>
  <si>
    <t>29076@delijn.be</t>
  </si>
  <si>
    <t>OK</t>
  </si>
  <si>
    <t>35348@delijn.be</t>
  </si>
  <si>
    <t>ok</t>
  </si>
  <si>
    <t>10170@delijn.be</t>
  </si>
  <si>
    <t>5579@delijn.be</t>
  </si>
  <si>
    <t>Lucie</t>
  </si>
  <si>
    <t>4597@delijn.be</t>
  </si>
  <si>
    <t>26268@delijn.be</t>
  </si>
  <si>
    <t>Sabrina</t>
  </si>
  <si>
    <t>23897@delijn.be</t>
  </si>
  <si>
    <t>Annika</t>
  </si>
  <si>
    <t>30456@delijn.be</t>
  </si>
  <si>
    <t>7839@delijn.be</t>
  </si>
  <si>
    <t>28740@delijn.be</t>
  </si>
  <si>
    <t>32219@delijn.be</t>
  </si>
  <si>
    <t>Stef</t>
  </si>
  <si>
    <t>33531@delijn.be</t>
  </si>
  <si>
    <t>10072@delijn.be</t>
  </si>
  <si>
    <t>33429@delijn.be</t>
  </si>
  <si>
    <t>15673@delijn.be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</si>
  <si>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</si>
  <si>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</si>
  <si>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</si>
  <si>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</si>
  <si>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</si>
  <si>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</si>
  <si>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</si>
  <si>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</si>
  <si>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</si>
  <si>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</si>
  <si>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</si>
  <si>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</si>
  <si>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</si>
  <si>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</si>
  <si>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</si>
  <si>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</si>
  <si>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</si>
  <si>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</si>
  <si>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</si>
  <si>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</si>
  <si>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</si>
  <si>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</si>
  <si>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</si>
  <si>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</si>
  <si>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</si>
  <si>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</si>
  <si>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</si>
  <si>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</si>
  <si>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</si>
  <si>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</si>
  <si>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</si>
  <si>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</si>
  <si>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>90649@delijn.be</t>
  </si>
  <si>
    <t>23079@delijn.be</t>
  </si>
  <si>
    <t>40152@delijn.be</t>
  </si>
  <si>
    <t>Stéphane</t>
  </si>
  <si>
    <t>10865@delijn.be</t>
  </si>
  <si>
    <t>35714@delijn.be</t>
  </si>
  <si>
    <t xml:space="preserve"> https://delijn.sharepoint.com/:b:/r/teams/CTM-OTGentStad/Shared%20Documents/General/EAF/CSI(nieuwe%20sharepoint)%202025/12.%20December/EAF%205221%20Gent%2014122025%2036428.pdf?csf=1&amp;web=1&amp;e=uGdKIh</t>
  </si>
  <si>
    <t xml:space="preserve"> https://delijn.sharepoint.com/:b:/r/teams/CTM-OTGentStad/Shared%20Documents/General/EAF/CSI(nieuwe%20sharepoint)%202025/12.%20December/EAF%206359%20Gent%2013122025%2022767.pdf?csf=1&amp;web=1&amp;e=qJzLV9</t>
  </si>
  <si>
    <t xml:space="preserve"> https://delijn.sharepoint.com/:b:/r/teams/CTM-OTGentStad/Shared%20Documents/General/EAF/CSI(nieuwe%20sharepoint)%202025/12.%20December/EAF%206340%2009122025%20Gent%2026521.pdf?csf=1&amp;web=1&amp;e=LrTjYo</t>
  </si>
  <si>
    <t xml:space="preserve"> https://delijn.sharepoint.com/:b:/r/teams/CTM-OTGentStad/Shared%20Documents/General/EAF/CSI(nieuwe%20sharepoint)%202025/12.%20December/EAF%205043%20Gent%2015122025%2041685.pdf?csf=1&amp;web=1&amp;e=JV4BrS</t>
  </si>
  <si>
    <t xml:space="preserve"> https://delijn.sharepoint.com/:b:/r/teams/CTM-OTGentStad/Shared%20Documents/General/EAF/CSI(nieuwe%20sharepoint)%202025/12.%20December/EAF%205040%20Gent%2015122025%2040278.pdf?csf=1&amp;web=1&amp;e=Jil7FG</t>
  </si>
  <si>
    <t xml:space="preserve"> https://delijn.sharepoint.com/:b:/r/teams/CTM-OTGentStad/Shared%20Documents/General/EAF/CSI(nieuwe%20sharepoint)%202025/12.%20December/EAF%205763%20Gent%2015122025%2041092.pdf?csf=1&amp;web=1&amp;e=oC08H2</t>
  </si>
  <si>
    <t>Voorhavenlaan</t>
  </si>
  <si>
    <t xml:space="preserve"> https://delijn.sharepoint.com/:b:/r/teams/CTM-OTGentStad/Shared%20Documents/General/EAF/CSI(nieuwe%20sharepoint)%202025/12.%20December/EAF%205260%20Gent%2016122025%2040294.pdf?csf=1&amp;web=1&amp;e=hyBlRD</t>
  </si>
  <si>
    <t xml:space="preserve"> https://delijn.sharepoint.com/:b:/r/teams/CTM-OTGentStad/Shared%20Documents/General/EAF/CSI(nieuwe%20sharepoint)%202025/12.%20December/EAF%206308%20Albertbrug%20Gent%2012122025%20-%2031731.pdf?csf=1&amp;web=1&amp;e=SuC1Yj</t>
  </si>
  <si>
    <t xml:space="preserve"> https://delijn.sharepoint.com/:b:/r/teams/CTM-OTGentStad/Shared%20Documents/General/EAF/CSI(nieuwe%20sharepoint)%202025/12.%20December/EAF%205048%20Gent%2009112025%2039831.pdf?csf=1&amp;web=1&amp;e=WTW7E6</t>
  </si>
  <si>
    <t xml:space="preserve"> https://delijn.sharepoint.com/:b:/r/teams/CTM-OTGentStad/Shared%20Documents/General/EAF/CSI(nieuwe%20sharepoint)%202025/12.%20December/EAF%205791%20Gent%2016122025%2036543.pdf?csf=1&amp;web=1&amp;e=su5qVB</t>
  </si>
  <si>
    <t xml:space="preserve"> https://delijn.sharepoint.com/:f:/r/teams/CTM-OTGentStad/Shared%20Documents/General/EAF/CSI(nieuwe%20sharepoint)%202025/12.%20December?csf=1&amp;web=1&amp;e=JoSoFd</t>
  </si>
  <si>
    <t xml:space="preserve"> https://delijn.sharepoint.com/:b:/r/teams/CTM-OTGentStad/Shared%20Documents/General/EAF/CSI(nieuwe%20sharepoint)%202025/12.%20December/EAF%206305%20Gent%2016122025.pdf?csf=1&amp;web=1&amp;e=wLQjJj</t>
  </si>
  <si>
    <t xml:space="preserve"> https://delijn.sharepoint.com/:b:/r/teams/CTM-OTGentStad/Shared%20Documents/General/EAF/CSI(nieuwe%20sharepoint)%202025/12.%20December/EAF%202194%20Gent%2017122025%2042393.pdf?csf=1&amp;web=1&amp;e=IH3Voc</t>
  </si>
  <si>
    <t>Storm Steven</t>
  </si>
  <si>
    <t>Van Der Beken Bart</t>
  </si>
  <si>
    <t>De Rick Kenneth</t>
  </si>
  <si>
    <t>Vanhoe Els</t>
  </si>
  <si>
    <t>Van De Velde Lucie</t>
  </si>
  <si>
    <t>De Clercq Dominique</t>
  </si>
  <si>
    <t>Rotty Christoff</t>
  </si>
  <si>
    <t>Dewulf Els</t>
  </si>
  <si>
    <t xml:space="preserve"> https://delijn.sharepoint.com/:b:/r/teams/CTM-OTGentStad/Shared%20Documents/General/EAF/CSI(nieuwe%20sharepoint)%202025/12.%20December/EAF%205045%20Antwerpsesteenweg%20Gent%2018122025%20-%2041882.pdf?csf=1&amp;web=1&amp;e=W3Ags4</t>
  </si>
  <si>
    <t>Stelplaats</t>
  </si>
  <si>
    <t xml:space="preserve"> https://delijn.sharepoint.com/:b:/r/teams/CTM-OTGentStad/Shared%20Documents/General/EAF/CSI(nieuwe%20sharepoint)%202025/12.%20December/EAF%206337%20Gent%2004122025.pdf?csf=1&amp;web=1&amp;e=rUzMid</t>
  </si>
  <si>
    <t xml:space="preserve"> https://delijn.sharepoint.com/:b:/r/teams/CTM-OTGentStad/Shared%20Documents/General/EAF/CSI(nieuwe%20sharepoint)%202025/12.%20December/EAF%205768%20Gent%2018122025%2039930.pdf?csf=1&amp;web=1&amp;e=LwSVug</t>
  </si>
  <si>
    <t>https://delijn.sharepoint.com/:b:/r/teams/CTM-OTGentStad/Shared%20Documents/General/EAF/CSI(nieuwe%20sharepoint)%202025/12.%20December/EAF%20221323%20Gent%2022122025%2039850.pdf?csf=1&amp;web=1&amp;e=Ympmpe</t>
  </si>
  <si>
    <t>Moerman Tjimmy</t>
  </si>
  <si>
    <t>De Keyser Dorien</t>
  </si>
  <si>
    <t>Hoeckman Jeroen</t>
  </si>
  <si>
    <t>Van Lauwe Freddy</t>
  </si>
  <si>
    <t>Vandevyvere Frank</t>
  </si>
  <si>
    <t>Neissi Sadegh</t>
  </si>
  <si>
    <t>Van Damme Gilyann</t>
  </si>
  <si>
    <t>Sular Abdullah</t>
  </si>
  <si>
    <t>Ates Firat</t>
  </si>
  <si>
    <t>Hasnaoui Nejmeddine</t>
  </si>
  <si>
    <t>Rocabado Hinojosa Lukas</t>
  </si>
  <si>
    <t>Abdi Shaiye Rashid</t>
  </si>
  <si>
    <t>Hillaert Thimo</t>
  </si>
  <si>
    <t>Van den Meerssche Steven</t>
  </si>
  <si>
    <t>Agil Birol</t>
  </si>
  <si>
    <t>Cisse Sayon</t>
  </si>
  <si>
    <t>Helleputte William</t>
  </si>
  <si>
    <t>Huyse Annicke</t>
  </si>
  <si>
    <t>De Craemer Kris</t>
  </si>
  <si>
    <t>Dobbeleire Bruno</t>
  </si>
  <si>
    <t>Dossche Caroline</t>
  </si>
  <si>
    <t>Özer Özgur</t>
  </si>
  <si>
    <t>Vanlerberghe Sandra</t>
  </si>
  <si>
    <t>Bachiri Ousama</t>
  </si>
  <si>
    <t>Devos Stefaan</t>
  </si>
  <si>
    <t>Van Wittenberge Filip</t>
  </si>
  <si>
    <t>Kallenbach Sunny</t>
  </si>
  <si>
    <t>Minbari Ako</t>
  </si>
  <si>
    <t>Jalili Yaseeb</t>
  </si>
  <si>
    <t>Smets Avery</t>
  </si>
  <si>
    <t>Steurbaut Henri</t>
  </si>
  <si>
    <t>Meskens Anthony</t>
  </si>
  <si>
    <t>Vervaecke Wim</t>
  </si>
  <si>
    <t>Özdemir Osman</t>
  </si>
  <si>
    <t>Dobbelaere David</t>
  </si>
  <si>
    <t>Kuru Cetin</t>
  </si>
  <si>
    <t>Maelbrancke Eddy</t>
  </si>
  <si>
    <t>Bogaert Kevin</t>
  </si>
  <si>
    <t>Mohamed Yassin Abdulhamid</t>
  </si>
  <si>
    <t>Boelaert Frederik</t>
  </si>
  <si>
    <t>El-Mohamed Mohamed</t>
  </si>
  <si>
    <t>Cichonski Kamil</t>
  </si>
  <si>
    <t>Van Holsbeeck Yana</t>
  </si>
  <si>
    <t>Cesmeli Achraf</t>
  </si>
  <si>
    <t>Oosterlinck Willy</t>
  </si>
  <si>
    <t>Curukcu Bayram</t>
  </si>
  <si>
    <t>De Witte Bart</t>
  </si>
  <si>
    <t>Smesman Glenn</t>
  </si>
  <si>
    <t>Van Herreweghe Branco</t>
  </si>
  <si>
    <t>Abdulkader Sabah</t>
  </si>
  <si>
    <t>Sahin Orhan</t>
  </si>
  <si>
    <t>D'Haeyere Bernard</t>
  </si>
  <si>
    <t>Van Hoe Ivo</t>
  </si>
  <si>
    <t>Kartal Kadir</t>
  </si>
  <si>
    <t>Sedighi Hamid</t>
  </si>
  <si>
    <t>Yagoub Abdelali</t>
  </si>
  <si>
    <t>Stomphorst Mattanja</t>
  </si>
  <si>
    <t>Weeks Aracena Jimmy Alexander</t>
  </si>
  <si>
    <t>Ardic Atilla</t>
  </si>
  <si>
    <t>Uckuyulu Muhammet Emin</t>
  </si>
  <si>
    <t>De Sutter Michiel</t>
  </si>
  <si>
    <t>Toubadie Mossa</t>
  </si>
  <si>
    <t>Naessens Yves</t>
  </si>
  <si>
    <t>Taser Fatih</t>
  </si>
  <si>
    <t>Desmet Patricia</t>
  </si>
  <si>
    <t>Van Vliet Tom</t>
  </si>
  <si>
    <t>Prové Michaël</t>
  </si>
  <si>
    <t>Vandenhaute Linus</t>
  </si>
  <si>
    <t>Bytebier Jason</t>
  </si>
  <si>
    <t>Sari Devrim</t>
  </si>
  <si>
    <t>Gözüküçük Ugur</t>
  </si>
  <si>
    <t>Van Den Bossche Martine</t>
  </si>
  <si>
    <t>Karanfil Ibrahim</t>
  </si>
  <si>
    <t>Öztürk Bilgehan</t>
  </si>
  <si>
    <t>Staneva Mariyana</t>
  </si>
  <si>
    <t>Saey Elias</t>
  </si>
  <si>
    <t>Odaci Kadir</t>
  </si>
  <si>
    <t>Baert Freddy</t>
  </si>
  <si>
    <t>Smajla Samet</t>
  </si>
  <si>
    <t>Verschraegen Katleen</t>
  </si>
  <si>
    <t>Simsek Abdullah</t>
  </si>
  <si>
    <t>Van Rentergem Steve</t>
  </si>
  <si>
    <t>Verlinden Bianca</t>
  </si>
  <si>
    <t>Weemhof Maurice</t>
  </si>
  <si>
    <t>Dacic Esmir</t>
  </si>
  <si>
    <t>Toubadie Zakaria</t>
  </si>
  <si>
    <t>Hasni Helmi</t>
  </si>
  <si>
    <t>Wulleput Illya</t>
  </si>
  <si>
    <t>Avci Muhammet Abdullah</t>
  </si>
  <si>
    <t>Afara Ammar</t>
  </si>
  <si>
    <t>Hashimi Ali Mir</t>
  </si>
  <si>
    <t>Mestdag Marius</t>
  </si>
  <si>
    <t>Dhondt Frank</t>
  </si>
  <si>
    <t>Vanrenterghem Serge</t>
  </si>
  <si>
    <t>Fadel Husam</t>
  </si>
  <si>
    <t>Yavas Talha</t>
  </si>
  <si>
    <t>Lippens Miguel</t>
  </si>
  <si>
    <t>Natad Younes</t>
  </si>
  <si>
    <t>Meyvaert Steven</t>
  </si>
  <si>
    <t>Sögüt Can</t>
  </si>
  <si>
    <t>Simsek Fatih</t>
  </si>
  <si>
    <t>Dolgiev Mukhamed</t>
  </si>
  <si>
    <t>Taibi Yassine</t>
  </si>
  <si>
    <t>Genbrugge Kyllian</t>
  </si>
  <si>
    <t>Gys Shayya</t>
  </si>
  <si>
    <t>Hiloui Mahmoud</t>
  </si>
  <si>
    <t>Babai Saber</t>
  </si>
  <si>
    <t>Gassa Osmane</t>
  </si>
  <si>
    <t>Walleyn Renaat</t>
  </si>
  <si>
    <t>Cardon Sharon</t>
  </si>
  <si>
    <t>Verstichel Jethro</t>
  </si>
  <si>
    <t>Kayim Akin</t>
  </si>
  <si>
    <t>De Bruyne Sonia</t>
  </si>
  <si>
    <t>Goethals Jeffrey</t>
  </si>
  <si>
    <t>Petit Cynthia</t>
  </si>
  <si>
    <t>Famelaer Steve</t>
  </si>
  <si>
    <t>Holub Patrik</t>
  </si>
  <si>
    <t>Maes Filip</t>
  </si>
  <si>
    <t>Toch Erwin</t>
  </si>
  <si>
    <t>Planckaert Jurgen</t>
  </si>
  <si>
    <t>Haerens Tom</t>
  </si>
  <si>
    <t>Rodrigue Vincent</t>
  </si>
  <si>
    <t>Al Masri Anas</t>
  </si>
  <si>
    <t>Vandenberghe Filip</t>
  </si>
  <si>
    <t>Demirkazik Mustafa</t>
  </si>
  <si>
    <t>Seeuws Marnic</t>
  </si>
  <si>
    <t>Vlaminck Dirk</t>
  </si>
  <si>
    <t>Momand Abdullah</t>
  </si>
  <si>
    <t>Mertens Tom</t>
  </si>
  <si>
    <t>Özer Metehan</t>
  </si>
  <si>
    <t>Pelfrene Toby</t>
  </si>
  <si>
    <t>Ghani Fazal</t>
  </si>
  <si>
    <t>Praet Reginald</t>
  </si>
  <si>
    <t>Smet Antoon</t>
  </si>
  <si>
    <t>Dedapper Marijke</t>
  </si>
  <si>
    <t>Özer Mesut</t>
  </si>
  <si>
    <t>Mirazai Rahmatullah</t>
  </si>
  <si>
    <t>Bracke Jeroen</t>
  </si>
  <si>
    <t>Demirkaya Serkan</t>
  </si>
  <si>
    <t>Nohut Baki</t>
  </si>
  <si>
    <t>Coulon Rayan</t>
  </si>
  <si>
    <t>Diels Nick</t>
  </si>
  <si>
    <t>Engels Sam</t>
  </si>
  <si>
    <t>Sturtewagen Kenny</t>
  </si>
  <si>
    <t>Khder Aram</t>
  </si>
  <si>
    <t>De Cooman Kurt</t>
  </si>
  <si>
    <t>Osseel Johan</t>
  </si>
  <si>
    <t>Dejonghe Katleen</t>
  </si>
  <si>
    <t>De Vuyst Boyke</t>
  </si>
  <si>
    <t>Bontinck Stephan</t>
  </si>
  <si>
    <t>VandenDaele Andy</t>
  </si>
  <si>
    <t>Goethals Bart</t>
  </si>
  <si>
    <t>Abulehia Oday</t>
  </si>
  <si>
    <t>Siderov Miroslav</t>
  </si>
  <si>
    <t>Bernaerts Philip</t>
  </si>
  <si>
    <t>Repaj Ramazan</t>
  </si>
  <si>
    <t>De Meester David</t>
  </si>
  <si>
    <t>De Clercq Sven</t>
  </si>
  <si>
    <t>De Nys Elise</t>
  </si>
  <si>
    <t>Oueslati Mohamed Ali</t>
  </si>
  <si>
    <t>Roos Hugo</t>
  </si>
  <si>
    <t>Van de Winckel Kelly</t>
  </si>
  <si>
    <t>Callant Dieter</t>
  </si>
  <si>
    <t>Ivanov Ivan</t>
  </si>
  <si>
    <t>De Wilde Jordy</t>
  </si>
  <si>
    <t>Goossens Gunther</t>
  </si>
  <si>
    <t>Unver Ismaïl</t>
  </si>
  <si>
    <t>De Plus Gunter</t>
  </si>
  <si>
    <t>Meyvaert Peter</t>
  </si>
  <si>
    <t>De Kee Ina</t>
  </si>
  <si>
    <t>Van Damme Glenn</t>
  </si>
  <si>
    <t>Van Huffel Tim</t>
  </si>
  <si>
    <t>Sancak Eyuphan</t>
  </si>
  <si>
    <t>Vonck Bart</t>
  </si>
  <si>
    <t>Kirdas Ramazan</t>
  </si>
  <si>
    <t>Kirsan Ömer</t>
  </si>
  <si>
    <t>Laute Dirk</t>
  </si>
  <si>
    <t>Marinx Kristoff</t>
  </si>
  <si>
    <t>Verschraegen Patrick</t>
  </si>
  <si>
    <t>Camacho Encarnacion Lisandro Javier</t>
  </si>
  <si>
    <t>Babaian Sammy</t>
  </si>
  <si>
    <t>Almohammad Malek</t>
  </si>
  <si>
    <t>AL-Haddad Rashid</t>
  </si>
  <si>
    <t>De Mey Peter</t>
  </si>
  <si>
    <t>De Naegel Bruno</t>
  </si>
  <si>
    <t>Goossens Yannick</t>
  </si>
  <si>
    <t>Lega Claude</t>
  </si>
  <si>
    <t>Vervoort Koen</t>
  </si>
  <si>
    <t>Eid Mathyn</t>
  </si>
  <si>
    <t>Güler Ender</t>
  </si>
  <si>
    <t>Simons Andreas</t>
  </si>
  <si>
    <t>Bolle Cynthia</t>
  </si>
  <si>
    <t>Basgurboga Selahattin</t>
  </si>
  <si>
    <t>Camgöz Furkan</t>
  </si>
  <si>
    <t>Van Holsbeeck Jens</t>
  </si>
  <si>
    <t>Vanlerberghe Rudy</t>
  </si>
  <si>
    <t>De Meyer Antoon</t>
  </si>
  <si>
    <t>De Wilde Dimitry</t>
  </si>
  <si>
    <t>De Pauw Tony</t>
  </si>
  <si>
    <t>Dierick Steve</t>
  </si>
  <si>
    <t>De Meyer Karel</t>
  </si>
  <si>
    <t>Hasan Salem</t>
  </si>
  <si>
    <t>Wauters Franky</t>
  </si>
  <si>
    <t>Govaerts Sandro</t>
  </si>
  <si>
    <t>Nguetto Brisco Romeo</t>
  </si>
  <si>
    <t>Jacobs Elos</t>
  </si>
  <si>
    <t>Shinwari Yasin</t>
  </si>
  <si>
    <t>Catar Gökhan</t>
  </si>
  <si>
    <t>Mihaylov Plamen</t>
  </si>
  <si>
    <t>Aelterman Didier</t>
  </si>
  <si>
    <t>Byosière Christof</t>
  </si>
  <si>
    <t>De Groote Cedric</t>
  </si>
  <si>
    <t>De Meulenaere Eric</t>
  </si>
  <si>
    <t>Nolf Philippe</t>
  </si>
  <si>
    <t>De Meulenaere Kurt</t>
  </si>
  <si>
    <t>Delahaye Karina</t>
  </si>
  <si>
    <t>Van Steenbergen Kris</t>
  </si>
  <si>
    <t>Benjilali Abdelhak</t>
  </si>
  <si>
    <t>Hoste Tom</t>
  </si>
  <si>
    <t>Bicici Abdul Kadir</t>
  </si>
  <si>
    <t>Tayefeh Arbab Ali</t>
  </si>
  <si>
    <t>De Roo Jo</t>
  </si>
  <si>
    <t>Köroglu Ercan</t>
  </si>
  <si>
    <t>De Smet Martine</t>
  </si>
  <si>
    <t>Martens Geoffrey</t>
  </si>
  <si>
    <t>De smet Dirk</t>
  </si>
  <si>
    <t>Detaeye Alexander</t>
  </si>
  <si>
    <t>Van Semmertier Pascal</t>
  </si>
  <si>
    <t>Priwall Heike</t>
  </si>
  <si>
    <t>Van Eenaeme David</t>
  </si>
  <si>
    <t>Razzaz Mahmoud</t>
  </si>
  <si>
    <t>Colaes Dylan</t>
  </si>
  <si>
    <t>De Tandt Hans</t>
  </si>
  <si>
    <t>Pluym Pascal</t>
  </si>
  <si>
    <t>Coban Mehmet</t>
  </si>
  <si>
    <t>De Staercke Sandra</t>
  </si>
  <si>
    <t>De Vrieze Ludo</t>
  </si>
  <si>
    <t>Hoste Tania</t>
  </si>
  <si>
    <t>Karakaya Oguz</t>
  </si>
  <si>
    <t>Ahmad Othman</t>
  </si>
  <si>
    <t>Göktas Muharrem</t>
  </si>
  <si>
    <t>Westelinck Davy</t>
  </si>
  <si>
    <t>Limbourg Heidi</t>
  </si>
  <si>
    <t>Shah Sekandar</t>
  </si>
  <si>
    <t>Kirdas Süleyman</t>
  </si>
  <si>
    <t>Blondeel Dominique</t>
  </si>
  <si>
    <t>Tacq Joey</t>
  </si>
  <si>
    <t>De Bruycker Dylan</t>
  </si>
  <si>
    <t>El Mezroui Zouheir</t>
  </si>
  <si>
    <t>Gassa Mustafa</t>
  </si>
  <si>
    <t>Simsek Isa</t>
  </si>
  <si>
    <t>De Rammelaere Bjorn</t>
  </si>
  <si>
    <t>De Weirdt Ronny</t>
  </si>
  <si>
    <t>El Gana Karim</t>
  </si>
  <si>
    <t>Haché Philip</t>
  </si>
  <si>
    <t>Crop Alexander</t>
  </si>
  <si>
    <t>Asskale Zouhir</t>
  </si>
  <si>
    <t>Kizilmese Emra</t>
  </si>
  <si>
    <t>Fakash Mahmoud</t>
  </si>
  <si>
    <t>Devriendt Patrick</t>
  </si>
  <si>
    <t>De Lange Frank</t>
  </si>
  <si>
    <t>Pekdemir Ilkmur</t>
  </si>
  <si>
    <t>Mine Akin</t>
  </si>
  <si>
    <t>Verbanck Koen</t>
  </si>
  <si>
    <t>Bensalah Mohammed</t>
  </si>
  <si>
    <t>Kazakbiyev Osman</t>
  </si>
  <si>
    <t>Vanderstraeten Franky</t>
  </si>
  <si>
    <t>Engels Wendy</t>
  </si>
  <si>
    <t>Bashir Muhammad Salman</t>
  </si>
  <si>
    <t>Rahoens Christ</t>
  </si>
  <si>
    <t>Oben Thibaud</t>
  </si>
  <si>
    <t>Oosterlinck Jan</t>
  </si>
  <si>
    <t>Meersman Herman</t>
  </si>
  <si>
    <t>Basha Izmir</t>
  </si>
  <si>
    <t>Luttens Koen</t>
  </si>
  <si>
    <t>De Lange Ruben</t>
  </si>
  <si>
    <t>Vandaele Tom</t>
  </si>
  <si>
    <t>De Graeve Marc</t>
  </si>
  <si>
    <t>Vandenberghe Michael</t>
  </si>
  <si>
    <t>Olenski Leonard</t>
  </si>
  <si>
    <t>Steenbrugge Johan</t>
  </si>
  <si>
    <t>Haenebalcke Peter</t>
  </si>
  <si>
    <t>Ben Sidhom Samir</t>
  </si>
  <si>
    <t>Depaepe Dirk</t>
  </si>
  <si>
    <t>Hublau Roland</t>
  </si>
  <si>
    <t>Bouckhout Ingeborg</t>
  </si>
  <si>
    <t>Criel Veronique</t>
  </si>
  <si>
    <t>Safi Amrullah</t>
  </si>
  <si>
    <t>Wasen Jens</t>
  </si>
  <si>
    <t>Zjarmi Hylgis</t>
  </si>
  <si>
    <t>Huyghe Jan</t>
  </si>
  <si>
    <t>Salimova Eydzhan</t>
  </si>
  <si>
    <t>Kerremans Jürgen</t>
  </si>
  <si>
    <t>Van der Bauwhede Ben</t>
  </si>
  <si>
    <t>De Smet Kenneth</t>
  </si>
  <si>
    <t xml:space="preserve"> https://delijn.sharepoint.com/:b:/r/teams/CTM-OTGentStad/Shared%20Documents/General/EAF/CSI(nieuwe%20sharepoint)%202025/12.%20December/EAF%20221323%20Gent%2017122025.pdf?csf=1&amp;web=1&amp;e=ijuyul</t>
  </si>
  <si>
    <t>Jarne Stubbe</t>
  </si>
  <si>
    <t>Zied Hassine</t>
  </si>
  <si>
    <t>De Baets Christian</t>
  </si>
  <si>
    <t xml:space="preserve"> https://delijn.sharepoint.com/:b:/r/teams/CTM-OTGentStad/Shared%20Documents/General/EAF/CSI(nieuwe%20sharepoint)%202025/12.%20December/EAF%205966%20Gent%2024122025.pdf?csf=1&amp;web=1&amp;e=jaQfAD</t>
  </si>
  <si>
    <t xml:space="preserve"> https://delijn.sharepoint.com/:b:/r/teams/CTM-OTGentStad/Shared%20Documents/General/EAF/CSI(nieuwe%20sharepoint)%202025/12.%20December/EAF%205234%2024122025%20Gent%2041685.pdf?csf=1&amp;web=1&amp;e=RDW2NY</t>
  </si>
  <si>
    <t xml:space="preserve"> https://delijn.sharepoint.com/:b:/r/teams/CTM-OTGentStad/Shared%20Documents/General/EAF/CSI(nieuwe%20sharepoint)%202025/12.%20December/EAF%205927%20Gent%2024122025.pdf?csf=1&amp;web=1&amp;e=I3sSwR</t>
  </si>
  <si>
    <t>frans van ryhovelaan</t>
  </si>
  <si>
    <t xml:space="preserve"> https://delijn.sharepoint.com/:b:/r/teams/CTM-OTGentStad/Shared%20Documents/General/EAF/CSI(nieuwe%20sharepoint)%202025/12.%20December/EAF2193%2026122025%20Gent%2040939.pdf?csf=1&amp;web=1&amp;e=sgPlZa</t>
  </si>
  <si>
    <t xml:space="preserve"> https://delijn.sharepoint.com/:b:/r/teams/CTM-OTGentStad/Shared%20Documents/General/EAF/CSI(nieuwe%20sharepoint)%202025/12.%20December/EAF%206313%20Gent%2013122025%2028737.pdf?csf=1&amp;web=1&amp;e=gkrXkg</t>
  </si>
  <si>
    <t xml:space="preserve"> https://delijn.sharepoint.com/:b:/r/teams/CTM-OTGentStad/Shared%20Documents/General/EAF/CSI(nieuwe%20sharepoint)%202025/12.%20December/EAF%206309%2026122025%20Gent%2039106.pdf?csf=1&amp;web=1&amp;e=tIY1hT</t>
  </si>
  <si>
    <t xml:space="preserve"> https://delijn.sharepoint.com/:b:/r/teams/CTM-OTGentStad/Shared%20Documents/General/EAF/CSI(nieuwe%20sharepoint)%202025/12.%20December/EAF%205794%20Gent%2019122025%2013088.pdf?csf=1&amp;web=1&amp;e=T9u4GE</t>
  </si>
  <si>
    <t>Gentbruggebrug</t>
  </si>
  <si>
    <t>45-49</t>
  </si>
  <si>
    <t>50-54</t>
  </si>
  <si>
    <t>55-59</t>
  </si>
  <si>
    <t>60-64</t>
  </si>
  <si>
    <t>65-69</t>
  </si>
  <si>
    <t>70-74</t>
  </si>
  <si>
    <t>75-79</t>
  </si>
  <si>
    <t>De Geyter Claudine</t>
  </si>
  <si>
    <t>Palit Ramazan</t>
  </si>
  <si>
    <t xml:space="preserve"> https://delijn.sharepoint.com/:b:/r/teams/CTM-OTGentStad/Shared%20Documents/General/EAF/CSI(nieuwe%20sharepoint)%202025/11.%20November/EAF%205931%20Gent%2027112025%2039575.pdf?csf=1&amp;web=1&amp;e=EVxaLl</t>
  </si>
  <si>
    <t>EAF 5265 Gent 30122025 31731.pdf</t>
  </si>
  <si>
    <t xml:space="preserve"> https://delijn.sharepoint.com/:b:/r/teams/CTM-OTGentStad/Shared%20Documents/General/EAF/CSI(nieuwe%20sharepoint)%202025/12.%20December/EAF%205273%20Gent%2038633%2017122025.pdf?csf=1&amp;web=1&amp;e=dVbPsi</t>
  </si>
  <si>
    <t xml:space="preserve"> https://delijn.sharepoint.com/:b:/r/teams/CTM-OTGentStad/Shared%20Documents/General/EAF/2026/Januari/EAF%202208%2023700%20Gent%2005012026.pdf?csf=1&amp;web=1&amp;e=ohGexH</t>
  </si>
  <si>
    <t>https://delijn.sharepoint.com/:b:/r/teams/CTM-OTGentStad/Shared%20Documents/General/EAF/2026/Januari/EAF%205231%20Gent%2038807%2006012026.pdf?csf=1&amp;web=1&amp;e=T9njU0</t>
  </si>
  <si>
    <t xml:space="preserve"> https://delijn.sharepoint.com/:b:/r/teams/CTM-OTGentStad/Shared%20Documents/General/EAF/2026/Januari/EAF%205259%20Gent%2003012026%2041859.pdf?csf=1&amp;web=1&amp;e=rKf6kF</t>
  </si>
  <si>
    <t>https://delijn.sharepoint.com/:b:/r/teams/CTM-OTGentStad/Shared%20Documents/General/EAF/2026/Januari/EAF%205484-5486%20Gent%2007012026%2041357%20-%2035216.pdf?csf=1&amp;web=1&amp;e=EAz2Ji</t>
  </si>
  <si>
    <t>https://delijn.sharepoint.com/:b:/r/teams/CTM-OTGentStad/Shared%20Documents/General/EAF/2026/Januari/EAF%202199%20Gent%2008012026%2041619.pdf?csf=1&amp;web=1&amp;e=tdhNaM</t>
  </si>
  <si>
    <t xml:space="preserve"> https://delijn.sharepoint.com/:b:/r/teams/CTM-OTGentStad/Shared%20Documents/General/EAF/2026/Januari/Scan_28740_0083_001.pdf?csf=1&amp;web=1&amp;e=vPVvry</t>
  </si>
  <si>
    <t xml:space="preserve"> https://delijn.sharepoint.com/:b:/r/teams/CTM-OTGentStad/Shared%20Documents/General/EAF/CSI(nieuwe%20sharepoint)%202025/1.%20Januari/EAF%206303%20Ledebergplein%2027012025%20Kris%20De%20Craemer.pdf?csf=1&amp;web=1&amp;e=Rkziz5</t>
  </si>
  <si>
    <t xml:space="preserve"> https://delijn.sharepoint.com/:b:/r/teams/CTM-OTGentStad/Shared%20Documents/General/EAF/CSI(nieuwe%20sharepoint)%202025/1.%20Januari/ongeval300125_samengevoegd.pdf?csf=1&amp;web=1&amp;e=tAUVd2</t>
  </si>
  <si>
    <t xml:space="preserve"> https://delijn.sharepoint.com/:b:/r/teams/CTM-OTGentStad/Shared%20Documents/General/EAF/CSI(nieuwe%20sharepoint)%202025/1.%20Januari/EAF%206337%20Gent%2017012025.pdf?csf=1&amp;web=1&amp;e=m1mQPI</t>
  </si>
  <si>
    <t xml:space="preserve"> https://delijn.sharepoint.com/:b:/r/teams/CTM-OTGentStad/Shared%20Documents/General/EAF/2026/Januari/EAF%205261%20Gent%2012012025%2029477.pdf?csf=1&amp;web=1&amp;e=OsZ6Xc</t>
  </si>
  <si>
    <t>https://delijn.sharepoint.com/:b:/r/teams/CTM-OTGentStad/Shared%20Documents/General/EAF/CSI(nieuwe%20sharepoint)%202025/1.%20Januari/EAF%206356%20Gentbrugge%2018012025.pdf?csf=1&amp;web=1&amp;e=wRhOqm</t>
  </si>
  <si>
    <t xml:space="preserve"> https://delijn.sharepoint.com/:b:/r/teams/CTM-OTGentStad/Shared%20Documents/General/EAF/CSI(nieuwe%20sharepoint)%202025/11.%20November/Scan_Christoff%20Rotty_20260105-084916_0128_001.pdf?csf=1&amp;web=1&amp;e=YZTzAh</t>
  </si>
  <si>
    <t xml:space="preserve"> https://delijn.sharepoint.com/:b:/r/teams/CTM-OTGentStad/Shared%20Documents/General/EAF/CSI(nieuwe%20sharepoint)%202025/2.%20Februari/EAF%205043%20Brugsesteenweg%20Gent%2022.02.2025%20om%2017u59.pdf?csf=1&amp;web=1&amp;e=kLF500</t>
  </si>
  <si>
    <t xml:space="preserve"> https://delijn.sharepoint.com/:b:/r/teams/CTM-OTGentStad/Shared%20Documents/General/EAF/2026/Januari/Scan_28740_0086_001.pdf?csf=1&amp;web=1&amp;e=anjpHE</t>
  </si>
  <si>
    <t xml:space="preserve"> https://delijn.sharepoint.com/:b:/r/teams/CTM-OTGentStad/Shared%20Documents/General/EAF/CSI(nieuwe%20sharepoint)%202025/3.%20Maart/EAF%205229%20Rooigemlaan%20Gent%2021022025.pdf?csf=1&amp;web=1&amp;e=oYOcGy</t>
  </si>
  <si>
    <t xml:space="preserve"> https://delijn.sharepoint.com/:b:/r/teams/CTM-OTGentStad/Shared%20Documents/General/EAF/CSI(nieuwe%20sharepoint)%202025/1.%20Januari/Scan_OEXVB_4231_001.pdf?csf=1&amp;web=1&amp;e=qP0wbh</t>
  </si>
  <si>
    <t xml:space="preserve"> https://delijn.sharepoint.com/:b:/r/teams/CTM-OTGentStad/Shared%20Documents/General/EAF/2026/Januari/EAF%202199%20GEnt%2012012026%2021581.pdf?csf=1&amp;web=1&amp;e=ePzxtn</t>
  </si>
  <si>
    <t xml:space="preserve"> https://delijn.sharepoint.com/:b:/r/teams/CTM-OTGentStad/Shared%20Documents/General/EAF/2026/Januari/Scan_Kenneth%20De%20Rick_20260119-071139_0215_001.pdf?csf=1&amp;web=1&amp;e=QZAYSD</t>
  </si>
  <si>
    <t xml:space="preserve"> https://delijn.sharepoint.com/:b:/r/teams/CTM-OTGentStad/Shared%20Documents/General/EAF/2026/Januari/Scan_Kenneth%20De%20Rick_20260119-115821_0216_001.pdf?csf=1&amp;web=1&amp;e=MHVboB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</si>
</sst>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14" fontId="3" fillId="2" borderId="0" xfId="0" applyNumberFormat="1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0" fontId="0" fillId="0" borderId="0" xfId="0" applyAlignment="1">
      <alignment horizontal="right" vertical="center"/>
    </xf>
    <xf numFmtId="0" fontId="0" fillId="4" borderId="0" xfId="0" applyFill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horizontal="center" vertical="center"/>
    </xf>
    <xf numFmtId="1" fontId="0" fillId="5" borderId="0" xfId="0" applyNumberFormat="1" applyFill="1"/>
    <xf numFmtId="0" fontId="0" fillId="5" borderId="0" xfId="0" applyFill="1"/>
    <xf numFmtId="14" fontId="3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/>
    </xf>
    <xf numFmtId="0" fontId="2" fillId="5" borderId="0" xfId="1" applyFill="1"/>
    <xf numFmtId="14" fontId="0" fillId="5" borderId="0" xfId="0" applyNumberFormat="1" applyFill="1"/>
    <xf numFmtId="0" fontId="2" fillId="5" borderId="0" xfId="1" applyFill="1" applyAlignment="1">
      <alignment horizontal="center"/>
    </xf>
    <xf numFmtId="1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left"/>
    </xf>
    <xf numFmtId="14" fontId="3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 vertical="center"/>
    </xf>
  </cellXfs>
  <cellStyles count="2">
    <cellStyle name="Hyperlink" xfId="1" builtinId="8"/>
    <cellStyle name="Standaard" xfId="0" builtinId="0"/>
  </cellStyles>
  <dxfs count="2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'schades-leeftijd'!$I$3:$I$15</c:f>
              <c:strCache>
                <c:ptCount val="12"/>
                <c:pt idx="0">
                  <c:v>20-24</c:v>
                </c:pt>
                <c:pt idx="1">
                  <c:v>25-29</c:v>
                </c:pt>
                <c:pt idx="2">
                  <c:v>30-34</c:v>
                </c:pt>
                <c:pt idx="3">
                  <c:v>35-39</c:v>
                </c:pt>
                <c:pt idx="4">
                  <c:v>40-44</c:v>
                </c:pt>
                <c:pt idx="5">
                  <c:v>45-49</c:v>
                </c:pt>
                <c:pt idx="6">
                  <c:v>50-54</c:v>
                </c:pt>
                <c:pt idx="7">
                  <c:v>55-59</c:v>
                </c:pt>
                <c:pt idx="8">
                  <c:v>60-64</c:v>
                </c:pt>
                <c:pt idx="9">
                  <c:v>65-69</c:v>
                </c:pt>
                <c:pt idx="10">
                  <c:v>70-74</c:v>
                </c:pt>
                <c:pt idx="11">
                  <c:v>75-79</c:v>
                </c:pt>
              </c:strCache>
            </c:strRef>
          </c:cat>
          <c:val>
            <c:numRef>
              <c:f>'schades-leeftijd'!$J$3:$J$15</c:f>
              <c:numCache>
                <c:formatCode>0.00</c:formatCode>
                <c:ptCount val="12"/>
                <c:pt idx="0">
                  <c:v>1.95</c:v>
                </c:pt>
                <c:pt idx="1">
                  <c:v>2.0499999999999998</c:v>
                </c:pt>
                <c:pt idx="2">
                  <c:v>2</c:v>
                </c:pt>
                <c:pt idx="3">
                  <c:v>1.7592592592592593</c:v>
                </c:pt>
                <c:pt idx="4">
                  <c:v>1.8513513513513513</c:v>
                </c:pt>
                <c:pt idx="5">
                  <c:v>1.382716049382716</c:v>
                </c:pt>
                <c:pt idx="6">
                  <c:v>1.2727272727272727</c:v>
                </c:pt>
                <c:pt idx="7">
                  <c:v>1.1304347826086956</c:v>
                </c:pt>
                <c:pt idx="8">
                  <c:v>1.476923076923077</c:v>
                </c:pt>
                <c:pt idx="9">
                  <c:v>0.81818181818181823</c:v>
                </c:pt>
                <c:pt idx="10">
                  <c:v>0.5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compleet'!$J$4:$J$13</c:f>
              <c:strCache>
                <c:ptCount val="9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</c:strCache>
            </c:strRef>
          </c:cat>
          <c:val>
            <c:numRef>
              <c:f>'schades-dienstjaar compleet'!$K$4:$K$13</c:f>
              <c:numCache>
                <c:formatCode>0.00</c:formatCode>
                <c:ptCount val="9"/>
                <c:pt idx="0">
                  <c:v>2.07421875</c:v>
                </c:pt>
                <c:pt idx="1">
                  <c:v>1.5473684210526315</c:v>
                </c:pt>
                <c:pt idx="2">
                  <c:v>1.0597014925373134</c:v>
                </c:pt>
                <c:pt idx="3">
                  <c:v>0.9213483146067416</c:v>
                </c:pt>
                <c:pt idx="4">
                  <c:v>0.98113207547169812</c:v>
                </c:pt>
                <c:pt idx="5">
                  <c:v>1.2</c:v>
                </c:pt>
                <c:pt idx="6">
                  <c:v>0.6875</c:v>
                </c:pt>
                <c:pt idx="7">
                  <c:v>0.8571428571428571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5</xdr:col>
      <xdr:colOff>180975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704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TGentStad-Teamcoaches/Shared%20Documents/Teamcoaches/Alle%20info%20chauffeurs/actieplan%20schade/alle%20data%20chauffeurs.xlsx" TargetMode="External"/><Relationship Id="rId1" Type="http://schemas.openxmlformats.org/officeDocument/2006/relationships/externalLinkPath" Target="alle%20data%20chauffeu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1">
          <cell r="A1" t="str">
            <v>Employee</v>
          </cell>
          <cell r="B1" t="str">
            <v>Name</v>
          </cell>
          <cell r="C1" t="str">
            <v>Last Name</v>
          </cell>
          <cell r="D1" t="str">
            <v>First Name</v>
          </cell>
          <cell r="E1" t="str">
            <v>Crew base</v>
          </cell>
          <cell r="F1" t="str">
            <v>LockerNumber</v>
          </cell>
          <cell r="G1" t="str">
            <v>Start Date</v>
          </cell>
          <cell r="H1" t="str">
            <v>Teamleader</v>
          </cell>
        </row>
        <row r="2">
          <cell r="A2">
            <v>10150</v>
          </cell>
          <cell r="B2" t="str">
            <v>Vandenbogaerde Tony</v>
          </cell>
          <cell r="C2" t="str">
            <v>Vandenbogaerde</v>
          </cell>
          <cell r="D2" t="str">
            <v>Tony</v>
          </cell>
          <cell r="E2" t="str">
            <v>GBR112</v>
          </cell>
          <cell r="F2">
            <v>107</v>
          </cell>
          <cell r="G2">
            <v>35891</v>
          </cell>
          <cell r="H2" t="str">
            <v>Storm Steven</v>
          </cell>
        </row>
        <row r="3">
          <cell r="A3">
            <v>10324</v>
          </cell>
          <cell r="B3" t="str">
            <v>Eggermont Wim</v>
          </cell>
          <cell r="C3" t="str">
            <v>Eggermont</v>
          </cell>
          <cell r="D3" t="str">
            <v>Wim</v>
          </cell>
          <cell r="E3" t="str">
            <v>GBR112</v>
          </cell>
          <cell r="F3">
            <v>332</v>
          </cell>
          <cell r="G3">
            <v>35948</v>
          </cell>
          <cell r="H3" t="str">
            <v>Van Der Beken Bart</v>
          </cell>
        </row>
        <row r="4">
          <cell r="A4">
            <v>10326</v>
          </cell>
          <cell r="B4" t="str">
            <v>Lefebvre Olivier</v>
          </cell>
          <cell r="C4" t="str">
            <v>Lefebvre</v>
          </cell>
          <cell r="D4" t="str">
            <v>Olivier</v>
          </cell>
          <cell r="E4" t="str">
            <v>GBR112</v>
          </cell>
          <cell r="F4">
            <v>534</v>
          </cell>
          <cell r="G4">
            <v>35948</v>
          </cell>
          <cell r="H4" t="str">
            <v>Van Der Beken Bart</v>
          </cell>
        </row>
        <row r="5">
          <cell r="A5">
            <v>10782</v>
          </cell>
          <cell r="B5" t="str">
            <v>De Kee Ina</v>
          </cell>
          <cell r="C5" t="str">
            <v>De Kee</v>
          </cell>
          <cell r="D5" t="str">
            <v>Ina</v>
          </cell>
          <cell r="E5" t="str">
            <v>GBR112</v>
          </cell>
          <cell r="F5">
            <v>48</v>
          </cell>
          <cell r="G5">
            <v>36080</v>
          </cell>
          <cell r="H5" t="str">
            <v>De Rick Kenneth</v>
          </cell>
        </row>
        <row r="6">
          <cell r="A6">
            <v>11021</v>
          </cell>
          <cell r="B6" t="str">
            <v>Seeuws Marnic</v>
          </cell>
          <cell r="C6" t="str">
            <v>Seeuws</v>
          </cell>
          <cell r="D6" t="str">
            <v>Marnic</v>
          </cell>
          <cell r="E6" t="str">
            <v>GBR112</v>
          </cell>
          <cell r="F6">
            <v>181</v>
          </cell>
          <cell r="G6">
            <v>36227</v>
          </cell>
          <cell r="H6" t="str">
            <v>Storm Steven</v>
          </cell>
        </row>
        <row r="7">
          <cell r="A7">
            <v>11023</v>
          </cell>
          <cell r="B7" t="str">
            <v>Goethals Jeffrey</v>
          </cell>
          <cell r="C7" t="str">
            <v>Goethals</v>
          </cell>
          <cell r="D7" t="str">
            <v>Jeffrey</v>
          </cell>
          <cell r="E7" t="str">
            <v>GBR112</v>
          </cell>
          <cell r="F7">
            <v>9</v>
          </cell>
          <cell r="G7">
            <v>36227</v>
          </cell>
          <cell r="H7" t="str">
            <v>Vanhoe Els</v>
          </cell>
        </row>
        <row r="8">
          <cell r="A8">
            <v>11120</v>
          </cell>
          <cell r="B8" t="str">
            <v>De Vrieze Ludo</v>
          </cell>
          <cell r="C8" t="str">
            <v>De Vrieze</v>
          </cell>
          <cell r="D8" t="str">
            <v>Ludo</v>
          </cell>
          <cell r="E8" t="str">
            <v>GBR112</v>
          </cell>
          <cell r="F8">
            <v>325</v>
          </cell>
          <cell r="G8">
            <v>36262</v>
          </cell>
          <cell r="H8" t="str">
            <v>Van De Velde Lucie</v>
          </cell>
        </row>
        <row r="9">
          <cell r="A9">
            <v>11213</v>
          </cell>
          <cell r="B9" t="str">
            <v>De Plus Gunter</v>
          </cell>
          <cell r="C9" t="str">
            <v>De Plus</v>
          </cell>
          <cell r="D9" t="str">
            <v>Gunter</v>
          </cell>
          <cell r="E9" t="str">
            <v>GBR112</v>
          </cell>
          <cell r="F9">
            <v>246</v>
          </cell>
          <cell r="G9">
            <v>36311</v>
          </cell>
          <cell r="H9" t="str">
            <v>Van Der Beken Bart</v>
          </cell>
        </row>
        <row r="10">
          <cell r="A10">
            <v>11236</v>
          </cell>
          <cell r="B10" t="str">
            <v>Baert Freddy</v>
          </cell>
          <cell r="C10" t="str">
            <v>Baert</v>
          </cell>
          <cell r="D10" t="str">
            <v>Freddy</v>
          </cell>
          <cell r="E10" t="str">
            <v>GBR112</v>
          </cell>
          <cell r="F10">
            <v>632</v>
          </cell>
          <cell r="G10">
            <v>36332</v>
          </cell>
          <cell r="H10" t="str">
            <v>Van Der Beken Bart</v>
          </cell>
        </row>
        <row r="11">
          <cell r="A11">
            <v>11508</v>
          </cell>
          <cell r="B11" t="str">
            <v>Beeckman Nico</v>
          </cell>
          <cell r="C11" t="str">
            <v>Beeckman</v>
          </cell>
          <cell r="D11" t="str">
            <v>Nico</v>
          </cell>
          <cell r="E11" t="str">
            <v>GBR112</v>
          </cell>
          <cell r="F11">
            <v>333</v>
          </cell>
          <cell r="G11">
            <v>36388</v>
          </cell>
          <cell r="H11" t="str">
            <v>Van De Velde Lucie</v>
          </cell>
        </row>
        <row r="12">
          <cell r="A12">
            <v>11866</v>
          </cell>
          <cell r="B12" t="str">
            <v>Bolle Pascal</v>
          </cell>
          <cell r="C12" t="str">
            <v>Bolle</v>
          </cell>
          <cell r="D12" t="str">
            <v>Pascal</v>
          </cell>
          <cell r="E12" t="str">
            <v>GBR112</v>
          </cell>
          <cell r="F12">
            <v>165</v>
          </cell>
          <cell r="G12">
            <v>36542</v>
          </cell>
          <cell r="H12" t="str">
            <v>Van De Velde Lucie</v>
          </cell>
        </row>
        <row r="13">
          <cell r="A13">
            <v>12024</v>
          </cell>
          <cell r="B13" t="str">
            <v>De Cooman Kurt</v>
          </cell>
          <cell r="C13" t="str">
            <v>De Cooman</v>
          </cell>
          <cell r="D13" t="str">
            <v>Kurt</v>
          </cell>
          <cell r="E13" t="str">
            <v>GBR112</v>
          </cell>
          <cell r="F13">
            <v>214</v>
          </cell>
          <cell r="G13">
            <v>36612</v>
          </cell>
          <cell r="H13" t="str">
            <v>Van De Velde Lucie</v>
          </cell>
        </row>
        <row r="14">
          <cell r="A14">
            <v>12124</v>
          </cell>
          <cell r="B14" t="str">
            <v>Van Vliet Tom</v>
          </cell>
          <cell r="C14" t="str">
            <v>Van Vliet</v>
          </cell>
          <cell r="D14" t="str">
            <v>Tom</v>
          </cell>
          <cell r="E14" t="str">
            <v>GBR112</v>
          </cell>
          <cell r="F14">
            <v>397</v>
          </cell>
          <cell r="G14">
            <v>36654</v>
          </cell>
          <cell r="H14" t="str">
            <v>Storm Steven</v>
          </cell>
        </row>
        <row r="15">
          <cell r="A15">
            <v>12173</v>
          </cell>
          <cell r="B15" t="str">
            <v>De Feyter David</v>
          </cell>
          <cell r="C15" t="str">
            <v>De Feyter</v>
          </cell>
          <cell r="D15" t="str">
            <v>David</v>
          </cell>
          <cell r="E15" t="str">
            <v>GBR112</v>
          </cell>
          <cell r="F15">
            <v>176</v>
          </cell>
          <cell r="G15">
            <v>36690</v>
          </cell>
          <cell r="H15" t="str">
            <v>Vanhoe Els</v>
          </cell>
        </row>
        <row r="16">
          <cell r="A16">
            <v>12514</v>
          </cell>
          <cell r="B16" t="str">
            <v>De Smet Kenneth</v>
          </cell>
          <cell r="C16" t="str">
            <v>De Smet</v>
          </cell>
          <cell r="D16" t="str">
            <v>Kenneth</v>
          </cell>
          <cell r="E16" t="str">
            <v>GBR112</v>
          </cell>
          <cell r="F16">
            <v>417</v>
          </cell>
          <cell r="G16">
            <v>36759</v>
          </cell>
          <cell r="H16" t="str">
            <v>Van De Velde Lucie</v>
          </cell>
        </row>
        <row r="17">
          <cell r="A17">
            <v>12684</v>
          </cell>
          <cell r="B17" t="str">
            <v>Van Den Bossche Martine</v>
          </cell>
          <cell r="C17" t="str">
            <v>Van Den Bossche</v>
          </cell>
          <cell r="D17" t="str">
            <v>Martine</v>
          </cell>
          <cell r="E17" t="str">
            <v>GBR112</v>
          </cell>
          <cell r="F17">
            <v>633</v>
          </cell>
          <cell r="G17">
            <v>36815</v>
          </cell>
          <cell r="H17" t="str">
            <v>Vanhoe Els</v>
          </cell>
        </row>
        <row r="18">
          <cell r="A18">
            <v>12819</v>
          </cell>
          <cell r="B18" t="str">
            <v>Van Eenaeme David</v>
          </cell>
          <cell r="C18" t="str">
            <v>Van Eenaeme</v>
          </cell>
          <cell r="D18" t="str">
            <v>David</v>
          </cell>
          <cell r="E18" t="str">
            <v>GBR112</v>
          </cell>
          <cell r="F18">
            <v>536</v>
          </cell>
          <cell r="G18">
            <v>36853</v>
          </cell>
          <cell r="H18" t="str">
            <v>Van Der Beken Bart</v>
          </cell>
        </row>
        <row r="19">
          <cell r="A19">
            <v>13017</v>
          </cell>
          <cell r="B19" t="str">
            <v>Riobello-Olalla Wesley</v>
          </cell>
          <cell r="C19" t="str">
            <v>Riobello-Olalla</v>
          </cell>
          <cell r="D19" t="str">
            <v>Wesley</v>
          </cell>
          <cell r="E19" t="str">
            <v>GBR112</v>
          </cell>
          <cell r="F19">
            <v>188</v>
          </cell>
          <cell r="G19">
            <v>36923</v>
          </cell>
          <cell r="H19" t="str">
            <v>De Rick Kenneth</v>
          </cell>
        </row>
        <row r="20">
          <cell r="A20">
            <v>13088</v>
          </cell>
          <cell r="B20" t="str">
            <v>De Geyter Claudine</v>
          </cell>
          <cell r="C20" t="str">
            <v>De Geyter</v>
          </cell>
          <cell r="D20" t="str">
            <v>Claudine</v>
          </cell>
          <cell r="E20" t="str">
            <v>E17126</v>
          </cell>
          <cell r="F20">
            <v>56</v>
          </cell>
          <cell r="G20">
            <v>36948</v>
          </cell>
          <cell r="H20" t="str">
            <v>De Clercq Dominique</v>
          </cell>
        </row>
        <row r="21">
          <cell r="A21">
            <v>13089</v>
          </cell>
          <cell r="B21" t="str">
            <v>Oosterlinck Jan</v>
          </cell>
          <cell r="C21" t="str">
            <v>Oosterlinck</v>
          </cell>
          <cell r="D21" t="str">
            <v>Jan</v>
          </cell>
          <cell r="E21" t="str">
            <v>GBR112</v>
          </cell>
          <cell r="F21">
            <v>140</v>
          </cell>
          <cell r="G21">
            <v>36948</v>
          </cell>
          <cell r="H21" t="str">
            <v>Rotty Christoff</v>
          </cell>
        </row>
        <row r="22">
          <cell r="A22">
            <v>13257</v>
          </cell>
          <cell r="B22" t="str">
            <v>Eeckhout Steve</v>
          </cell>
          <cell r="C22" t="str">
            <v>Eeckhout</v>
          </cell>
          <cell r="D22" t="str">
            <v>Steve</v>
          </cell>
          <cell r="E22" t="str">
            <v>GBR112</v>
          </cell>
          <cell r="F22">
            <v>237</v>
          </cell>
          <cell r="G22">
            <v>36998</v>
          </cell>
          <cell r="H22" t="str">
            <v>De Rick Kenneth</v>
          </cell>
        </row>
        <row r="23">
          <cell r="A23">
            <v>13345</v>
          </cell>
          <cell r="B23" t="str">
            <v>Schijvens Ronny</v>
          </cell>
          <cell r="C23" t="str">
            <v>Schijvens</v>
          </cell>
          <cell r="D23" t="str">
            <v>Ronny</v>
          </cell>
          <cell r="E23" t="str">
            <v>GBR112</v>
          </cell>
          <cell r="F23">
            <v>578</v>
          </cell>
          <cell r="G23">
            <v>37018</v>
          </cell>
          <cell r="H23" t="str">
            <v>De Rick Kenneth</v>
          </cell>
        </row>
        <row r="24">
          <cell r="A24">
            <v>13398</v>
          </cell>
          <cell r="B24" t="str">
            <v>Kirdas Ramazan</v>
          </cell>
          <cell r="C24" t="str">
            <v>Kirdas</v>
          </cell>
          <cell r="D24" t="str">
            <v>Ramazan</v>
          </cell>
          <cell r="E24" t="str">
            <v>GBR112</v>
          </cell>
          <cell r="F24">
            <v>340</v>
          </cell>
          <cell r="G24">
            <v>37047</v>
          </cell>
          <cell r="H24" t="str">
            <v>De Clercq Dominique</v>
          </cell>
        </row>
        <row r="25">
          <cell r="A25">
            <v>14021</v>
          </cell>
          <cell r="B25" t="str">
            <v>De Weirt Chris</v>
          </cell>
          <cell r="C25" t="str">
            <v>De Weirt</v>
          </cell>
          <cell r="D25" t="str">
            <v>Chris</v>
          </cell>
          <cell r="E25" t="str">
            <v>GBR112</v>
          </cell>
          <cell r="F25">
            <v>37</v>
          </cell>
          <cell r="G25">
            <v>37193</v>
          </cell>
          <cell r="H25" t="str">
            <v>Storm Steven</v>
          </cell>
        </row>
        <row r="26">
          <cell r="A26">
            <v>14070</v>
          </cell>
          <cell r="B26" t="str">
            <v>Van Kerckhove Sabine</v>
          </cell>
          <cell r="C26" t="str">
            <v>Van Kerckhove</v>
          </cell>
          <cell r="D26" t="str">
            <v>Sabine</v>
          </cell>
          <cell r="E26" t="str">
            <v>GBR112</v>
          </cell>
          <cell r="F26">
            <v>208</v>
          </cell>
          <cell r="G26">
            <v>37214</v>
          </cell>
          <cell r="H26" t="str">
            <v>Dewulf Els</v>
          </cell>
        </row>
        <row r="27">
          <cell r="A27">
            <v>14072</v>
          </cell>
          <cell r="B27" t="str">
            <v>Vervoort Koen</v>
          </cell>
          <cell r="C27" t="str">
            <v>Vervoort</v>
          </cell>
          <cell r="D27" t="str">
            <v>Koen</v>
          </cell>
          <cell r="E27" t="str">
            <v>GBR112</v>
          </cell>
          <cell r="F27">
            <v>249</v>
          </cell>
          <cell r="G27">
            <v>37214</v>
          </cell>
          <cell r="H27" t="str">
            <v>Van De Velde Lucie</v>
          </cell>
        </row>
        <row r="28">
          <cell r="A28">
            <v>14261</v>
          </cell>
          <cell r="B28" t="str">
            <v>Vandaele Sofie</v>
          </cell>
          <cell r="C28" t="str">
            <v>Vandaele</v>
          </cell>
          <cell r="D28" t="str">
            <v>Sofie</v>
          </cell>
          <cell r="E28" t="str">
            <v>GBR112</v>
          </cell>
          <cell r="F28">
            <v>424</v>
          </cell>
          <cell r="G28">
            <v>37284</v>
          </cell>
          <cell r="H28" t="str">
            <v>Vanhoe Els</v>
          </cell>
        </row>
        <row r="29">
          <cell r="A29">
            <v>14425</v>
          </cell>
          <cell r="B29" t="str">
            <v>Vandaele Thibaut</v>
          </cell>
          <cell r="C29" t="str">
            <v>Vandaele</v>
          </cell>
          <cell r="D29" t="str">
            <v>Thibaut</v>
          </cell>
          <cell r="E29" t="str">
            <v>GBR112</v>
          </cell>
          <cell r="F29">
            <v>142</v>
          </cell>
          <cell r="G29">
            <v>37333</v>
          </cell>
          <cell r="H29" t="str">
            <v>Van Der Beken Bart</v>
          </cell>
        </row>
        <row r="30">
          <cell r="A30">
            <v>14625</v>
          </cell>
          <cell r="B30" t="str">
            <v>Rodrigue Vincent</v>
          </cell>
          <cell r="C30" t="str">
            <v>Rodrigue</v>
          </cell>
          <cell r="D30" t="str">
            <v>Vincent</v>
          </cell>
          <cell r="E30" t="str">
            <v>GBR112</v>
          </cell>
          <cell r="F30">
            <v>7</v>
          </cell>
          <cell r="G30">
            <v>37397</v>
          </cell>
          <cell r="H30" t="str">
            <v>Van De Velde Lucie</v>
          </cell>
        </row>
        <row r="31">
          <cell r="A31">
            <v>14665</v>
          </cell>
          <cell r="B31" t="str">
            <v>De Mulder Philip</v>
          </cell>
          <cell r="C31" t="str">
            <v>De Mulder</v>
          </cell>
          <cell r="D31" t="str">
            <v>Philip</v>
          </cell>
          <cell r="E31" t="str">
            <v>GBR112</v>
          </cell>
          <cell r="F31">
            <v>558</v>
          </cell>
          <cell r="G31">
            <v>37424</v>
          </cell>
          <cell r="H31" t="str">
            <v>Van Der Beken Bart</v>
          </cell>
        </row>
        <row r="32">
          <cell r="A32">
            <v>14667</v>
          </cell>
          <cell r="B32" t="str">
            <v>De paepe Hilde</v>
          </cell>
          <cell r="C32" t="str">
            <v>De paepe</v>
          </cell>
          <cell r="D32" t="str">
            <v>Hilde</v>
          </cell>
          <cell r="E32" t="str">
            <v>GBR112</v>
          </cell>
          <cell r="F32">
            <v>190</v>
          </cell>
          <cell r="G32">
            <v>37424</v>
          </cell>
          <cell r="H32" t="str">
            <v>Dewulf Els</v>
          </cell>
        </row>
        <row r="33">
          <cell r="A33">
            <v>15088</v>
          </cell>
          <cell r="B33" t="str">
            <v>Laute Dirk</v>
          </cell>
          <cell r="C33" t="str">
            <v>Laute</v>
          </cell>
          <cell r="D33" t="str">
            <v>Dirk</v>
          </cell>
          <cell r="E33" t="str">
            <v>GBR112</v>
          </cell>
          <cell r="F33">
            <v>505</v>
          </cell>
          <cell r="G33">
            <v>37501</v>
          </cell>
          <cell r="H33" t="str">
            <v>Vanhoe Els</v>
          </cell>
        </row>
        <row r="34">
          <cell r="A34">
            <v>15218</v>
          </cell>
          <cell r="B34" t="str">
            <v>Ackermans Christian</v>
          </cell>
          <cell r="C34" t="str">
            <v>Ackermans</v>
          </cell>
          <cell r="D34" t="str">
            <v>Christian</v>
          </cell>
          <cell r="E34" t="str">
            <v>GBR112</v>
          </cell>
          <cell r="F34">
            <v>563</v>
          </cell>
          <cell r="G34">
            <v>37543</v>
          </cell>
          <cell r="H34" t="str">
            <v>Vanhoe Els</v>
          </cell>
        </row>
        <row r="35">
          <cell r="A35">
            <v>15219</v>
          </cell>
          <cell r="B35" t="str">
            <v>De Mey Peter</v>
          </cell>
          <cell r="C35" t="str">
            <v>De Mey</v>
          </cell>
          <cell r="D35" t="str">
            <v>Peter</v>
          </cell>
          <cell r="E35" t="str">
            <v>GBR112</v>
          </cell>
          <cell r="F35">
            <v>314</v>
          </cell>
          <cell r="G35">
            <v>37543</v>
          </cell>
          <cell r="H35" t="str">
            <v>Van Der Beken Bart</v>
          </cell>
        </row>
        <row r="36">
          <cell r="A36">
            <v>15220</v>
          </cell>
          <cell r="B36" t="str">
            <v>Dejonghe Katleen</v>
          </cell>
          <cell r="C36" t="str">
            <v>Dejonghe</v>
          </cell>
          <cell r="D36" t="str">
            <v>Katleen</v>
          </cell>
          <cell r="E36" t="str">
            <v>GBR112</v>
          </cell>
          <cell r="F36">
            <v>383</v>
          </cell>
          <cell r="G36">
            <v>37543</v>
          </cell>
          <cell r="H36" t="str">
            <v>De Clercq Dominique</v>
          </cell>
        </row>
        <row r="37">
          <cell r="A37">
            <v>15282</v>
          </cell>
          <cell r="B37" t="str">
            <v>Marinx Kristoff</v>
          </cell>
          <cell r="C37" t="str">
            <v>Marinx</v>
          </cell>
          <cell r="D37" t="str">
            <v>Kristoff</v>
          </cell>
          <cell r="E37" t="str">
            <v>GBR112</v>
          </cell>
          <cell r="F37">
            <v>373</v>
          </cell>
          <cell r="G37">
            <v>37564</v>
          </cell>
          <cell r="H37" t="str">
            <v>De Rick Kenneth</v>
          </cell>
        </row>
        <row r="38">
          <cell r="A38">
            <v>15320</v>
          </cell>
          <cell r="B38" t="str">
            <v>Vandenberghe Filip</v>
          </cell>
          <cell r="C38" t="str">
            <v>Vandenberghe</v>
          </cell>
          <cell r="D38" t="str">
            <v>Filip</v>
          </cell>
          <cell r="E38" t="str">
            <v>GBR112</v>
          </cell>
          <cell r="F38">
            <v>561</v>
          </cell>
          <cell r="G38">
            <v>37585</v>
          </cell>
          <cell r="H38" t="str">
            <v>Vanhoe Els</v>
          </cell>
        </row>
        <row r="39">
          <cell r="A39">
            <v>15412</v>
          </cell>
          <cell r="B39" t="str">
            <v>Dhondt Frank</v>
          </cell>
          <cell r="C39" t="str">
            <v>Dhondt</v>
          </cell>
          <cell r="D39" t="str">
            <v>Frank</v>
          </cell>
          <cell r="E39" t="str">
            <v>GBR112</v>
          </cell>
          <cell r="F39">
            <v>503</v>
          </cell>
          <cell r="G39">
            <v>37634</v>
          </cell>
          <cell r="H39" t="str">
            <v>Van Der Beken Bart</v>
          </cell>
        </row>
        <row r="40">
          <cell r="A40">
            <v>15626</v>
          </cell>
          <cell r="B40" t="str">
            <v>Tondeleir Ron</v>
          </cell>
          <cell r="C40" t="str">
            <v>Tondeleir</v>
          </cell>
          <cell r="D40" t="str">
            <v>Ron</v>
          </cell>
          <cell r="E40" t="str">
            <v>GBR112</v>
          </cell>
          <cell r="F40">
            <v>556</v>
          </cell>
          <cell r="G40">
            <v>37718</v>
          </cell>
          <cell r="H40" t="str">
            <v>Van Der Beken Bart</v>
          </cell>
        </row>
        <row r="41">
          <cell r="A41">
            <v>15628</v>
          </cell>
          <cell r="B41" t="str">
            <v>Wulfranck Dominique</v>
          </cell>
          <cell r="C41" t="str">
            <v>Wulfranck</v>
          </cell>
          <cell r="D41" t="str">
            <v>Dominique</v>
          </cell>
          <cell r="E41" t="str">
            <v>GBR112</v>
          </cell>
          <cell r="G41">
            <v>37718</v>
          </cell>
          <cell r="H41" t="str">
            <v>De Rick Kenneth</v>
          </cell>
        </row>
        <row r="42">
          <cell r="A42">
            <v>15676</v>
          </cell>
          <cell r="B42" t="str">
            <v>Mestdagh Tony</v>
          </cell>
          <cell r="C42" t="str">
            <v>Mestdagh</v>
          </cell>
          <cell r="D42" t="str">
            <v>Tony</v>
          </cell>
          <cell r="E42" t="str">
            <v>GBR112</v>
          </cell>
          <cell r="F42">
            <v>186</v>
          </cell>
          <cell r="G42">
            <v>37739</v>
          </cell>
          <cell r="H42" t="str">
            <v>Van De Velde Lucie</v>
          </cell>
        </row>
        <row r="43">
          <cell r="A43">
            <v>15726</v>
          </cell>
          <cell r="B43" t="str">
            <v>Van Wezemael Patrick</v>
          </cell>
          <cell r="C43" t="str">
            <v>Van Wezemael</v>
          </cell>
          <cell r="D43" t="str">
            <v>Patrick</v>
          </cell>
          <cell r="E43" t="str">
            <v>GBR112</v>
          </cell>
          <cell r="F43">
            <v>501</v>
          </cell>
          <cell r="G43">
            <v>37767</v>
          </cell>
          <cell r="H43" t="str">
            <v>Van Der Beken Bart</v>
          </cell>
        </row>
        <row r="44">
          <cell r="A44">
            <v>15852</v>
          </cell>
          <cell r="B44" t="str">
            <v>Petereyns Vanessa</v>
          </cell>
          <cell r="C44" t="str">
            <v>Petereyns</v>
          </cell>
          <cell r="D44" t="str">
            <v>Vanessa</v>
          </cell>
          <cell r="E44" t="str">
            <v>GBR112</v>
          </cell>
          <cell r="F44">
            <v>251</v>
          </cell>
          <cell r="G44">
            <v>37788</v>
          </cell>
          <cell r="H44" t="str">
            <v>De Rick Kenneth</v>
          </cell>
        </row>
        <row r="45">
          <cell r="A45">
            <v>16094</v>
          </cell>
          <cell r="B45" t="str">
            <v>Bracke Peter</v>
          </cell>
          <cell r="C45" t="str">
            <v>Bracke</v>
          </cell>
          <cell r="D45" t="str">
            <v>Peter</v>
          </cell>
          <cell r="E45" t="str">
            <v>GBR112</v>
          </cell>
          <cell r="F45">
            <v>579</v>
          </cell>
          <cell r="G45">
            <v>37830</v>
          </cell>
          <cell r="H45" t="str">
            <v>De Rick Kenneth</v>
          </cell>
        </row>
        <row r="46">
          <cell r="A46">
            <v>16095</v>
          </cell>
          <cell r="B46" t="str">
            <v>Rouan Jeroen</v>
          </cell>
          <cell r="C46" t="str">
            <v>Rouan</v>
          </cell>
          <cell r="D46" t="str">
            <v>Jeroen</v>
          </cell>
          <cell r="E46" t="str">
            <v>GBR112</v>
          </cell>
          <cell r="F46">
            <v>198</v>
          </cell>
          <cell r="G46">
            <v>37830</v>
          </cell>
          <cell r="H46" t="str">
            <v>De Rick Kenneth</v>
          </cell>
        </row>
        <row r="47">
          <cell r="A47">
            <v>16098</v>
          </cell>
          <cell r="B47" t="str">
            <v>Meau Tania</v>
          </cell>
          <cell r="C47" t="str">
            <v>Meau</v>
          </cell>
          <cell r="D47" t="str">
            <v>Tania</v>
          </cell>
          <cell r="E47" t="str">
            <v>GBR112</v>
          </cell>
          <cell r="F47">
            <v>439</v>
          </cell>
          <cell r="G47">
            <v>37830</v>
          </cell>
          <cell r="H47" t="str">
            <v>Rotty Christoff</v>
          </cell>
        </row>
        <row r="48">
          <cell r="A48">
            <v>16275</v>
          </cell>
          <cell r="B48" t="str">
            <v>Devriendt Patrick</v>
          </cell>
          <cell r="C48" t="str">
            <v>Devriendt</v>
          </cell>
          <cell r="D48" t="str">
            <v>Patrick</v>
          </cell>
          <cell r="E48" t="str">
            <v>GBR112</v>
          </cell>
          <cell r="F48">
            <v>420</v>
          </cell>
          <cell r="G48">
            <v>37886</v>
          </cell>
          <cell r="H48" t="str">
            <v>Dewulf Els</v>
          </cell>
        </row>
        <row r="49">
          <cell r="A49">
            <v>16279</v>
          </cell>
          <cell r="B49" t="str">
            <v>Vermaete Cynthia</v>
          </cell>
          <cell r="C49" t="str">
            <v>Vermaete</v>
          </cell>
          <cell r="D49" t="str">
            <v>Cynthia</v>
          </cell>
          <cell r="E49" t="str">
            <v>GBR112</v>
          </cell>
          <cell r="F49">
            <v>4</v>
          </cell>
          <cell r="G49">
            <v>37886</v>
          </cell>
          <cell r="H49" t="str">
            <v>De Clercq Dominique</v>
          </cell>
        </row>
        <row r="50">
          <cell r="A50">
            <v>16280</v>
          </cell>
          <cell r="B50" t="str">
            <v>Bouckhout Ingeborg</v>
          </cell>
          <cell r="C50" t="str">
            <v>Bouckhout</v>
          </cell>
          <cell r="D50" t="str">
            <v>Ingeborg</v>
          </cell>
          <cell r="E50" t="str">
            <v>GBR112</v>
          </cell>
          <cell r="F50">
            <v>293</v>
          </cell>
          <cell r="G50">
            <v>37886</v>
          </cell>
          <cell r="H50" t="str">
            <v>Van De Velde Lucie</v>
          </cell>
        </row>
        <row r="51">
          <cell r="A51">
            <v>16282</v>
          </cell>
          <cell r="B51" t="str">
            <v>Vandecasteele Ruth</v>
          </cell>
          <cell r="C51" t="str">
            <v>Vandecasteele</v>
          </cell>
          <cell r="D51" t="str">
            <v>Ruth</v>
          </cell>
          <cell r="E51" t="str">
            <v>GBR112</v>
          </cell>
          <cell r="F51">
            <v>273</v>
          </cell>
          <cell r="G51">
            <v>37886</v>
          </cell>
          <cell r="H51" t="str">
            <v>De Rick Kenneth</v>
          </cell>
        </row>
        <row r="52">
          <cell r="A52">
            <v>16545</v>
          </cell>
          <cell r="B52" t="str">
            <v>Toch Erwin</v>
          </cell>
          <cell r="C52" t="str">
            <v>Toch</v>
          </cell>
          <cell r="D52" t="str">
            <v>Erwin</v>
          </cell>
          <cell r="E52" t="str">
            <v>GBR112</v>
          </cell>
          <cell r="F52">
            <v>535</v>
          </cell>
          <cell r="G52">
            <v>37991</v>
          </cell>
          <cell r="H52" t="str">
            <v>Van Der Beken Bart</v>
          </cell>
        </row>
        <row r="53">
          <cell r="A53">
            <v>16546</v>
          </cell>
          <cell r="B53" t="str">
            <v>Baert Rosita</v>
          </cell>
          <cell r="C53" t="str">
            <v>Baert</v>
          </cell>
          <cell r="D53" t="str">
            <v>Rosita</v>
          </cell>
          <cell r="E53" t="str">
            <v>GBR112</v>
          </cell>
          <cell r="F53">
            <v>380</v>
          </cell>
          <cell r="G53">
            <v>37991</v>
          </cell>
          <cell r="H53" t="str">
            <v>Rotty Christoff</v>
          </cell>
        </row>
        <row r="54">
          <cell r="A54">
            <v>16623</v>
          </cell>
          <cell r="B54" t="str">
            <v>Notte Nancy</v>
          </cell>
          <cell r="C54" t="str">
            <v>Notte</v>
          </cell>
          <cell r="D54" t="str">
            <v>Nancy</v>
          </cell>
          <cell r="E54" t="str">
            <v>GBR112</v>
          </cell>
          <cell r="F54">
            <v>560</v>
          </cell>
          <cell r="G54">
            <v>38019</v>
          </cell>
          <cell r="H54" t="str">
            <v>Vanhoe Els</v>
          </cell>
        </row>
        <row r="55">
          <cell r="A55">
            <v>16895</v>
          </cell>
          <cell r="B55" t="str">
            <v>Van Lauwe Freddy</v>
          </cell>
          <cell r="C55" t="str">
            <v>Van Lauwe</v>
          </cell>
          <cell r="D55" t="str">
            <v>Freddy</v>
          </cell>
          <cell r="E55" t="str">
            <v>GBR112</v>
          </cell>
          <cell r="F55">
            <v>213</v>
          </cell>
          <cell r="G55">
            <v>38103</v>
          </cell>
          <cell r="H55" t="str">
            <v>Van Der Beken Bart</v>
          </cell>
        </row>
        <row r="56">
          <cell r="A56">
            <v>16897</v>
          </cell>
          <cell r="B56" t="str">
            <v>VandenDaele Andy</v>
          </cell>
          <cell r="C56" t="str">
            <v>VandenDaele</v>
          </cell>
          <cell r="D56" t="str">
            <v>Andy</v>
          </cell>
          <cell r="E56" t="str">
            <v>GBR112</v>
          </cell>
          <cell r="F56">
            <v>416</v>
          </cell>
          <cell r="G56">
            <v>38103</v>
          </cell>
          <cell r="H56" t="str">
            <v>Storm Steven</v>
          </cell>
        </row>
        <row r="57">
          <cell r="A57">
            <v>16899</v>
          </cell>
          <cell r="B57" t="str">
            <v>Devriese Luc</v>
          </cell>
          <cell r="C57" t="str">
            <v>Devriese</v>
          </cell>
          <cell r="D57" t="str">
            <v>Luc</v>
          </cell>
          <cell r="E57" t="str">
            <v>GBR112</v>
          </cell>
          <cell r="F57">
            <v>423</v>
          </cell>
          <cell r="G57">
            <v>38103</v>
          </cell>
          <cell r="H57" t="str">
            <v>Storm Steven</v>
          </cell>
        </row>
        <row r="58">
          <cell r="A58">
            <v>16970</v>
          </cell>
          <cell r="B58" t="str">
            <v>Lootens Davy</v>
          </cell>
          <cell r="C58" t="str">
            <v>Lootens</v>
          </cell>
          <cell r="D58" t="str">
            <v>Davy</v>
          </cell>
          <cell r="E58" t="str">
            <v>GBR112</v>
          </cell>
          <cell r="F58">
            <v>358</v>
          </cell>
          <cell r="G58">
            <v>38124</v>
          </cell>
          <cell r="H58" t="str">
            <v>Van Der Beken Bart</v>
          </cell>
        </row>
        <row r="59">
          <cell r="A59">
            <v>16971</v>
          </cell>
          <cell r="B59" t="str">
            <v>Van Landschoot Jürgen</v>
          </cell>
          <cell r="C59" t="str">
            <v>Van Landschoot</v>
          </cell>
          <cell r="D59" t="str">
            <v>Jürgen</v>
          </cell>
          <cell r="E59" t="str">
            <v>GBR112</v>
          </cell>
          <cell r="F59">
            <v>384</v>
          </cell>
          <cell r="G59">
            <v>38124</v>
          </cell>
          <cell r="H59" t="str">
            <v>Van Der Beken Bart</v>
          </cell>
        </row>
        <row r="60">
          <cell r="A60">
            <v>17555</v>
          </cell>
          <cell r="B60" t="str">
            <v>DeBisschop Wendy</v>
          </cell>
          <cell r="C60" t="str">
            <v>DeBisschop</v>
          </cell>
          <cell r="D60" t="str">
            <v>Wendy</v>
          </cell>
          <cell r="E60" t="str">
            <v>GBR112</v>
          </cell>
          <cell r="F60">
            <v>611</v>
          </cell>
          <cell r="G60">
            <v>38222</v>
          </cell>
          <cell r="H60" t="str">
            <v>Van Der Beken Bart</v>
          </cell>
        </row>
        <row r="61">
          <cell r="A61">
            <v>17566</v>
          </cell>
          <cell r="B61" t="str">
            <v>Praet Reginald</v>
          </cell>
          <cell r="C61" t="str">
            <v>Praet</v>
          </cell>
          <cell r="D61" t="str">
            <v>Reginald</v>
          </cell>
          <cell r="E61" t="str">
            <v>GBR112</v>
          </cell>
          <cell r="F61">
            <v>312</v>
          </cell>
          <cell r="G61">
            <v>38222</v>
          </cell>
          <cell r="H61" t="str">
            <v>Van Der Beken Bart</v>
          </cell>
        </row>
        <row r="62">
          <cell r="A62">
            <v>17931</v>
          </cell>
          <cell r="B62" t="str">
            <v>Idrisi Hasana</v>
          </cell>
          <cell r="C62" t="str">
            <v>Idrisi</v>
          </cell>
          <cell r="D62" t="str">
            <v>Hasana</v>
          </cell>
          <cell r="E62" t="str">
            <v>GBR112</v>
          </cell>
          <cell r="F62">
            <v>53</v>
          </cell>
          <cell r="G62">
            <v>38390</v>
          </cell>
          <cell r="H62" t="str">
            <v>Dewulf Els</v>
          </cell>
        </row>
        <row r="63">
          <cell r="A63">
            <v>17951</v>
          </cell>
          <cell r="B63" t="str">
            <v>Lega Claude</v>
          </cell>
          <cell r="C63" t="str">
            <v>Lega</v>
          </cell>
          <cell r="D63" t="str">
            <v>Claude</v>
          </cell>
          <cell r="E63" t="str">
            <v>GBR112</v>
          </cell>
          <cell r="F63">
            <v>227</v>
          </cell>
          <cell r="G63">
            <v>38404</v>
          </cell>
          <cell r="H63" t="str">
            <v>Van Der Beken Bart</v>
          </cell>
        </row>
        <row r="64">
          <cell r="A64">
            <v>17954</v>
          </cell>
          <cell r="B64" t="str">
            <v>Vanlerberghe Rudy</v>
          </cell>
          <cell r="C64" t="str">
            <v>Vanlerberghe</v>
          </cell>
          <cell r="D64" t="str">
            <v>Rudy</v>
          </cell>
          <cell r="E64" t="str">
            <v>GBR112</v>
          </cell>
          <cell r="F64">
            <v>171</v>
          </cell>
          <cell r="G64">
            <v>38404</v>
          </cell>
          <cell r="H64" t="str">
            <v>Van De Velde Lucie</v>
          </cell>
        </row>
        <row r="65">
          <cell r="A65">
            <v>18051</v>
          </cell>
          <cell r="B65" t="str">
            <v>Van Wittenberge Filip</v>
          </cell>
          <cell r="C65" t="str">
            <v>Van Wittenberge</v>
          </cell>
          <cell r="D65" t="str">
            <v>Filip</v>
          </cell>
          <cell r="E65" t="str">
            <v>GBR112</v>
          </cell>
          <cell r="F65">
            <v>76</v>
          </cell>
          <cell r="G65">
            <v>38446</v>
          </cell>
          <cell r="H65" t="str">
            <v>Rotty Christoff</v>
          </cell>
        </row>
        <row r="66">
          <cell r="A66">
            <v>18139</v>
          </cell>
          <cell r="B66" t="str">
            <v>David Kurt</v>
          </cell>
          <cell r="C66" t="str">
            <v>David</v>
          </cell>
          <cell r="D66" t="str">
            <v>Kurt</v>
          </cell>
          <cell r="E66" t="str">
            <v>GBR112</v>
          </cell>
          <cell r="F66">
            <v>348</v>
          </cell>
          <cell r="G66">
            <v>38460</v>
          </cell>
          <cell r="H66" t="str">
            <v>Van Der Beken Bart</v>
          </cell>
        </row>
        <row r="67">
          <cell r="A67">
            <v>18141</v>
          </cell>
          <cell r="B67" t="str">
            <v>Platteau Lydie</v>
          </cell>
          <cell r="C67" t="str">
            <v>Platteau</v>
          </cell>
          <cell r="D67" t="str">
            <v>Lydie</v>
          </cell>
          <cell r="E67" t="str">
            <v>GBR112</v>
          </cell>
          <cell r="F67">
            <v>68</v>
          </cell>
          <cell r="G67">
            <v>38460</v>
          </cell>
          <cell r="H67" t="str">
            <v>Rotty Christoff</v>
          </cell>
        </row>
        <row r="68">
          <cell r="A68">
            <v>18173</v>
          </cell>
          <cell r="B68" t="str">
            <v>De Vos Günter</v>
          </cell>
          <cell r="C68" t="str">
            <v>De Vos</v>
          </cell>
          <cell r="D68" t="str">
            <v>Günter</v>
          </cell>
          <cell r="E68" t="str">
            <v>GBR112</v>
          </cell>
          <cell r="F68">
            <v>580</v>
          </cell>
          <cell r="G68">
            <v>38481</v>
          </cell>
          <cell r="H68" t="str">
            <v>De Rick Kenneth</v>
          </cell>
        </row>
        <row r="69">
          <cell r="A69">
            <v>18624</v>
          </cell>
          <cell r="B69" t="str">
            <v>Azahaf M'Hamed</v>
          </cell>
          <cell r="C69" t="str">
            <v>Azahaf</v>
          </cell>
          <cell r="D69" t="str">
            <v>M'Hamed</v>
          </cell>
          <cell r="E69" t="str">
            <v>GBR112</v>
          </cell>
          <cell r="F69">
            <v>634</v>
          </cell>
          <cell r="G69">
            <v>38593</v>
          </cell>
          <cell r="H69" t="str">
            <v>Van Der Beken Bart</v>
          </cell>
        </row>
        <row r="70">
          <cell r="A70">
            <v>19016</v>
          </cell>
          <cell r="B70" t="str">
            <v>Joos Veronique</v>
          </cell>
          <cell r="C70" t="str">
            <v>Joos</v>
          </cell>
          <cell r="D70" t="str">
            <v>Veronique</v>
          </cell>
          <cell r="E70" t="str">
            <v>GBR112</v>
          </cell>
          <cell r="F70">
            <v>97</v>
          </cell>
          <cell r="G70">
            <v>38775</v>
          </cell>
          <cell r="H70" t="str">
            <v>Vanhoe Els</v>
          </cell>
        </row>
        <row r="71">
          <cell r="A71">
            <v>19086</v>
          </cell>
          <cell r="B71" t="str">
            <v>Fiers Ben</v>
          </cell>
          <cell r="C71" t="str">
            <v>Fiers</v>
          </cell>
          <cell r="D71" t="str">
            <v>Ben</v>
          </cell>
          <cell r="E71" t="str">
            <v>GBR112</v>
          </cell>
          <cell r="F71">
            <v>264</v>
          </cell>
          <cell r="G71">
            <v>38789</v>
          </cell>
          <cell r="H71" t="str">
            <v>Storm Steven</v>
          </cell>
        </row>
        <row r="72">
          <cell r="A72">
            <v>19087</v>
          </cell>
          <cell r="B72" t="str">
            <v>Deschepper Peter</v>
          </cell>
          <cell r="C72" t="str">
            <v>Deschepper</v>
          </cell>
          <cell r="D72" t="str">
            <v>Peter</v>
          </cell>
          <cell r="E72" t="str">
            <v>GBR112</v>
          </cell>
          <cell r="F72">
            <v>562</v>
          </cell>
          <cell r="G72">
            <v>38789</v>
          </cell>
          <cell r="H72" t="str">
            <v>Vanhoe Els</v>
          </cell>
        </row>
        <row r="73">
          <cell r="A73">
            <v>19088</v>
          </cell>
          <cell r="B73" t="str">
            <v>Remmery David</v>
          </cell>
          <cell r="C73" t="str">
            <v>Remmery</v>
          </cell>
          <cell r="D73" t="str">
            <v>David</v>
          </cell>
          <cell r="E73" t="str">
            <v>GBR112</v>
          </cell>
          <cell r="F73">
            <v>275</v>
          </cell>
          <cell r="G73">
            <v>38789</v>
          </cell>
          <cell r="H73" t="str">
            <v>De Rick Kenneth</v>
          </cell>
        </row>
        <row r="74">
          <cell r="A74">
            <v>19127</v>
          </cell>
          <cell r="B74" t="str">
            <v>De Clercq Wendy</v>
          </cell>
          <cell r="C74" t="str">
            <v>De Clercq</v>
          </cell>
          <cell r="D74" t="str">
            <v>Wendy</v>
          </cell>
          <cell r="E74" t="str">
            <v>GBR112</v>
          </cell>
          <cell r="F74">
            <v>476</v>
          </cell>
          <cell r="G74">
            <v>38810</v>
          </cell>
          <cell r="H74" t="str">
            <v>Rotty Christoff</v>
          </cell>
        </row>
        <row r="75">
          <cell r="A75">
            <v>19219</v>
          </cell>
          <cell r="B75" t="str">
            <v>Aspeslagh Geert</v>
          </cell>
          <cell r="C75" t="str">
            <v>Aspeslagh</v>
          </cell>
          <cell r="D75" t="str">
            <v>Geert</v>
          </cell>
          <cell r="E75" t="str">
            <v>GBR112</v>
          </cell>
          <cell r="F75">
            <v>461</v>
          </cell>
          <cell r="G75">
            <v>38831</v>
          </cell>
          <cell r="H75" t="str">
            <v>Van De Velde Lucie</v>
          </cell>
        </row>
        <row r="76">
          <cell r="A76">
            <v>19249</v>
          </cell>
          <cell r="B76" t="str">
            <v>Odaci Kadir</v>
          </cell>
          <cell r="C76" t="str">
            <v>Odaci</v>
          </cell>
          <cell r="D76" t="str">
            <v>Kadir</v>
          </cell>
          <cell r="E76" t="str">
            <v>GBR112</v>
          </cell>
          <cell r="F76">
            <v>297</v>
          </cell>
          <cell r="G76">
            <v>38852</v>
          </cell>
          <cell r="H76" t="str">
            <v>Van De Velde Lucie</v>
          </cell>
        </row>
        <row r="77">
          <cell r="A77">
            <v>19251</v>
          </cell>
          <cell r="B77" t="str">
            <v>Vanooteghem Johnny</v>
          </cell>
          <cell r="C77" t="str">
            <v>Vanooteghem</v>
          </cell>
          <cell r="D77" t="str">
            <v>Johnny</v>
          </cell>
          <cell r="E77" t="str">
            <v>GBR112</v>
          </cell>
          <cell r="G77">
            <v>38852</v>
          </cell>
          <cell r="H77" t="str">
            <v>De Clercq Dominique</v>
          </cell>
        </row>
        <row r="78">
          <cell r="A78">
            <v>19520</v>
          </cell>
          <cell r="B78" t="str">
            <v>Van Steenbergen Kris</v>
          </cell>
          <cell r="C78" t="str">
            <v>Van Steenbergen</v>
          </cell>
          <cell r="D78" t="str">
            <v>Kris</v>
          </cell>
          <cell r="E78" t="str">
            <v>GBR112</v>
          </cell>
          <cell r="F78">
            <v>52</v>
          </cell>
          <cell r="G78">
            <v>38908</v>
          </cell>
          <cell r="H78" t="str">
            <v>Dewulf Els</v>
          </cell>
        </row>
        <row r="79">
          <cell r="A79">
            <v>19675</v>
          </cell>
          <cell r="B79" t="str">
            <v>Arampatzis Stavros</v>
          </cell>
          <cell r="C79" t="str">
            <v>Arampatzis</v>
          </cell>
          <cell r="D79" t="str">
            <v>Stavros</v>
          </cell>
          <cell r="E79" t="str">
            <v>GBR112</v>
          </cell>
          <cell r="F79">
            <v>345</v>
          </cell>
          <cell r="G79">
            <v>38929</v>
          </cell>
          <cell r="H79" t="str">
            <v>De Rick Kenneth</v>
          </cell>
        </row>
        <row r="80">
          <cell r="A80">
            <v>19676</v>
          </cell>
          <cell r="B80" t="str">
            <v>Deschrijver Ivan</v>
          </cell>
          <cell r="C80" t="str">
            <v>Deschrijver</v>
          </cell>
          <cell r="D80" t="str">
            <v>Ivan</v>
          </cell>
          <cell r="E80" t="str">
            <v>GBR112</v>
          </cell>
          <cell r="F80">
            <v>347</v>
          </cell>
          <cell r="G80">
            <v>38929</v>
          </cell>
          <cell r="H80" t="str">
            <v>Storm Steven</v>
          </cell>
        </row>
        <row r="81">
          <cell r="A81">
            <v>19691</v>
          </cell>
          <cell r="B81" t="str">
            <v>Akhayad Ahmed</v>
          </cell>
          <cell r="C81" t="str">
            <v>Akhayad</v>
          </cell>
          <cell r="D81" t="str">
            <v>Ahmed</v>
          </cell>
          <cell r="E81" t="str">
            <v>GBR112</v>
          </cell>
          <cell r="F81">
            <v>506</v>
          </cell>
          <cell r="G81">
            <v>38936</v>
          </cell>
          <cell r="H81" t="str">
            <v>Vanhoe Els</v>
          </cell>
        </row>
        <row r="82">
          <cell r="A82">
            <v>19766</v>
          </cell>
          <cell r="B82" t="str">
            <v>De Boeck Johannes</v>
          </cell>
          <cell r="C82" t="str">
            <v>De Boeck</v>
          </cell>
          <cell r="D82" t="str">
            <v>Johannes</v>
          </cell>
          <cell r="E82" t="str">
            <v>GBR112</v>
          </cell>
          <cell r="G82">
            <v>38957</v>
          </cell>
          <cell r="H82" t="str">
            <v>Van Der Beken Bart</v>
          </cell>
        </row>
        <row r="83">
          <cell r="A83">
            <v>19810</v>
          </cell>
          <cell r="B83" t="str">
            <v>Willems Kristine</v>
          </cell>
          <cell r="C83" t="str">
            <v>Willems</v>
          </cell>
          <cell r="D83" t="str">
            <v>Kristine</v>
          </cell>
          <cell r="E83" t="str">
            <v>GBR112</v>
          </cell>
          <cell r="F83">
            <v>161</v>
          </cell>
          <cell r="G83">
            <v>38971</v>
          </cell>
          <cell r="H83" t="str">
            <v>De Clercq Dominique</v>
          </cell>
        </row>
        <row r="84">
          <cell r="A84">
            <v>19848</v>
          </cell>
          <cell r="B84" t="str">
            <v>Gevaert Patrick</v>
          </cell>
          <cell r="C84" t="str">
            <v>Gevaert</v>
          </cell>
          <cell r="D84" t="str">
            <v>Patrick</v>
          </cell>
          <cell r="E84" t="str">
            <v>GBR112</v>
          </cell>
          <cell r="F84">
            <v>353</v>
          </cell>
          <cell r="G84">
            <v>38992</v>
          </cell>
          <cell r="H84" t="str">
            <v>Storm Steven</v>
          </cell>
        </row>
        <row r="85">
          <cell r="A85">
            <v>19917</v>
          </cell>
          <cell r="B85" t="str">
            <v>Vandevyvere Frank</v>
          </cell>
          <cell r="C85" t="str">
            <v>Vandevyvere</v>
          </cell>
          <cell r="D85" t="str">
            <v>Frank</v>
          </cell>
          <cell r="E85" t="str">
            <v>GBR112</v>
          </cell>
          <cell r="F85">
            <v>532</v>
          </cell>
          <cell r="G85">
            <v>39006</v>
          </cell>
          <cell r="H85" t="str">
            <v>Van Der Beken Bart</v>
          </cell>
        </row>
        <row r="86">
          <cell r="A86">
            <v>20375</v>
          </cell>
          <cell r="B86" t="str">
            <v>Verlaeckt Lincey</v>
          </cell>
          <cell r="C86" t="str">
            <v>Verlaeckt</v>
          </cell>
          <cell r="D86" t="str">
            <v>Lincey</v>
          </cell>
          <cell r="E86" t="str">
            <v>E17126</v>
          </cell>
          <cell r="F86">
            <v>402</v>
          </cell>
          <cell r="G86">
            <v>39132</v>
          </cell>
          <cell r="H86" t="str">
            <v>De Clercq Dominique</v>
          </cell>
        </row>
        <row r="87">
          <cell r="A87">
            <v>20376</v>
          </cell>
          <cell r="B87" t="str">
            <v>Delamper Mario</v>
          </cell>
          <cell r="C87" t="str">
            <v>Delamper</v>
          </cell>
          <cell r="D87" t="str">
            <v>Mario</v>
          </cell>
          <cell r="E87" t="str">
            <v>GBR112</v>
          </cell>
          <cell r="F87">
            <v>155</v>
          </cell>
          <cell r="G87">
            <v>39132</v>
          </cell>
          <cell r="H87" t="str">
            <v>Storm Steven</v>
          </cell>
        </row>
        <row r="88">
          <cell r="A88">
            <v>20400</v>
          </cell>
          <cell r="B88" t="str">
            <v>Allan Kenneth</v>
          </cell>
          <cell r="C88" t="str">
            <v>Allan</v>
          </cell>
          <cell r="D88" t="str">
            <v>Kenneth</v>
          </cell>
          <cell r="E88" t="str">
            <v>GBR112</v>
          </cell>
          <cell r="F88">
            <v>157</v>
          </cell>
          <cell r="G88">
            <v>39146</v>
          </cell>
          <cell r="H88" t="str">
            <v>De Clercq Dominique</v>
          </cell>
        </row>
        <row r="89">
          <cell r="A89">
            <v>20402</v>
          </cell>
          <cell r="B89" t="str">
            <v>Van Grootenbrulle Kurt</v>
          </cell>
          <cell r="C89" t="str">
            <v>Van Grootenbrulle</v>
          </cell>
          <cell r="D89" t="str">
            <v>Kurt</v>
          </cell>
          <cell r="E89" t="str">
            <v>GBR112</v>
          </cell>
          <cell r="F89">
            <v>172</v>
          </cell>
          <cell r="G89">
            <v>39146</v>
          </cell>
          <cell r="H89" t="str">
            <v>Dewulf Els</v>
          </cell>
        </row>
        <row r="90">
          <cell r="A90">
            <v>20404</v>
          </cell>
          <cell r="B90" t="str">
            <v>Vranken Kenneth</v>
          </cell>
          <cell r="C90" t="str">
            <v>Vranken</v>
          </cell>
          <cell r="D90" t="str">
            <v>Kenneth</v>
          </cell>
          <cell r="E90" t="str">
            <v>GBR112</v>
          </cell>
          <cell r="F90">
            <v>218</v>
          </cell>
          <cell r="G90">
            <v>39146</v>
          </cell>
          <cell r="H90" t="str">
            <v>Rotty Christoff</v>
          </cell>
        </row>
        <row r="91">
          <cell r="A91">
            <v>20476</v>
          </cell>
          <cell r="B91" t="str">
            <v>Ghysels Erik</v>
          </cell>
          <cell r="C91" t="str">
            <v>Ghysels</v>
          </cell>
          <cell r="D91" t="str">
            <v>Erik</v>
          </cell>
          <cell r="E91" t="str">
            <v>E17126</v>
          </cell>
          <cell r="F91">
            <v>83</v>
          </cell>
          <cell r="G91">
            <v>39160</v>
          </cell>
          <cell r="H91" t="str">
            <v>De Clercq Dominique</v>
          </cell>
        </row>
        <row r="92">
          <cell r="A92">
            <v>20542</v>
          </cell>
          <cell r="B92" t="str">
            <v>Kizilmese Emra</v>
          </cell>
          <cell r="C92" t="str">
            <v>Kizilmese</v>
          </cell>
          <cell r="D92" t="str">
            <v>Emra</v>
          </cell>
          <cell r="E92" t="str">
            <v>GBR112</v>
          </cell>
          <cell r="F92">
            <v>267</v>
          </cell>
          <cell r="G92">
            <v>39174</v>
          </cell>
          <cell r="H92" t="str">
            <v>Dewulf Els</v>
          </cell>
        </row>
        <row r="93">
          <cell r="A93">
            <v>20543</v>
          </cell>
          <cell r="B93" t="str">
            <v>Pekdemir Ilkmur</v>
          </cell>
          <cell r="C93" t="str">
            <v>Pekdemir</v>
          </cell>
          <cell r="D93" t="str">
            <v>Ilkmur</v>
          </cell>
          <cell r="E93" t="str">
            <v>GBR112</v>
          </cell>
          <cell r="F93">
            <v>290</v>
          </cell>
          <cell r="G93">
            <v>39174</v>
          </cell>
          <cell r="H93" t="str">
            <v>De Rick Kenneth</v>
          </cell>
        </row>
        <row r="94">
          <cell r="A94">
            <v>20610</v>
          </cell>
          <cell r="B94" t="str">
            <v>Imschoot Frederik</v>
          </cell>
          <cell r="C94" t="str">
            <v>Imschoot</v>
          </cell>
          <cell r="D94" t="str">
            <v>Frederik</v>
          </cell>
          <cell r="E94" t="str">
            <v>GBR112</v>
          </cell>
          <cell r="F94">
            <v>279</v>
          </cell>
          <cell r="G94">
            <v>39188</v>
          </cell>
          <cell r="H94" t="str">
            <v>Storm Steven</v>
          </cell>
        </row>
        <row r="95">
          <cell r="A95">
            <v>20612</v>
          </cell>
          <cell r="B95" t="str">
            <v>Vonck Sandra</v>
          </cell>
          <cell r="C95" t="str">
            <v>Vonck</v>
          </cell>
          <cell r="D95" t="str">
            <v>Sandra</v>
          </cell>
          <cell r="E95" t="str">
            <v>GBR112</v>
          </cell>
          <cell r="F95">
            <v>334</v>
          </cell>
          <cell r="G95">
            <v>39188</v>
          </cell>
          <cell r="H95" t="str">
            <v>Storm Steven</v>
          </cell>
        </row>
        <row r="96">
          <cell r="A96">
            <v>20653</v>
          </cell>
          <cell r="B96" t="str">
            <v>Mestdag Marius</v>
          </cell>
          <cell r="C96" t="str">
            <v>Mestdag</v>
          </cell>
          <cell r="D96" t="str">
            <v>Marius</v>
          </cell>
          <cell r="E96" t="str">
            <v>GBR112</v>
          </cell>
          <cell r="F96">
            <v>341</v>
          </cell>
          <cell r="G96">
            <v>39204</v>
          </cell>
          <cell r="H96" t="str">
            <v>Van Der Beken Bart</v>
          </cell>
        </row>
        <row r="97">
          <cell r="A97">
            <v>20655</v>
          </cell>
          <cell r="B97" t="str">
            <v>Rivière Andy</v>
          </cell>
          <cell r="C97" t="str">
            <v>Rivière</v>
          </cell>
          <cell r="D97" t="str">
            <v>Andy</v>
          </cell>
          <cell r="E97" t="str">
            <v>GBR112</v>
          </cell>
          <cell r="F97">
            <v>344</v>
          </cell>
          <cell r="G97">
            <v>39204</v>
          </cell>
          <cell r="H97" t="str">
            <v>Dewulf Els</v>
          </cell>
        </row>
        <row r="98">
          <cell r="A98">
            <v>20656</v>
          </cell>
          <cell r="B98" t="str">
            <v>Vonck Bart</v>
          </cell>
          <cell r="C98" t="str">
            <v>Vonck</v>
          </cell>
          <cell r="D98" t="str">
            <v>Bart</v>
          </cell>
          <cell r="E98" t="str">
            <v>GBR112</v>
          </cell>
          <cell r="F98">
            <v>502</v>
          </cell>
          <cell r="G98">
            <v>39204</v>
          </cell>
          <cell r="H98" t="str">
            <v>Vanhoe Els</v>
          </cell>
        </row>
        <row r="99">
          <cell r="A99">
            <v>20705</v>
          </cell>
          <cell r="B99" t="str">
            <v>Van Den Neste Diederik</v>
          </cell>
          <cell r="C99" t="str">
            <v>Van Den Neste</v>
          </cell>
          <cell r="D99" t="str">
            <v>Diederik</v>
          </cell>
          <cell r="E99" t="str">
            <v>GBR112</v>
          </cell>
          <cell r="F99">
            <v>319</v>
          </cell>
          <cell r="G99">
            <v>39223</v>
          </cell>
          <cell r="H99" t="str">
            <v>Vanhoe Els</v>
          </cell>
        </row>
        <row r="100">
          <cell r="A100">
            <v>20954</v>
          </cell>
          <cell r="B100" t="str">
            <v>In Murat</v>
          </cell>
          <cell r="C100" t="str">
            <v>In</v>
          </cell>
          <cell r="D100" t="str">
            <v>Murat</v>
          </cell>
          <cell r="E100" t="str">
            <v>GBR112</v>
          </cell>
          <cell r="F100">
            <v>244</v>
          </cell>
          <cell r="G100">
            <v>39272</v>
          </cell>
          <cell r="H100" t="str">
            <v>Dewulf Els</v>
          </cell>
        </row>
        <row r="101">
          <cell r="A101">
            <v>21121</v>
          </cell>
          <cell r="B101" t="str">
            <v>Laforce Mike</v>
          </cell>
          <cell r="C101" t="str">
            <v>Laforce</v>
          </cell>
          <cell r="D101" t="str">
            <v>Mike</v>
          </cell>
          <cell r="E101" t="str">
            <v>GBR112</v>
          </cell>
          <cell r="F101">
            <v>309</v>
          </cell>
          <cell r="G101">
            <v>39286</v>
          </cell>
          <cell r="H101" t="str">
            <v>De Rick Kenneth</v>
          </cell>
        </row>
        <row r="102">
          <cell r="A102">
            <v>21124</v>
          </cell>
          <cell r="B102" t="str">
            <v>De Ridder Danny</v>
          </cell>
          <cell r="C102" t="str">
            <v>De Ridder</v>
          </cell>
          <cell r="D102" t="str">
            <v>Danny</v>
          </cell>
          <cell r="E102" t="str">
            <v>GBR112</v>
          </cell>
          <cell r="F102">
            <v>360</v>
          </cell>
          <cell r="G102">
            <v>39286</v>
          </cell>
          <cell r="H102" t="str">
            <v>Rotty Christoff</v>
          </cell>
        </row>
        <row r="103">
          <cell r="A103">
            <v>21160</v>
          </cell>
          <cell r="B103" t="str">
            <v>Alkanat Metin</v>
          </cell>
          <cell r="C103" t="str">
            <v>Alkanat</v>
          </cell>
          <cell r="D103" t="str">
            <v>Metin</v>
          </cell>
          <cell r="E103" t="str">
            <v>GBR112</v>
          </cell>
          <cell r="F103">
            <v>403</v>
          </cell>
          <cell r="G103">
            <v>39300</v>
          </cell>
          <cell r="H103" t="str">
            <v>Storm Steven</v>
          </cell>
        </row>
        <row r="104">
          <cell r="A104">
            <v>21249</v>
          </cell>
          <cell r="B104" t="str">
            <v>Sari Cemâl</v>
          </cell>
          <cell r="C104" t="str">
            <v>Sari</v>
          </cell>
          <cell r="D104" t="str">
            <v>Cemâl</v>
          </cell>
          <cell r="E104" t="str">
            <v>GBR112</v>
          </cell>
          <cell r="F104">
            <v>139</v>
          </cell>
          <cell r="G104">
            <v>39314</v>
          </cell>
          <cell r="H104" t="str">
            <v>Rotty Christoff</v>
          </cell>
        </row>
        <row r="105">
          <cell r="A105">
            <v>21382</v>
          </cell>
          <cell r="B105" t="str">
            <v>De Volder Marc</v>
          </cell>
          <cell r="C105" t="str">
            <v>De Volder</v>
          </cell>
          <cell r="D105" t="str">
            <v>Marc</v>
          </cell>
          <cell r="E105" t="str">
            <v>GBR112</v>
          </cell>
          <cell r="F105">
            <v>281</v>
          </cell>
          <cell r="G105">
            <v>39356</v>
          </cell>
          <cell r="H105" t="str">
            <v>Dewulf Els</v>
          </cell>
        </row>
        <row r="106">
          <cell r="A106">
            <v>21383</v>
          </cell>
          <cell r="B106" t="str">
            <v>De Moor Ronny</v>
          </cell>
          <cell r="C106" t="str">
            <v>De Moor</v>
          </cell>
          <cell r="D106" t="str">
            <v>Ronny</v>
          </cell>
          <cell r="E106" t="str">
            <v>GBR112</v>
          </cell>
          <cell r="F106">
            <v>291</v>
          </cell>
          <cell r="G106">
            <v>39356</v>
          </cell>
          <cell r="H106" t="str">
            <v>De Rick Kenneth</v>
          </cell>
        </row>
        <row r="107">
          <cell r="A107">
            <v>21424</v>
          </cell>
          <cell r="B107" t="str">
            <v>Verstichel Jethro</v>
          </cell>
          <cell r="C107" t="str">
            <v>Verstichel</v>
          </cell>
          <cell r="D107" t="str">
            <v>Jethro</v>
          </cell>
          <cell r="E107" t="str">
            <v>GBR112</v>
          </cell>
          <cell r="F107">
            <v>118</v>
          </cell>
          <cell r="G107">
            <v>39370</v>
          </cell>
          <cell r="H107" t="str">
            <v>Dewulf Els</v>
          </cell>
        </row>
        <row r="108">
          <cell r="A108">
            <v>21428</v>
          </cell>
          <cell r="B108" t="str">
            <v>Anjuijn Vanessa</v>
          </cell>
          <cell r="C108" t="str">
            <v>Anjuijn</v>
          </cell>
          <cell r="D108" t="str">
            <v>Vanessa</v>
          </cell>
          <cell r="E108" t="str">
            <v>GBR112</v>
          </cell>
          <cell r="F108">
            <v>328</v>
          </cell>
          <cell r="G108">
            <v>39370</v>
          </cell>
          <cell r="H108" t="str">
            <v>Vanhoe Els</v>
          </cell>
        </row>
        <row r="109">
          <cell r="A109">
            <v>21429</v>
          </cell>
          <cell r="B109" t="str">
            <v>Doolaege Yasin</v>
          </cell>
          <cell r="C109" t="str">
            <v>Doolaege</v>
          </cell>
          <cell r="D109" t="str">
            <v>Yasin</v>
          </cell>
          <cell r="E109" t="str">
            <v>GBR112</v>
          </cell>
          <cell r="F109">
            <v>141</v>
          </cell>
          <cell r="G109">
            <v>39370</v>
          </cell>
          <cell r="H109" t="str">
            <v>Storm Steven</v>
          </cell>
        </row>
        <row r="110">
          <cell r="A110">
            <v>21466</v>
          </cell>
          <cell r="B110" t="str">
            <v>Beeckman Alex</v>
          </cell>
          <cell r="C110" t="str">
            <v>Beeckman</v>
          </cell>
          <cell r="D110" t="str">
            <v>Alex</v>
          </cell>
          <cell r="E110" t="str">
            <v>GBR112</v>
          </cell>
          <cell r="F110">
            <v>395</v>
          </cell>
          <cell r="G110">
            <v>39391</v>
          </cell>
          <cell r="H110" t="str">
            <v>Van De Velde Lucie</v>
          </cell>
        </row>
        <row r="111">
          <cell r="A111">
            <v>21506</v>
          </cell>
          <cell r="B111" t="str">
            <v>Kesteloot Patrick</v>
          </cell>
          <cell r="C111" t="str">
            <v>Kesteloot</v>
          </cell>
          <cell r="D111" t="str">
            <v>Patrick</v>
          </cell>
          <cell r="E111" t="str">
            <v>GBR112</v>
          </cell>
          <cell r="F111">
            <v>166</v>
          </cell>
          <cell r="G111">
            <v>39405</v>
          </cell>
          <cell r="H111" t="str">
            <v>Storm Steven</v>
          </cell>
        </row>
        <row r="112">
          <cell r="A112">
            <v>21507</v>
          </cell>
          <cell r="B112" t="str">
            <v>De Cooman Bart</v>
          </cell>
          <cell r="C112" t="str">
            <v>De Cooman</v>
          </cell>
          <cell r="D112" t="str">
            <v>Bart</v>
          </cell>
          <cell r="E112" t="str">
            <v>GBR112</v>
          </cell>
          <cell r="F112">
            <v>284</v>
          </cell>
          <cell r="G112">
            <v>39405</v>
          </cell>
          <cell r="H112" t="str">
            <v>De Rick Kenneth</v>
          </cell>
        </row>
        <row r="113">
          <cell r="A113">
            <v>21509</v>
          </cell>
          <cell r="B113" t="str">
            <v>De Craemer Kris</v>
          </cell>
          <cell r="C113" t="str">
            <v>De Craemer</v>
          </cell>
          <cell r="D113" t="str">
            <v>Kris</v>
          </cell>
          <cell r="E113" t="str">
            <v>GBR112</v>
          </cell>
          <cell r="F113">
            <v>274</v>
          </cell>
          <cell r="G113">
            <v>39405</v>
          </cell>
          <cell r="H113" t="str">
            <v>De Clercq Dominique</v>
          </cell>
        </row>
        <row r="114">
          <cell r="A114">
            <v>21581</v>
          </cell>
          <cell r="B114" t="str">
            <v>Vanderstraeten Franky</v>
          </cell>
          <cell r="C114" t="str">
            <v>Vanderstraeten</v>
          </cell>
          <cell r="D114" t="str">
            <v>Franky</v>
          </cell>
          <cell r="E114" t="str">
            <v>GBR112</v>
          </cell>
          <cell r="F114">
            <v>148</v>
          </cell>
          <cell r="G114">
            <v>39433</v>
          </cell>
          <cell r="H114" t="str">
            <v>Van De Velde Lucie</v>
          </cell>
        </row>
        <row r="115">
          <cell r="A115">
            <v>21662</v>
          </cell>
          <cell r="B115" t="str">
            <v>Van Hulle Werner</v>
          </cell>
          <cell r="C115" t="str">
            <v>Van Hulle</v>
          </cell>
          <cell r="D115" t="str">
            <v>Werner</v>
          </cell>
          <cell r="E115" t="str">
            <v>GBR112</v>
          </cell>
          <cell r="F115">
            <v>428</v>
          </cell>
          <cell r="G115">
            <v>39454</v>
          </cell>
          <cell r="H115" t="str">
            <v>Dewulf Els</v>
          </cell>
        </row>
        <row r="116">
          <cell r="A116">
            <v>21738</v>
          </cell>
          <cell r="B116" t="str">
            <v>Horemans Jan</v>
          </cell>
          <cell r="C116" t="str">
            <v>Horemans</v>
          </cell>
          <cell r="D116" t="str">
            <v>Jan</v>
          </cell>
          <cell r="E116" t="str">
            <v>GBR112</v>
          </cell>
          <cell r="F116">
            <v>431</v>
          </cell>
          <cell r="G116">
            <v>39468</v>
          </cell>
          <cell r="H116" t="str">
            <v>Dewulf Els</v>
          </cell>
        </row>
        <row r="117">
          <cell r="A117">
            <v>21809</v>
          </cell>
          <cell r="B117" t="str">
            <v>Dejonghe Elisa</v>
          </cell>
          <cell r="C117" t="str">
            <v>Dejonghe</v>
          </cell>
          <cell r="D117" t="str">
            <v>Elisa</v>
          </cell>
          <cell r="E117" t="str">
            <v>GBR112</v>
          </cell>
          <cell r="F117">
            <v>438</v>
          </cell>
          <cell r="G117">
            <v>39496</v>
          </cell>
          <cell r="H117" t="str">
            <v>Dewulf Els</v>
          </cell>
        </row>
        <row r="118">
          <cell r="A118">
            <v>21845</v>
          </cell>
          <cell r="B118" t="str">
            <v>Vanooteghem Davey</v>
          </cell>
          <cell r="C118" t="str">
            <v>Vanooteghem</v>
          </cell>
          <cell r="D118" t="str">
            <v>Davey</v>
          </cell>
          <cell r="E118" t="str">
            <v>GBR112</v>
          </cell>
          <cell r="F118">
            <v>443</v>
          </cell>
          <cell r="G118">
            <v>39510</v>
          </cell>
          <cell r="H118" t="str">
            <v>Storm Steven</v>
          </cell>
        </row>
        <row r="119">
          <cell r="A119">
            <v>21892</v>
          </cell>
          <cell r="B119" t="str">
            <v>Dierick Steve</v>
          </cell>
          <cell r="C119" t="str">
            <v>Dierick</v>
          </cell>
          <cell r="D119" t="str">
            <v>Steve</v>
          </cell>
          <cell r="E119" t="str">
            <v>GBR112</v>
          </cell>
          <cell r="F119">
            <v>81</v>
          </cell>
          <cell r="G119">
            <v>39524</v>
          </cell>
          <cell r="H119" t="str">
            <v>Storm Steven</v>
          </cell>
        </row>
        <row r="120">
          <cell r="A120">
            <v>22042</v>
          </cell>
          <cell r="B120" t="str">
            <v>La Fontaine Bart</v>
          </cell>
          <cell r="C120" t="str">
            <v>La Fontaine</v>
          </cell>
          <cell r="D120" t="str">
            <v>Bart</v>
          </cell>
          <cell r="E120" t="str">
            <v>GBR112</v>
          </cell>
          <cell r="F120">
            <v>286</v>
          </cell>
          <cell r="G120">
            <v>39538</v>
          </cell>
          <cell r="H120" t="str">
            <v>Storm Steven</v>
          </cell>
        </row>
        <row r="121">
          <cell r="A121">
            <v>22052</v>
          </cell>
          <cell r="B121" t="str">
            <v>Meyvaert Peter</v>
          </cell>
          <cell r="C121" t="str">
            <v>Meyvaert</v>
          </cell>
          <cell r="D121" t="str">
            <v>Peter</v>
          </cell>
          <cell r="E121" t="str">
            <v>GBR112</v>
          </cell>
          <cell r="F121">
            <v>131</v>
          </cell>
          <cell r="G121">
            <v>39538</v>
          </cell>
          <cell r="H121" t="str">
            <v>Dewulf Els</v>
          </cell>
        </row>
        <row r="122">
          <cell r="A122">
            <v>22143</v>
          </cell>
          <cell r="B122" t="str">
            <v>De Boever Maarten</v>
          </cell>
          <cell r="C122" t="str">
            <v>De Boever</v>
          </cell>
          <cell r="D122" t="str">
            <v>Maarten</v>
          </cell>
          <cell r="E122" t="str">
            <v>GBR112</v>
          </cell>
          <cell r="F122">
            <v>514</v>
          </cell>
          <cell r="G122">
            <v>39552</v>
          </cell>
          <cell r="H122" t="str">
            <v>Vanhoe Els</v>
          </cell>
        </row>
        <row r="123">
          <cell r="A123">
            <v>22202</v>
          </cell>
          <cell r="B123" t="str">
            <v>Pluym Pascal</v>
          </cell>
          <cell r="C123" t="str">
            <v>Pluym</v>
          </cell>
          <cell r="D123" t="str">
            <v>Pascal</v>
          </cell>
          <cell r="E123" t="str">
            <v>GBR112</v>
          </cell>
          <cell r="F123">
            <v>302</v>
          </cell>
          <cell r="G123">
            <v>39573</v>
          </cell>
          <cell r="H123" t="str">
            <v>Storm Steven</v>
          </cell>
        </row>
        <row r="124">
          <cell r="A124">
            <v>22240</v>
          </cell>
          <cell r="B124" t="str">
            <v>Delahaye Karina</v>
          </cell>
          <cell r="C124" t="str">
            <v>Delahaye</v>
          </cell>
          <cell r="D124" t="str">
            <v>Karina</v>
          </cell>
          <cell r="E124" t="str">
            <v>GBR112</v>
          </cell>
          <cell r="F124">
            <v>422</v>
          </cell>
          <cell r="G124">
            <v>39587</v>
          </cell>
          <cell r="H124" t="str">
            <v>Dewulf Els</v>
          </cell>
        </row>
        <row r="125">
          <cell r="A125">
            <v>22244</v>
          </cell>
          <cell r="B125" t="str">
            <v>Kirdas Süleyman</v>
          </cell>
          <cell r="C125" t="str">
            <v>Kirdas</v>
          </cell>
          <cell r="D125" t="str">
            <v>Süleyman</v>
          </cell>
          <cell r="E125" t="str">
            <v>GBR112</v>
          </cell>
          <cell r="F125">
            <v>449</v>
          </cell>
          <cell r="G125">
            <v>39587</v>
          </cell>
          <cell r="H125" t="str">
            <v>Rotty Christoff</v>
          </cell>
        </row>
        <row r="126">
          <cell r="A126">
            <v>22296</v>
          </cell>
          <cell r="B126" t="str">
            <v>Brilyov Dmitriy</v>
          </cell>
          <cell r="C126" t="str">
            <v>Brilyov</v>
          </cell>
          <cell r="D126" t="str">
            <v>Dmitriy</v>
          </cell>
          <cell r="E126" t="str">
            <v>GBR112</v>
          </cell>
          <cell r="F126">
            <v>457</v>
          </cell>
          <cell r="G126">
            <v>39601</v>
          </cell>
          <cell r="H126" t="str">
            <v>Dewulf Els</v>
          </cell>
        </row>
        <row r="127">
          <cell r="A127">
            <v>22416</v>
          </cell>
          <cell r="B127" t="str">
            <v>Bicici Abdul Kadir</v>
          </cell>
          <cell r="C127" t="str">
            <v>Bicici</v>
          </cell>
          <cell r="D127" t="str">
            <v>Abdul Kadir</v>
          </cell>
          <cell r="E127" t="str">
            <v>GBR112</v>
          </cell>
          <cell r="F127">
            <v>342</v>
          </cell>
          <cell r="G127">
            <v>39615</v>
          </cell>
          <cell r="H127" t="str">
            <v>Rotty Christoff</v>
          </cell>
        </row>
        <row r="128">
          <cell r="A128">
            <v>22625</v>
          </cell>
          <cell r="B128" t="str">
            <v>Callebert Pieter Jan</v>
          </cell>
          <cell r="C128" t="str">
            <v>Callebert</v>
          </cell>
          <cell r="D128" t="str">
            <v>Pieter Jan</v>
          </cell>
          <cell r="E128" t="str">
            <v>GBR112</v>
          </cell>
          <cell r="F128">
            <v>537</v>
          </cell>
          <cell r="G128">
            <v>39643</v>
          </cell>
          <cell r="H128" t="str">
            <v>Van Der Beken Bart</v>
          </cell>
        </row>
        <row r="129">
          <cell r="A129">
            <v>22767</v>
          </cell>
          <cell r="B129" t="str">
            <v>Osseel Johan</v>
          </cell>
          <cell r="C129" t="str">
            <v>Osseel</v>
          </cell>
          <cell r="D129" t="str">
            <v>Johan</v>
          </cell>
          <cell r="E129" t="str">
            <v>GBR112</v>
          </cell>
          <cell r="F129">
            <v>80</v>
          </cell>
          <cell r="G129">
            <v>39664</v>
          </cell>
          <cell r="H129" t="str">
            <v>De Clercq Dominique</v>
          </cell>
        </row>
        <row r="130">
          <cell r="A130">
            <v>22877</v>
          </cell>
          <cell r="B130" t="str">
            <v>Goossens Gunther</v>
          </cell>
          <cell r="C130" t="str">
            <v>Goossens</v>
          </cell>
          <cell r="D130" t="str">
            <v>Gunther</v>
          </cell>
          <cell r="E130" t="str">
            <v>GBR112</v>
          </cell>
          <cell r="F130">
            <v>393</v>
          </cell>
          <cell r="G130">
            <v>39706</v>
          </cell>
          <cell r="H130" t="str">
            <v>Dewulf Els</v>
          </cell>
        </row>
        <row r="131">
          <cell r="A131">
            <v>23326</v>
          </cell>
          <cell r="B131" t="str">
            <v>Achalhi Abderrachid</v>
          </cell>
          <cell r="C131" t="str">
            <v>Achalhi</v>
          </cell>
          <cell r="D131" t="str">
            <v>Abderrachid</v>
          </cell>
          <cell r="E131" t="str">
            <v>GBR112</v>
          </cell>
          <cell r="F131">
            <v>327</v>
          </cell>
          <cell r="G131">
            <v>39839</v>
          </cell>
          <cell r="H131" t="str">
            <v>De Clercq Dominique</v>
          </cell>
        </row>
        <row r="132">
          <cell r="A132">
            <v>23481</v>
          </cell>
          <cell r="B132" t="str">
            <v>Kerman Riza</v>
          </cell>
          <cell r="C132" t="str">
            <v>Kerman</v>
          </cell>
          <cell r="D132" t="str">
            <v>Riza</v>
          </cell>
          <cell r="E132" t="str">
            <v>GBR112</v>
          </cell>
          <cell r="F132">
            <v>533</v>
          </cell>
          <cell r="G132">
            <v>39881</v>
          </cell>
          <cell r="H132" t="str">
            <v>Van Der Beken Bart</v>
          </cell>
        </row>
        <row r="133">
          <cell r="A133">
            <v>23543</v>
          </cell>
          <cell r="B133" t="str">
            <v>Unal Mustafa</v>
          </cell>
          <cell r="C133" t="str">
            <v>Unal</v>
          </cell>
          <cell r="D133" t="str">
            <v>Mustafa</v>
          </cell>
          <cell r="E133" t="str">
            <v>GBR112</v>
          </cell>
          <cell r="F133">
            <v>427</v>
          </cell>
          <cell r="G133">
            <v>39895</v>
          </cell>
          <cell r="H133" t="str">
            <v>Rotty Christoff</v>
          </cell>
        </row>
        <row r="134">
          <cell r="A134">
            <v>23545</v>
          </cell>
          <cell r="B134" t="str">
            <v>Maes Tony</v>
          </cell>
          <cell r="C134" t="str">
            <v>Maes</v>
          </cell>
          <cell r="D134" t="str">
            <v>Tony</v>
          </cell>
          <cell r="E134" t="str">
            <v>GBR112</v>
          </cell>
          <cell r="F134">
            <v>151</v>
          </cell>
          <cell r="G134">
            <v>39895</v>
          </cell>
          <cell r="H134" t="str">
            <v>Van De Velde Lucie</v>
          </cell>
        </row>
        <row r="135">
          <cell r="A135">
            <v>23700</v>
          </cell>
          <cell r="B135" t="str">
            <v>Byosière Christof</v>
          </cell>
          <cell r="C135" t="str">
            <v>Byosière</v>
          </cell>
          <cell r="D135" t="str">
            <v>Christof</v>
          </cell>
          <cell r="E135" t="str">
            <v>GBR112</v>
          </cell>
          <cell r="G135">
            <v>39909</v>
          </cell>
          <cell r="H135" t="str">
            <v>De Clercq Dominique</v>
          </cell>
        </row>
        <row r="136">
          <cell r="A136">
            <v>23790</v>
          </cell>
          <cell r="B136" t="str">
            <v>Adiyil Attila</v>
          </cell>
          <cell r="C136" t="str">
            <v>Adiyil</v>
          </cell>
          <cell r="D136" t="str">
            <v>Attila</v>
          </cell>
          <cell r="E136" t="str">
            <v>GBR112</v>
          </cell>
          <cell r="F136">
            <v>318</v>
          </cell>
          <cell r="G136">
            <v>39923</v>
          </cell>
          <cell r="H136" t="str">
            <v>De Clercq Dominique</v>
          </cell>
        </row>
        <row r="137">
          <cell r="A137">
            <v>23791</v>
          </cell>
          <cell r="B137" t="str">
            <v>Baetens Christine</v>
          </cell>
          <cell r="C137" t="str">
            <v>Baetens</v>
          </cell>
          <cell r="D137" t="str">
            <v>Christine</v>
          </cell>
          <cell r="E137" t="str">
            <v>GBR112</v>
          </cell>
          <cell r="F137">
            <v>371</v>
          </cell>
          <cell r="G137">
            <v>39923</v>
          </cell>
          <cell r="H137" t="str">
            <v>De Clercq Dominique</v>
          </cell>
        </row>
        <row r="138">
          <cell r="A138">
            <v>23818</v>
          </cell>
          <cell r="B138" t="str">
            <v>Dellaert Yves</v>
          </cell>
          <cell r="C138" t="str">
            <v>Dellaert</v>
          </cell>
          <cell r="D138" t="str">
            <v>Yves</v>
          </cell>
          <cell r="E138" t="str">
            <v>GBR112</v>
          </cell>
          <cell r="F138">
            <v>35</v>
          </cell>
          <cell r="G138">
            <v>39937</v>
          </cell>
          <cell r="H138" t="str">
            <v>De Clercq Dominique</v>
          </cell>
        </row>
        <row r="139">
          <cell r="A139">
            <v>23880</v>
          </cell>
          <cell r="B139" t="str">
            <v>Wyffels Jean-Pierre</v>
          </cell>
          <cell r="C139" t="str">
            <v>Wyffels</v>
          </cell>
          <cell r="D139" t="str">
            <v>Jean-Pierre</v>
          </cell>
          <cell r="E139" t="str">
            <v>GBR112</v>
          </cell>
          <cell r="G139">
            <v>39958</v>
          </cell>
          <cell r="H139" t="str">
            <v>De Clercq Dominique</v>
          </cell>
        </row>
        <row r="140">
          <cell r="A140">
            <v>23918</v>
          </cell>
          <cell r="B140" t="str">
            <v>D'Haeyere Bernard</v>
          </cell>
          <cell r="C140" t="str">
            <v>D'Haeyere</v>
          </cell>
          <cell r="D140" t="str">
            <v>Bernard</v>
          </cell>
          <cell r="E140" t="str">
            <v>GBR112</v>
          </cell>
          <cell r="F140">
            <v>376</v>
          </cell>
          <cell r="G140">
            <v>39972</v>
          </cell>
          <cell r="H140" t="str">
            <v>Vanhoe Els</v>
          </cell>
        </row>
        <row r="141">
          <cell r="A141">
            <v>23924</v>
          </cell>
          <cell r="B141" t="str">
            <v>Planckaert Jurgen</v>
          </cell>
          <cell r="C141" t="str">
            <v>Planckaert</v>
          </cell>
          <cell r="D141" t="str">
            <v>Jurgen</v>
          </cell>
          <cell r="E141" t="str">
            <v>GBR112</v>
          </cell>
          <cell r="F141">
            <v>75</v>
          </cell>
          <cell r="G141">
            <v>39979</v>
          </cell>
          <cell r="H141" t="str">
            <v>Rotty Christoff</v>
          </cell>
        </row>
        <row r="142">
          <cell r="A142">
            <v>24155</v>
          </cell>
          <cell r="B142" t="str">
            <v>Luttens Koen</v>
          </cell>
          <cell r="C142" t="str">
            <v>Luttens</v>
          </cell>
          <cell r="D142" t="str">
            <v>Koen</v>
          </cell>
          <cell r="E142" t="str">
            <v>GBR112</v>
          </cell>
          <cell r="F142">
            <v>507</v>
          </cell>
          <cell r="G142">
            <v>40000</v>
          </cell>
          <cell r="H142" t="str">
            <v>Vanhoe Els</v>
          </cell>
        </row>
        <row r="143">
          <cell r="A143">
            <v>24156</v>
          </cell>
          <cell r="B143" t="str">
            <v>Kaya Aydin</v>
          </cell>
          <cell r="C143" t="str">
            <v>Kaya</v>
          </cell>
          <cell r="D143" t="str">
            <v>Aydin</v>
          </cell>
          <cell r="E143" t="str">
            <v>GBR112</v>
          </cell>
          <cell r="F143">
            <v>432</v>
          </cell>
          <cell r="G143">
            <v>40000</v>
          </cell>
          <cell r="H143" t="str">
            <v>Rotty Christoff</v>
          </cell>
        </row>
        <row r="144">
          <cell r="A144">
            <v>24367</v>
          </cell>
          <cell r="B144" t="str">
            <v>Tayefeh Arbab Ali</v>
          </cell>
          <cell r="C144" t="str">
            <v>Tayefeh Arbab</v>
          </cell>
          <cell r="D144" t="str">
            <v>Ali</v>
          </cell>
          <cell r="E144" t="str">
            <v>GBR112</v>
          </cell>
          <cell r="F144">
            <v>605</v>
          </cell>
          <cell r="G144">
            <v>40035</v>
          </cell>
          <cell r="H144" t="str">
            <v>Van Der Beken Bart</v>
          </cell>
        </row>
        <row r="145">
          <cell r="A145">
            <v>24472</v>
          </cell>
          <cell r="B145" t="str">
            <v>Gök Davut</v>
          </cell>
          <cell r="C145" t="str">
            <v>Gök</v>
          </cell>
          <cell r="D145" t="str">
            <v>Davut</v>
          </cell>
          <cell r="E145" t="str">
            <v>E17126</v>
          </cell>
          <cell r="F145">
            <v>614</v>
          </cell>
          <cell r="G145">
            <v>40049</v>
          </cell>
          <cell r="H145" t="str">
            <v>De Clercq Dominique</v>
          </cell>
        </row>
        <row r="146">
          <cell r="A146">
            <v>25234</v>
          </cell>
          <cell r="B146" t="str">
            <v>Haelterman Geert</v>
          </cell>
          <cell r="C146" t="str">
            <v>Haelterman</v>
          </cell>
          <cell r="D146" t="str">
            <v>Geert</v>
          </cell>
          <cell r="E146" t="str">
            <v>GBR112</v>
          </cell>
          <cell r="F146">
            <v>613</v>
          </cell>
          <cell r="G146">
            <v>40350</v>
          </cell>
          <cell r="H146" t="str">
            <v>De Rick Kenneth</v>
          </cell>
        </row>
        <row r="147">
          <cell r="A147">
            <v>25486</v>
          </cell>
          <cell r="B147" t="str">
            <v>Goethals Bart</v>
          </cell>
          <cell r="C147" t="str">
            <v>Goethals</v>
          </cell>
          <cell r="D147" t="str">
            <v>Bart</v>
          </cell>
          <cell r="E147" t="str">
            <v>GBR112</v>
          </cell>
          <cell r="F147">
            <v>471</v>
          </cell>
          <cell r="G147">
            <v>40385</v>
          </cell>
          <cell r="H147" t="str">
            <v>Rotty Christoff</v>
          </cell>
        </row>
        <row r="148">
          <cell r="A148">
            <v>25487</v>
          </cell>
          <cell r="B148" t="str">
            <v>Devos Stefaan</v>
          </cell>
          <cell r="C148" t="str">
            <v>Devos</v>
          </cell>
          <cell r="D148" t="str">
            <v>Stefaan</v>
          </cell>
          <cell r="E148" t="str">
            <v>GBR112</v>
          </cell>
          <cell r="F148">
            <v>479</v>
          </cell>
          <cell r="G148">
            <v>40385</v>
          </cell>
          <cell r="H148" t="str">
            <v>Storm Steven</v>
          </cell>
        </row>
        <row r="149">
          <cell r="A149">
            <v>25679</v>
          </cell>
          <cell r="B149" t="str">
            <v>Vanrenterghem Serge</v>
          </cell>
          <cell r="C149" t="str">
            <v>Vanrenterghem</v>
          </cell>
          <cell r="D149" t="str">
            <v>Serge</v>
          </cell>
          <cell r="E149" t="str">
            <v>GBR112</v>
          </cell>
          <cell r="F149">
            <v>42</v>
          </cell>
          <cell r="G149">
            <v>40455</v>
          </cell>
          <cell r="H149" t="str">
            <v>Rotty Christoff</v>
          </cell>
        </row>
        <row r="150">
          <cell r="A150">
            <v>25680</v>
          </cell>
          <cell r="B150" t="str">
            <v>Cetinkaya Veysel</v>
          </cell>
          <cell r="C150" t="str">
            <v>Cetinkaya</v>
          </cell>
          <cell r="D150" t="str">
            <v>Veysel</v>
          </cell>
          <cell r="E150" t="str">
            <v>GBR112</v>
          </cell>
          <cell r="F150">
            <v>606</v>
          </cell>
          <cell r="G150">
            <v>40455</v>
          </cell>
          <cell r="H150" t="str">
            <v>De Rick Kenneth</v>
          </cell>
        </row>
        <row r="151">
          <cell r="A151">
            <v>25733</v>
          </cell>
          <cell r="B151" t="str">
            <v>Simsek Abdullah</v>
          </cell>
          <cell r="C151" t="str">
            <v>Simsek</v>
          </cell>
          <cell r="D151" t="str">
            <v>Abdullah</v>
          </cell>
          <cell r="E151" t="str">
            <v>GBR112</v>
          </cell>
          <cell r="F151">
            <v>24</v>
          </cell>
          <cell r="G151">
            <v>40469</v>
          </cell>
          <cell r="H151" t="str">
            <v>Vanhoe Els</v>
          </cell>
        </row>
        <row r="152">
          <cell r="A152">
            <v>25829</v>
          </cell>
          <cell r="B152" t="str">
            <v>Kayim Akin</v>
          </cell>
          <cell r="C152" t="str">
            <v>Kayim</v>
          </cell>
          <cell r="D152" t="str">
            <v>Akin</v>
          </cell>
          <cell r="E152" t="str">
            <v>GBR112</v>
          </cell>
          <cell r="F152">
            <v>74</v>
          </cell>
          <cell r="G152">
            <v>40497</v>
          </cell>
          <cell r="H152" t="str">
            <v>Storm Steven</v>
          </cell>
        </row>
        <row r="153">
          <cell r="A153">
            <v>25871</v>
          </cell>
          <cell r="B153" t="str">
            <v>Fasseur Frederic</v>
          </cell>
          <cell r="C153" t="str">
            <v>Fasseur</v>
          </cell>
          <cell r="D153" t="str">
            <v>Frederic</v>
          </cell>
          <cell r="E153" t="str">
            <v>GBR112</v>
          </cell>
          <cell r="F153">
            <v>617</v>
          </cell>
          <cell r="G153">
            <v>40525</v>
          </cell>
          <cell r="H153" t="str">
            <v>De Rick Kenneth</v>
          </cell>
        </row>
        <row r="154">
          <cell r="A154">
            <v>25873</v>
          </cell>
          <cell r="B154" t="str">
            <v>Kazakbiyev Osman</v>
          </cell>
          <cell r="C154" t="str">
            <v>Kazakbiyev</v>
          </cell>
          <cell r="D154" t="str">
            <v>Osman</v>
          </cell>
          <cell r="E154" t="str">
            <v>GBR112</v>
          </cell>
          <cell r="F154">
            <v>105</v>
          </cell>
          <cell r="G154">
            <v>40525</v>
          </cell>
          <cell r="H154" t="str">
            <v>Vanhoe Els</v>
          </cell>
        </row>
        <row r="155">
          <cell r="A155">
            <v>25993</v>
          </cell>
          <cell r="B155" t="str">
            <v>De Wit Bruno</v>
          </cell>
          <cell r="C155" t="str">
            <v>De Wit</v>
          </cell>
          <cell r="D155" t="str">
            <v>Bruno</v>
          </cell>
          <cell r="E155" t="str">
            <v>GBR112</v>
          </cell>
          <cell r="F155">
            <v>137</v>
          </cell>
          <cell r="G155">
            <v>40567</v>
          </cell>
          <cell r="H155" t="str">
            <v>Rotty Christoff</v>
          </cell>
        </row>
        <row r="156">
          <cell r="A156">
            <v>25994</v>
          </cell>
          <cell r="B156" t="str">
            <v>Peers Mario</v>
          </cell>
          <cell r="C156" t="str">
            <v>Peers</v>
          </cell>
          <cell r="D156" t="str">
            <v>Mario</v>
          </cell>
          <cell r="E156" t="str">
            <v>GBR112</v>
          </cell>
          <cell r="F156">
            <v>138</v>
          </cell>
          <cell r="G156">
            <v>40567</v>
          </cell>
          <cell r="H156" t="str">
            <v>Dewulf Els</v>
          </cell>
        </row>
        <row r="157">
          <cell r="A157">
            <v>26102</v>
          </cell>
          <cell r="B157" t="str">
            <v>Bral Jessica</v>
          </cell>
          <cell r="C157" t="str">
            <v>Bral</v>
          </cell>
          <cell r="D157" t="str">
            <v>Jessica</v>
          </cell>
          <cell r="E157" t="str">
            <v>GBR112</v>
          </cell>
          <cell r="F157">
            <v>207</v>
          </cell>
          <cell r="G157">
            <v>40602</v>
          </cell>
          <cell r="H157" t="str">
            <v>Dewulf Els</v>
          </cell>
        </row>
        <row r="158">
          <cell r="A158">
            <v>26137</v>
          </cell>
          <cell r="B158" t="str">
            <v>Hublau Roland</v>
          </cell>
          <cell r="C158" t="str">
            <v>Hublau</v>
          </cell>
          <cell r="D158" t="str">
            <v>Roland</v>
          </cell>
          <cell r="E158" t="str">
            <v>GBR112</v>
          </cell>
          <cell r="F158">
            <v>61</v>
          </cell>
          <cell r="G158">
            <v>40623</v>
          </cell>
          <cell r="H158" t="str">
            <v>Storm Steven</v>
          </cell>
        </row>
        <row r="159">
          <cell r="A159">
            <v>26197</v>
          </cell>
          <cell r="B159" t="str">
            <v>Van Puyenbroeck Pascale</v>
          </cell>
          <cell r="C159" t="str">
            <v>Van Puyenbroeck</v>
          </cell>
          <cell r="D159" t="str">
            <v>Pascale</v>
          </cell>
          <cell r="E159" t="str">
            <v>GBR112</v>
          </cell>
          <cell r="F159">
            <v>8</v>
          </cell>
          <cell r="G159">
            <v>40637</v>
          </cell>
          <cell r="H159" t="str">
            <v>Rotty Christoff</v>
          </cell>
        </row>
        <row r="160">
          <cell r="A160">
            <v>26198</v>
          </cell>
          <cell r="B160" t="str">
            <v>Justé Steven</v>
          </cell>
          <cell r="C160" t="str">
            <v>Justé</v>
          </cell>
          <cell r="D160" t="str">
            <v>Steven</v>
          </cell>
          <cell r="E160" t="str">
            <v>GBR112</v>
          </cell>
          <cell r="F160">
            <v>615</v>
          </cell>
          <cell r="G160">
            <v>40637</v>
          </cell>
          <cell r="H160" t="str">
            <v>De Rick Kenneth</v>
          </cell>
        </row>
        <row r="161">
          <cell r="A161">
            <v>26199</v>
          </cell>
          <cell r="B161" t="str">
            <v>Wauters Franky</v>
          </cell>
          <cell r="C161" t="str">
            <v>Wauters</v>
          </cell>
          <cell r="D161" t="str">
            <v>Franky</v>
          </cell>
          <cell r="E161" t="str">
            <v>GBR112</v>
          </cell>
          <cell r="F161">
            <v>109</v>
          </cell>
          <cell r="G161">
            <v>40637</v>
          </cell>
          <cell r="H161" t="str">
            <v>Vanhoe Els</v>
          </cell>
        </row>
        <row r="162">
          <cell r="A162">
            <v>26265</v>
          </cell>
          <cell r="B162" t="str">
            <v>Van Vlem Danny</v>
          </cell>
          <cell r="C162" t="str">
            <v>Van Vlem</v>
          </cell>
          <cell r="D162" t="str">
            <v>Danny</v>
          </cell>
          <cell r="E162" t="str">
            <v>GBR112</v>
          </cell>
          <cell r="F162">
            <v>27</v>
          </cell>
          <cell r="G162">
            <v>40658</v>
          </cell>
          <cell r="H162" t="str">
            <v>Rotty Christoff</v>
          </cell>
        </row>
        <row r="163">
          <cell r="A163">
            <v>26266</v>
          </cell>
          <cell r="B163" t="str">
            <v>Gök Murat</v>
          </cell>
          <cell r="C163" t="str">
            <v>Gök</v>
          </cell>
          <cell r="D163" t="str">
            <v>Murat</v>
          </cell>
          <cell r="E163" t="str">
            <v>GBR112</v>
          </cell>
          <cell r="F163">
            <v>36</v>
          </cell>
          <cell r="G163">
            <v>40658</v>
          </cell>
          <cell r="H163" t="str">
            <v>Vanhoe Els</v>
          </cell>
        </row>
        <row r="164">
          <cell r="A164">
            <v>26331</v>
          </cell>
          <cell r="B164" t="str">
            <v>Van Semmertier Pascal</v>
          </cell>
          <cell r="C164" t="str">
            <v>Van Semmertier</v>
          </cell>
          <cell r="D164" t="str">
            <v>Pascal</v>
          </cell>
          <cell r="E164" t="str">
            <v>GBR112</v>
          </cell>
          <cell r="F164">
            <v>511</v>
          </cell>
          <cell r="G164">
            <v>40679</v>
          </cell>
          <cell r="H164" t="str">
            <v>Van Der Beken Bart</v>
          </cell>
        </row>
        <row r="165">
          <cell r="A165">
            <v>26334</v>
          </cell>
          <cell r="B165" t="str">
            <v>Aelterman Luc</v>
          </cell>
          <cell r="C165" t="str">
            <v>Aelterman</v>
          </cell>
          <cell r="D165" t="str">
            <v>Luc</v>
          </cell>
          <cell r="E165" t="str">
            <v>GBR112</v>
          </cell>
          <cell r="F165">
            <v>257</v>
          </cell>
          <cell r="G165">
            <v>40679</v>
          </cell>
          <cell r="H165" t="str">
            <v>Vanhoe Els</v>
          </cell>
        </row>
        <row r="166">
          <cell r="A166">
            <v>26384</v>
          </cell>
          <cell r="B166" t="str">
            <v>Van Cauwenberg Steven</v>
          </cell>
          <cell r="C166" t="str">
            <v>Van Cauwenberg</v>
          </cell>
          <cell r="D166" t="str">
            <v>Steven</v>
          </cell>
          <cell r="E166" t="str">
            <v>GBR112</v>
          </cell>
          <cell r="F166">
            <v>54</v>
          </cell>
          <cell r="G166">
            <v>40700</v>
          </cell>
          <cell r="H166" t="str">
            <v>Dewulf Els</v>
          </cell>
        </row>
        <row r="167">
          <cell r="A167">
            <v>26521</v>
          </cell>
          <cell r="B167" t="str">
            <v>Siderov Miroslav</v>
          </cell>
          <cell r="C167" t="str">
            <v>Siderov</v>
          </cell>
          <cell r="D167" t="str">
            <v>Miroslav</v>
          </cell>
          <cell r="E167" t="str">
            <v>GBR112</v>
          </cell>
          <cell r="F167">
            <v>307</v>
          </cell>
          <cell r="G167">
            <v>40728</v>
          </cell>
          <cell r="H167" t="str">
            <v>Vanhoe Els</v>
          </cell>
        </row>
        <row r="168">
          <cell r="A168">
            <v>26524</v>
          </cell>
          <cell r="B168" t="str">
            <v>Bolle Cynthia</v>
          </cell>
          <cell r="C168" t="str">
            <v>Bolle</v>
          </cell>
          <cell r="D168" t="str">
            <v>Cynthia</v>
          </cell>
          <cell r="E168" t="str">
            <v>GBR112</v>
          </cell>
          <cell r="F168">
            <v>322</v>
          </cell>
          <cell r="G168">
            <v>40728</v>
          </cell>
          <cell r="H168" t="str">
            <v>Vanhoe Els</v>
          </cell>
        </row>
        <row r="169">
          <cell r="A169">
            <v>26638</v>
          </cell>
          <cell r="B169" t="str">
            <v>Van de Capelle Geert</v>
          </cell>
          <cell r="C169" t="str">
            <v>Van de Capelle</v>
          </cell>
          <cell r="D169" t="str">
            <v>Geert</v>
          </cell>
          <cell r="E169" t="str">
            <v>GBR112</v>
          </cell>
          <cell r="F169">
            <v>211</v>
          </cell>
          <cell r="G169">
            <v>40749</v>
          </cell>
          <cell r="H169" t="str">
            <v>De Clercq Dominique</v>
          </cell>
        </row>
        <row r="170">
          <cell r="A170">
            <v>26639</v>
          </cell>
          <cell r="B170" t="str">
            <v>Engels Wendy</v>
          </cell>
          <cell r="C170" t="str">
            <v>Engels</v>
          </cell>
          <cell r="D170" t="str">
            <v>Wendy</v>
          </cell>
          <cell r="E170" t="str">
            <v>GBR112</v>
          </cell>
          <cell r="F170">
            <v>644</v>
          </cell>
          <cell r="G170">
            <v>40749</v>
          </cell>
          <cell r="H170" t="str">
            <v>De Rick Kenneth</v>
          </cell>
        </row>
        <row r="171">
          <cell r="A171">
            <v>26695</v>
          </cell>
          <cell r="B171" t="str">
            <v>Lippens Miguel</v>
          </cell>
          <cell r="C171" t="str">
            <v>Lippens</v>
          </cell>
          <cell r="D171" t="str">
            <v>Miguel</v>
          </cell>
          <cell r="E171" t="str">
            <v>GBR112</v>
          </cell>
          <cell r="F171">
            <v>119</v>
          </cell>
          <cell r="G171">
            <v>40771</v>
          </cell>
          <cell r="H171" t="str">
            <v>Rotty Christoff</v>
          </cell>
        </row>
        <row r="172">
          <cell r="A172">
            <v>26792</v>
          </cell>
          <cell r="B172" t="str">
            <v>Ong Geok Hong</v>
          </cell>
          <cell r="C172" t="str">
            <v>Ong</v>
          </cell>
          <cell r="D172" t="str">
            <v>Geok Hong</v>
          </cell>
          <cell r="E172" t="str">
            <v>GBR112</v>
          </cell>
          <cell r="F172">
            <v>203</v>
          </cell>
          <cell r="G172">
            <v>40812</v>
          </cell>
          <cell r="H172" t="str">
            <v>Van De Velde Lucie</v>
          </cell>
        </row>
        <row r="173">
          <cell r="A173">
            <v>26847</v>
          </cell>
          <cell r="B173" t="str">
            <v>De Meester David</v>
          </cell>
          <cell r="C173" t="str">
            <v>De Meester</v>
          </cell>
          <cell r="D173" t="str">
            <v>David</v>
          </cell>
          <cell r="E173" t="str">
            <v>GBR112</v>
          </cell>
          <cell r="F173">
            <v>245</v>
          </cell>
          <cell r="G173">
            <v>40826</v>
          </cell>
          <cell r="H173" t="str">
            <v>Van Der Beken Bart</v>
          </cell>
        </row>
        <row r="174">
          <cell r="A174">
            <v>26959</v>
          </cell>
          <cell r="B174" t="str">
            <v>Bohez Olivier</v>
          </cell>
          <cell r="C174" t="str">
            <v>Bohez</v>
          </cell>
          <cell r="D174" t="str">
            <v>Olivier</v>
          </cell>
          <cell r="E174" t="str">
            <v>GBR112</v>
          </cell>
          <cell r="F174">
            <v>39</v>
          </cell>
          <cell r="G174">
            <v>40861</v>
          </cell>
          <cell r="H174" t="str">
            <v>De Clercq Dominique</v>
          </cell>
        </row>
        <row r="175">
          <cell r="A175">
            <v>26960</v>
          </cell>
          <cell r="B175" t="str">
            <v>Toubadie Mossa</v>
          </cell>
          <cell r="C175" t="str">
            <v>Toubadie</v>
          </cell>
          <cell r="D175" t="str">
            <v>Mossa</v>
          </cell>
          <cell r="E175" t="str">
            <v>GBR112</v>
          </cell>
          <cell r="F175">
            <v>411</v>
          </cell>
          <cell r="G175">
            <v>40861</v>
          </cell>
          <cell r="H175" t="str">
            <v>Vanhoe Els</v>
          </cell>
        </row>
        <row r="176">
          <cell r="A176">
            <v>27153</v>
          </cell>
          <cell r="B176" t="str">
            <v>Oben Thibaud</v>
          </cell>
          <cell r="C176" t="str">
            <v>Oben</v>
          </cell>
          <cell r="D176" t="str">
            <v>Thibaud</v>
          </cell>
          <cell r="E176" t="str">
            <v>GBR112</v>
          </cell>
          <cell r="F176">
            <v>648</v>
          </cell>
          <cell r="G176">
            <v>40952</v>
          </cell>
          <cell r="H176" t="str">
            <v>Rotty Christoff</v>
          </cell>
        </row>
        <row r="177">
          <cell r="A177">
            <v>27186</v>
          </cell>
          <cell r="B177" t="str">
            <v>Neghli Farid</v>
          </cell>
          <cell r="C177" t="str">
            <v>Neghli</v>
          </cell>
          <cell r="D177" t="str">
            <v>Farid</v>
          </cell>
          <cell r="E177" t="str">
            <v>GBR112</v>
          </cell>
          <cell r="G177">
            <v>40959</v>
          </cell>
          <cell r="H177" t="str">
            <v>Rotty Christoff</v>
          </cell>
        </row>
        <row r="178">
          <cell r="A178">
            <v>27209</v>
          </cell>
          <cell r="B178" t="str">
            <v>Meyvaert Steven</v>
          </cell>
          <cell r="C178" t="str">
            <v>Meyvaert</v>
          </cell>
          <cell r="D178" t="str">
            <v>Steven</v>
          </cell>
          <cell r="E178" t="str">
            <v>GBR112</v>
          </cell>
          <cell r="F178">
            <v>175</v>
          </cell>
          <cell r="G178">
            <v>40973</v>
          </cell>
          <cell r="H178" t="str">
            <v>Dewulf Els</v>
          </cell>
        </row>
        <row r="179">
          <cell r="A179">
            <v>27577</v>
          </cell>
          <cell r="B179" t="str">
            <v>De Meester Johan</v>
          </cell>
          <cell r="C179" t="str">
            <v>De Meester</v>
          </cell>
          <cell r="D179" t="str">
            <v>Johan</v>
          </cell>
          <cell r="E179" t="str">
            <v>GBR112</v>
          </cell>
          <cell r="F179">
            <v>72</v>
          </cell>
          <cell r="G179">
            <v>41113</v>
          </cell>
          <cell r="H179" t="str">
            <v>Rotty Christoff</v>
          </cell>
        </row>
        <row r="180">
          <cell r="A180">
            <v>27607</v>
          </cell>
          <cell r="B180" t="str">
            <v>Frans Gabriella</v>
          </cell>
          <cell r="C180" t="str">
            <v>Frans</v>
          </cell>
          <cell r="D180" t="str">
            <v>Gabriella</v>
          </cell>
          <cell r="E180" t="str">
            <v>GBR112</v>
          </cell>
          <cell r="F180">
            <v>277</v>
          </cell>
          <cell r="G180">
            <v>41141</v>
          </cell>
          <cell r="H180" t="str">
            <v>De Rick Kenneth</v>
          </cell>
        </row>
        <row r="181">
          <cell r="A181">
            <v>27635</v>
          </cell>
          <cell r="B181" t="str">
            <v>Petrovic Damir</v>
          </cell>
          <cell r="C181" t="str">
            <v>Petrovic</v>
          </cell>
          <cell r="D181" t="str">
            <v>Damir</v>
          </cell>
          <cell r="E181" t="str">
            <v>GBR112</v>
          </cell>
          <cell r="F181">
            <v>363</v>
          </cell>
          <cell r="G181">
            <v>41176</v>
          </cell>
          <cell r="H181" t="str">
            <v>De Rick Kenneth</v>
          </cell>
        </row>
        <row r="182">
          <cell r="A182">
            <v>27672</v>
          </cell>
          <cell r="B182" t="str">
            <v>Criel Veronique</v>
          </cell>
          <cell r="C182" t="str">
            <v>Criel</v>
          </cell>
          <cell r="D182" t="str">
            <v>Veronique</v>
          </cell>
          <cell r="E182" t="str">
            <v>GBR112</v>
          </cell>
          <cell r="F182">
            <v>199</v>
          </cell>
          <cell r="G182">
            <v>41204</v>
          </cell>
          <cell r="H182" t="str">
            <v>Storm Steven</v>
          </cell>
        </row>
        <row r="183">
          <cell r="A183">
            <v>27673</v>
          </cell>
          <cell r="B183" t="str">
            <v>Verbanck Koen</v>
          </cell>
          <cell r="C183" t="str">
            <v>Verbanck</v>
          </cell>
          <cell r="D183" t="str">
            <v>Koen</v>
          </cell>
          <cell r="E183" t="str">
            <v>GBR112</v>
          </cell>
          <cell r="F183">
            <v>315</v>
          </cell>
          <cell r="G183">
            <v>41204</v>
          </cell>
          <cell r="H183" t="str">
            <v>Rotty Christoff</v>
          </cell>
        </row>
        <row r="184">
          <cell r="A184">
            <v>27711</v>
          </cell>
          <cell r="B184" t="str">
            <v>De Schenkel David</v>
          </cell>
          <cell r="C184" t="str">
            <v>De Schenkel</v>
          </cell>
          <cell r="D184" t="str">
            <v>David</v>
          </cell>
          <cell r="E184" t="str">
            <v>GBR112</v>
          </cell>
          <cell r="F184">
            <v>379</v>
          </cell>
          <cell r="G184">
            <v>41218</v>
          </cell>
          <cell r="H184" t="str">
            <v>Rotty Christoff</v>
          </cell>
        </row>
        <row r="185">
          <cell r="A185">
            <v>27713</v>
          </cell>
          <cell r="B185" t="str">
            <v>Parmentier Bart</v>
          </cell>
          <cell r="C185" t="str">
            <v>Parmentier</v>
          </cell>
          <cell r="D185" t="str">
            <v>Bart</v>
          </cell>
          <cell r="E185" t="str">
            <v>GBR112</v>
          </cell>
          <cell r="F185">
            <v>77</v>
          </cell>
          <cell r="G185">
            <v>41218</v>
          </cell>
          <cell r="H185" t="str">
            <v>Dewulf Els</v>
          </cell>
        </row>
        <row r="186">
          <cell r="A186">
            <v>27786</v>
          </cell>
          <cell r="B186" t="str">
            <v>Van Lierde Michel</v>
          </cell>
          <cell r="C186" t="str">
            <v>Van Lierde</v>
          </cell>
          <cell r="D186" t="str">
            <v>Michel</v>
          </cell>
          <cell r="E186" t="str">
            <v>GBR112</v>
          </cell>
          <cell r="F186">
            <v>96</v>
          </cell>
          <cell r="G186">
            <v>41253</v>
          </cell>
          <cell r="H186" t="str">
            <v>Dewulf Els</v>
          </cell>
        </row>
        <row r="187">
          <cell r="A187">
            <v>27865</v>
          </cell>
          <cell r="B187" t="str">
            <v>Olenski Leonard</v>
          </cell>
          <cell r="C187" t="str">
            <v>Olenski</v>
          </cell>
          <cell r="D187" t="str">
            <v>Leonard</v>
          </cell>
          <cell r="E187" t="str">
            <v>GBR112</v>
          </cell>
          <cell r="F187">
            <v>221</v>
          </cell>
          <cell r="G187">
            <v>41313</v>
          </cell>
          <cell r="H187" t="str">
            <v>Dewulf Els</v>
          </cell>
        </row>
        <row r="188">
          <cell r="A188">
            <v>28071</v>
          </cell>
          <cell r="B188" t="str">
            <v>Omari Said</v>
          </cell>
          <cell r="C188" t="str">
            <v>Omari</v>
          </cell>
          <cell r="D188" t="str">
            <v>Said</v>
          </cell>
          <cell r="E188" t="str">
            <v>GBR112</v>
          </cell>
          <cell r="F188">
            <v>602</v>
          </cell>
          <cell r="G188">
            <v>41372</v>
          </cell>
          <cell r="H188" t="str">
            <v>Dewulf Els</v>
          </cell>
        </row>
        <row r="189">
          <cell r="A189">
            <v>28072</v>
          </cell>
          <cell r="B189" t="str">
            <v>De Muynck Laurian</v>
          </cell>
          <cell r="C189" t="str">
            <v>De Muynck</v>
          </cell>
          <cell r="D189" t="str">
            <v>Laurian</v>
          </cell>
          <cell r="E189" t="str">
            <v>GBR112</v>
          </cell>
          <cell r="F189">
            <v>179</v>
          </cell>
          <cell r="G189">
            <v>41372</v>
          </cell>
          <cell r="H189" t="str">
            <v>Van De Velde Lucie</v>
          </cell>
        </row>
        <row r="190">
          <cell r="A190">
            <v>28165</v>
          </cell>
          <cell r="B190" t="str">
            <v>De Pauw Kurt</v>
          </cell>
          <cell r="C190" t="str">
            <v>De Pauw</v>
          </cell>
          <cell r="D190" t="str">
            <v>Kurt</v>
          </cell>
          <cell r="E190" t="str">
            <v>GBR112</v>
          </cell>
          <cell r="F190">
            <v>3</v>
          </cell>
          <cell r="G190">
            <v>41421</v>
          </cell>
          <cell r="H190" t="str">
            <v>Dewulf Els</v>
          </cell>
        </row>
        <row r="191">
          <cell r="A191">
            <v>28690</v>
          </cell>
          <cell r="B191" t="str">
            <v>Debreuckere Renzo</v>
          </cell>
          <cell r="C191" t="str">
            <v>Debreuckere</v>
          </cell>
          <cell r="D191" t="str">
            <v>Renzo</v>
          </cell>
          <cell r="E191" t="str">
            <v>GBR112</v>
          </cell>
          <cell r="F191">
            <v>184</v>
          </cell>
          <cell r="G191">
            <v>41617</v>
          </cell>
          <cell r="H191" t="str">
            <v>Vanhoe Els</v>
          </cell>
        </row>
        <row r="192">
          <cell r="A192">
            <v>28717</v>
          </cell>
          <cell r="B192" t="str">
            <v>Dejonckheere Els</v>
          </cell>
          <cell r="C192" t="str">
            <v>Dejonckheere</v>
          </cell>
          <cell r="D192" t="str">
            <v>Els</v>
          </cell>
          <cell r="E192" t="str">
            <v>GBR112</v>
          </cell>
          <cell r="F192">
            <v>25</v>
          </cell>
          <cell r="G192">
            <v>41659</v>
          </cell>
          <cell r="H192" t="str">
            <v>Van De Velde Lucie</v>
          </cell>
        </row>
        <row r="193">
          <cell r="A193">
            <v>28737</v>
          </cell>
          <cell r="B193" t="str">
            <v>El-Mohamed Mohamed</v>
          </cell>
          <cell r="C193" t="str">
            <v>El-Mohamed</v>
          </cell>
          <cell r="D193" t="str">
            <v>Mohamed</v>
          </cell>
          <cell r="E193" t="str">
            <v>GBR112</v>
          </cell>
          <cell r="F193">
            <v>17</v>
          </cell>
          <cell r="G193">
            <v>41680</v>
          </cell>
          <cell r="H193" t="str">
            <v>Van De Velde Lucie</v>
          </cell>
        </row>
        <row r="194">
          <cell r="A194">
            <v>28794</v>
          </cell>
          <cell r="B194" t="str">
            <v>Van Malderghem Niels</v>
          </cell>
          <cell r="C194" t="str">
            <v>Van Malderghem</v>
          </cell>
          <cell r="D194" t="str">
            <v>Niels</v>
          </cell>
          <cell r="E194" t="str">
            <v>GBR112</v>
          </cell>
          <cell r="F194">
            <v>41</v>
          </cell>
          <cell r="G194">
            <v>41701</v>
          </cell>
          <cell r="H194" t="str">
            <v>Van De Velde Lucie</v>
          </cell>
        </row>
        <row r="195">
          <cell r="A195">
            <v>28821</v>
          </cell>
          <cell r="B195" t="str">
            <v>Roels Els</v>
          </cell>
          <cell r="C195" t="str">
            <v>Roels</v>
          </cell>
          <cell r="D195" t="str">
            <v>Els</v>
          </cell>
          <cell r="E195" t="str">
            <v>GBR112</v>
          </cell>
          <cell r="F195">
            <v>652</v>
          </cell>
          <cell r="G195">
            <v>41708</v>
          </cell>
          <cell r="H195" t="str">
            <v>Van Der Beken Bart</v>
          </cell>
        </row>
        <row r="196">
          <cell r="A196">
            <v>28830</v>
          </cell>
          <cell r="B196" t="str">
            <v>Isiklar Okan</v>
          </cell>
          <cell r="C196" t="str">
            <v>Isiklar</v>
          </cell>
          <cell r="D196" t="str">
            <v>Okan</v>
          </cell>
          <cell r="E196" t="str">
            <v>GBR112</v>
          </cell>
          <cell r="F196">
            <v>619</v>
          </cell>
          <cell r="G196">
            <v>41722</v>
          </cell>
          <cell r="H196" t="str">
            <v>Rotty Christoff</v>
          </cell>
        </row>
        <row r="197">
          <cell r="A197">
            <v>28835</v>
          </cell>
          <cell r="B197" t="str">
            <v>Choaïbi Bilal</v>
          </cell>
          <cell r="C197" t="str">
            <v>Choaïbi</v>
          </cell>
          <cell r="D197" t="str">
            <v>Bilal</v>
          </cell>
          <cell r="E197" t="str">
            <v>GBR112</v>
          </cell>
          <cell r="F197">
            <v>241</v>
          </cell>
          <cell r="G197">
            <v>41722</v>
          </cell>
          <cell r="H197" t="str">
            <v>Rotty Christoff</v>
          </cell>
        </row>
        <row r="198">
          <cell r="A198">
            <v>28910</v>
          </cell>
          <cell r="B198" t="str">
            <v>Gassa Osmane</v>
          </cell>
          <cell r="C198" t="str">
            <v>Gassa</v>
          </cell>
          <cell r="D198" t="str">
            <v>Osmane</v>
          </cell>
          <cell r="E198" t="str">
            <v>GBR112</v>
          </cell>
          <cell r="F198">
            <v>144</v>
          </cell>
          <cell r="G198">
            <v>41743</v>
          </cell>
          <cell r="H198" t="str">
            <v>Van Der Beken Bart</v>
          </cell>
        </row>
        <row r="199">
          <cell r="A199">
            <v>28995</v>
          </cell>
          <cell r="B199" t="str">
            <v>Grillaert Lieven</v>
          </cell>
          <cell r="C199" t="str">
            <v>Grillaert</v>
          </cell>
          <cell r="D199" t="str">
            <v>Lieven</v>
          </cell>
          <cell r="E199" t="str">
            <v>GBR112</v>
          </cell>
          <cell r="F199">
            <v>55</v>
          </cell>
          <cell r="G199">
            <v>41771</v>
          </cell>
          <cell r="H199" t="str">
            <v>Rotty Christoff</v>
          </cell>
        </row>
        <row r="200">
          <cell r="A200">
            <v>29179</v>
          </cell>
          <cell r="B200" t="str">
            <v>Verwee Dries</v>
          </cell>
          <cell r="C200" t="str">
            <v>Verwee</v>
          </cell>
          <cell r="D200" t="str">
            <v>Dries</v>
          </cell>
          <cell r="E200" t="str">
            <v>GBR112</v>
          </cell>
          <cell r="F200">
            <v>276</v>
          </cell>
          <cell r="G200">
            <v>41827</v>
          </cell>
          <cell r="H200" t="str">
            <v>Dewulf Els</v>
          </cell>
        </row>
        <row r="201">
          <cell r="A201">
            <v>29181</v>
          </cell>
          <cell r="B201" t="str">
            <v>Van Turtelboom Franky</v>
          </cell>
          <cell r="C201" t="str">
            <v>Van Turtelboom</v>
          </cell>
          <cell r="D201" t="str">
            <v>Franky</v>
          </cell>
          <cell r="E201" t="str">
            <v>GBR112</v>
          </cell>
          <cell r="F201">
            <v>339</v>
          </cell>
          <cell r="G201">
            <v>41827</v>
          </cell>
          <cell r="H201" t="str">
            <v>Van Der Beken Bart</v>
          </cell>
        </row>
        <row r="202">
          <cell r="A202">
            <v>29271</v>
          </cell>
          <cell r="B202" t="str">
            <v>Maes Filip</v>
          </cell>
          <cell r="C202" t="str">
            <v>Maes</v>
          </cell>
          <cell r="D202" t="str">
            <v>Filip</v>
          </cell>
          <cell r="E202" t="str">
            <v>GBR112</v>
          </cell>
          <cell r="F202">
            <v>298</v>
          </cell>
          <cell r="G202">
            <v>41855</v>
          </cell>
          <cell r="H202" t="str">
            <v>Dewulf Els</v>
          </cell>
        </row>
        <row r="203">
          <cell r="A203">
            <v>29370</v>
          </cell>
          <cell r="B203" t="str">
            <v>De Weerdt Samuel</v>
          </cell>
          <cell r="C203" t="str">
            <v>De Weerdt</v>
          </cell>
          <cell r="D203" t="str">
            <v>Samuel</v>
          </cell>
          <cell r="E203" t="str">
            <v>GBR112</v>
          </cell>
          <cell r="F203">
            <v>375</v>
          </cell>
          <cell r="G203">
            <v>41904</v>
          </cell>
          <cell r="H203" t="str">
            <v>Van Der Beken Bart</v>
          </cell>
        </row>
        <row r="204">
          <cell r="A204">
            <v>29477</v>
          </cell>
          <cell r="B204" t="str">
            <v>De Vuyst Boyke</v>
          </cell>
          <cell r="C204" t="str">
            <v>De Vuyst</v>
          </cell>
          <cell r="D204" t="str">
            <v>Boyke</v>
          </cell>
          <cell r="E204" t="str">
            <v>GBR112</v>
          </cell>
          <cell r="F204">
            <v>436</v>
          </cell>
          <cell r="G204">
            <v>41946</v>
          </cell>
          <cell r="H204" t="str">
            <v>Van De Velde Lucie</v>
          </cell>
        </row>
        <row r="205">
          <cell r="A205">
            <v>29478</v>
          </cell>
          <cell r="B205" t="str">
            <v>Priwall Heike</v>
          </cell>
          <cell r="C205" t="str">
            <v>Priwall</v>
          </cell>
          <cell r="D205" t="str">
            <v>Heike</v>
          </cell>
          <cell r="E205" t="str">
            <v>GBR112</v>
          </cell>
          <cell r="F205">
            <v>437</v>
          </cell>
          <cell r="G205">
            <v>41946</v>
          </cell>
          <cell r="H205" t="str">
            <v>Dewulf Els</v>
          </cell>
        </row>
        <row r="206">
          <cell r="A206">
            <v>29539</v>
          </cell>
          <cell r="B206" t="str">
            <v>Dullaert Steven</v>
          </cell>
          <cell r="C206" t="str">
            <v>Dullaert</v>
          </cell>
          <cell r="D206" t="str">
            <v>Steven</v>
          </cell>
          <cell r="E206" t="str">
            <v>E17126</v>
          </cell>
          <cell r="F206">
            <v>366</v>
          </cell>
          <cell r="G206">
            <v>41981</v>
          </cell>
          <cell r="H206" t="str">
            <v>De Clercq Dominique</v>
          </cell>
        </row>
        <row r="207">
          <cell r="A207">
            <v>29540</v>
          </cell>
          <cell r="B207" t="str">
            <v>De Keyzer Jan</v>
          </cell>
          <cell r="C207" t="str">
            <v>De Keyzer</v>
          </cell>
          <cell r="D207" t="str">
            <v>Jan</v>
          </cell>
          <cell r="E207" t="str">
            <v>GBR112</v>
          </cell>
          <cell r="F207">
            <v>330</v>
          </cell>
          <cell r="G207">
            <v>41981</v>
          </cell>
          <cell r="H207" t="str">
            <v>Van De Velde Lucie</v>
          </cell>
        </row>
        <row r="208">
          <cell r="A208">
            <v>29591</v>
          </cell>
          <cell r="B208" t="str">
            <v>Celikoz Musa</v>
          </cell>
          <cell r="C208" t="str">
            <v>Celikoz</v>
          </cell>
          <cell r="D208" t="str">
            <v>Musa</v>
          </cell>
          <cell r="E208" t="str">
            <v>GBR112</v>
          </cell>
          <cell r="F208">
            <v>388</v>
          </cell>
          <cell r="G208">
            <v>42023</v>
          </cell>
          <cell r="H208" t="str">
            <v>Rotty Christoff</v>
          </cell>
        </row>
        <row r="209">
          <cell r="A209">
            <v>29646</v>
          </cell>
          <cell r="B209" t="str">
            <v>Özer Mesut</v>
          </cell>
          <cell r="C209" t="str">
            <v>Özer</v>
          </cell>
          <cell r="D209" t="str">
            <v>Mesut</v>
          </cell>
          <cell r="E209" t="str">
            <v>GBR112</v>
          </cell>
          <cell r="F209">
            <v>455</v>
          </cell>
          <cell r="G209">
            <v>42051</v>
          </cell>
          <cell r="H209" t="str">
            <v>De Clercq Dominique</v>
          </cell>
        </row>
        <row r="210">
          <cell r="A210">
            <v>29674</v>
          </cell>
          <cell r="B210" t="str">
            <v>Martens Geoffrey</v>
          </cell>
          <cell r="C210" t="str">
            <v>Martens</v>
          </cell>
          <cell r="D210" t="str">
            <v>Geoffrey</v>
          </cell>
          <cell r="E210" t="str">
            <v>GBR112</v>
          </cell>
          <cell r="G210">
            <v>42065</v>
          </cell>
          <cell r="H210" t="str">
            <v>De Clercq Dominique</v>
          </cell>
        </row>
        <row r="211">
          <cell r="A211">
            <v>29746</v>
          </cell>
          <cell r="B211" t="str">
            <v>Huyse Annicke</v>
          </cell>
          <cell r="C211" t="str">
            <v>Huyse</v>
          </cell>
          <cell r="D211" t="str">
            <v>Annicke</v>
          </cell>
          <cell r="E211" t="str">
            <v>GBR112</v>
          </cell>
          <cell r="F211">
            <v>70</v>
          </cell>
          <cell r="G211">
            <v>42093</v>
          </cell>
          <cell r="H211" t="str">
            <v>Van Der Beken Bart</v>
          </cell>
        </row>
        <row r="212">
          <cell r="A212">
            <v>29778</v>
          </cell>
          <cell r="B212" t="str">
            <v>Deboosere Kathy</v>
          </cell>
          <cell r="C212" t="str">
            <v>Deboosere</v>
          </cell>
          <cell r="D212" t="str">
            <v>Kathy</v>
          </cell>
          <cell r="E212" t="str">
            <v>GBR112</v>
          </cell>
          <cell r="F212">
            <v>173</v>
          </cell>
          <cell r="G212">
            <v>42107</v>
          </cell>
          <cell r="H212" t="str">
            <v>De Rick Kenneth</v>
          </cell>
        </row>
        <row r="213">
          <cell r="A213">
            <v>29818</v>
          </cell>
          <cell r="B213" t="str">
            <v>Van De Velde Anneleen</v>
          </cell>
          <cell r="C213" t="str">
            <v>Van De Velde</v>
          </cell>
          <cell r="D213" t="str">
            <v>Anneleen</v>
          </cell>
          <cell r="E213" t="str">
            <v>E17126</v>
          </cell>
          <cell r="F213">
            <v>401</v>
          </cell>
          <cell r="G213">
            <v>42121</v>
          </cell>
          <cell r="H213" t="str">
            <v>De Clercq Dominique</v>
          </cell>
        </row>
        <row r="214">
          <cell r="A214">
            <v>29821</v>
          </cell>
          <cell r="B214" t="str">
            <v>Mehman Doust Farhad</v>
          </cell>
          <cell r="C214" t="str">
            <v>Mehman Doust</v>
          </cell>
          <cell r="D214" t="str">
            <v>Farhad</v>
          </cell>
          <cell r="E214" t="str">
            <v>GBR112</v>
          </cell>
          <cell r="F214">
            <v>346</v>
          </cell>
          <cell r="G214">
            <v>42121</v>
          </cell>
          <cell r="H214" t="str">
            <v>De Clercq Dominique</v>
          </cell>
        </row>
        <row r="215">
          <cell r="A215">
            <v>30119</v>
          </cell>
          <cell r="B215" t="str">
            <v>Haerens Tom</v>
          </cell>
          <cell r="C215" t="str">
            <v>Haerens</v>
          </cell>
          <cell r="D215" t="str">
            <v>Tom</v>
          </cell>
          <cell r="E215" t="str">
            <v>GBR112</v>
          </cell>
          <cell r="F215">
            <v>143</v>
          </cell>
          <cell r="G215">
            <v>42198</v>
          </cell>
          <cell r="H215" t="str">
            <v>De Clercq Dominique</v>
          </cell>
        </row>
        <row r="216">
          <cell r="A216">
            <v>30121</v>
          </cell>
          <cell r="B216" t="str">
            <v>Simons Andreas</v>
          </cell>
          <cell r="C216" t="str">
            <v>Simons</v>
          </cell>
          <cell r="D216" t="str">
            <v>Andreas</v>
          </cell>
          <cell r="E216" t="str">
            <v>GBR112</v>
          </cell>
          <cell r="F216">
            <v>134</v>
          </cell>
          <cell r="G216">
            <v>42198</v>
          </cell>
          <cell r="H216" t="str">
            <v>Rotty Christoff</v>
          </cell>
        </row>
        <row r="217">
          <cell r="A217">
            <v>30271</v>
          </cell>
          <cell r="B217" t="str">
            <v>Bracke Jeroen</v>
          </cell>
          <cell r="C217" t="str">
            <v>Bracke</v>
          </cell>
          <cell r="D217" t="str">
            <v>Jeroen</v>
          </cell>
          <cell r="E217" t="str">
            <v>GBR112</v>
          </cell>
          <cell r="F217">
            <v>266</v>
          </cell>
          <cell r="G217">
            <v>42268</v>
          </cell>
          <cell r="H217" t="str">
            <v>Dewulf Els</v>
          </cell>
        </row>
        <row r="218">
          <cell r="A218">
            <v>30292</v>
          </cell>
          <cell r="B218" t="str">
            <v>Verberckmoes Sebastiaan</v>
          </cell>
          <cell r="C218" t="str">
            <v>Verberckmoes</v>
          </cell>
          <cell r="D218" t="str">
            <v>Sebastiaan</v>
          </cell>
          <cell r="E218" t="str">
            <v>GBR112</v>
          </cell>
          <cell r="F218">
            <v>369</v>
          </cell>
          <cell r="G218">
            <v>42282</v>
          </cell>
          <cell r="H218" t="str">
            <v>De Clercq Dominique</v>
          </cell>
        </row>
        <row r="219">
          <cell r="A219">
            <v>30321</v>
          </cell>
          <cell r="B219" t="str">
            <v>Unver Ismaïl</v>
          </cell>
          <cell r="C219" t="str">
            <v>Unver</v>
          </cell>
          <cell r="D219" t="str">
            <v>Ismaïl</v>
          </cell>
          <cell r="E219" t="str">
            <v>GBR112</v>
          </cell>
          <cell r="G219">
            <v>42296</v>
          </cell>
          <cell r="H219" t="str">
            <v>De Rick Kenneth</v>
          </cell>
        </row>
        <row r="220">
          <cell r="A220">
            <v>30323</v>
          </cell>
          <cell r="B220" t="str">
            <v>Vandersmissen Denis</v>
          </cell>
          <cell r="C220" t="str">
            <v>Vandersmissen</v>
          </cell>
          <cell r="D220" t="str">
            <v>Denis</v>
          </cell>
          <cell r="E220" t="str">
            <v>GBR112</v>
          </cell>
          <cell r="F220">
            <v>474</v>
          </cell>
          <cell r="G220">
            <v>42296</v>
          </cell>
          <cell r="H220" t="str">
            <v>Van Der Beken Bart</v>
          </cell>
        </row>
        <row r="221">
          <cell r="A221">
            <v>30623</v>
          </cell>
          <cell r="B221" t="str">
            <v>Gassa Mustafa</v>
          </cell>
          <cell r="C221" t="str">
            <v>Gassa</v>
          </cell>
          <cell r="D221" t="str">
            <v>Mustafa</v>
          </cell>
          <cell r="E221" t="str">
            <v>GBR112</v>
          </cell>
          <cell r="F221">
            <v>51</v>
          </cell>
          <cell r="G221">
            <v>42429</v>
          </cell>
          <cell r="H221" t="str">
            <v>De Rick Kenneth</v>
          </cell>
        </row>
        <row r="222">
          <cell r="A222">
            <v>30901</v>
          </cell>
          <cell r="B222" t="str">
            <v>vanden Bulcke Johan</v>
          </cell>
          <cell r="C222" t="str">
            <v>vanden Bulcke</v>
          </cell>
          <cell r="D222" t="str">
            <v>Johan</v>
          </cell>
          <cell r="E222" t="str">
            <v>GBR112</v>
          </cell>
          <cell r="F222">
            <v>187</v>
          </cell>
          <cell r="G222">
            <v>42534</v>
          </cell>
          <cell r="H222" t="str">
            <v>Dewulf Els</v>
          </cell>
        </row>
        <row r="223">
          <cell r="A223">
            <v>30967</v>
          </cell>
          <cell r="B223" t="str">
            <v>Taser Fatih</v>
          </cell>
          <cell r="C223" t="str">
            <v>Taser</v>
          </cell>
          <cell r="D223" t="str">
            <v>Fatih</v>
          </cell>
          <cell r="E223" t="str">
            <v>GBR112</v>
          </cell>
          <cell r="F223">
            <v>128</v>
          </cell>
          <cell r="G223">
            <v>42548</v>
          </cell>
          <cell r="H223" t="str">
            <v>De Clercq Dominique</v>
          </cell>
        </row>
        <row r="224">
          <cell r="A224">
            <v>30999</v>
          </cell>
          <cell r="B224" t="str">
            <v>Biesemans Jasper</v>
          </cell>
          <cell r="C224" t="str">
            <v>Biesemans</v>
          </cell>
          <cell r="D224" t="str">
            <v>Jasper</v>
          </cell>
          <cell r="E224" t="str">
            <v>GBR112</v>
          </cell>
          <cell r="G224">
            <v>42562</v>
          </cell>
          <cell r="H224" t="str">
            <v>Vanhoe Els</v>
          </cell>
        </row>
        <row r="225">
          <cell r="A225">
            <v>31092</v>
          </cell>
          <cell r="B225" t="str">
            <v>De Jaeger Kevin</v>
          </cell>
          <cell r="C225" t="str">
            <v>De Jaeger</v>
          </cell>
          <cell r="D225" t="str">
            <v>Kevin</v>
          </cell>
          <cell r="E225" t="str">
            <v>GBR112</v>
          </cell>
          <cell r="F225">
            <v>389</v>
          </cell>
          <cell r="G225">
            <v>42604</v>
          </cell>
          <cell r="H225" t="str">
            <v>Van De Velde Lucie</v>
          </cell>
        </row>
        <row r="226">
          <cell r="A226">
            <v>31111</v>
          </cell>
          <cell r="B226" t="str">
            <v>Bonne Niko</v>
          </cell>
          <cell r="C226" t="str">
            <v>Bonne</v>
          </cell>
          <cell r="D226" t="str">
            <v>Niko</v>
          </cell>
          <cell r="E226" t="str">
            <v>GBR112</v>
          </cell>
          <cell r="F226">
            <v>419</v>
          </cell>
          <cell r="G226">
            <v>42604</v>
          </cell>
          <cell r="H226" t="str">
            <v>Vanhoe Els</v>
          </cell>
        </row>
        <row r="227">
          <cell r="A227">
            <v>31118</v>
          </cell>
          <cell r="B227" t="str">
            <v>De Sutter Michiel</v>
          </cell>
          <cell r="C227" t="str">
            <v>De Sutter</v>
          </cell>
          <cell r="D227" t="str">
            <v>Michiel</v>
          </cell>
          <cell r="E227" t="str">
            <v>GBR112</v>
          </cell>
          <cell r="F227">
            <v>13</v>
          </cell>
          <cell r="G227">
            <v>42618</v>
          </cell>
          <cell r="H227" t="str">
            <v>Dewulf Els</v>
          </cell>
        </row>
        <row r="228">
          <cell r="A228">
            <v>31150</v>
          </cell>
          <cell r="B228" t="str">
            <v>Oueslati Mohamed Ali</v>
          </cell>
          <cell r="C228" t="str">
            <v>Oueslati</v>
          </cell>
          <cell r="D228" t="str">
            <v>Mohamed Ali</v>
          </cell>
          <cell r="E228" t="str">
            <v>GBR112</v>
          </cell>
          <cell r="F228">
            <v>33</v>
          </cell>
          <cell r="G228">
            <v>42643</v>
          </cell>
          <cell r="H228" t="str">
            <v>De Rick Kenneth</v>
          </cell>
        </row>
        <row r="229">
          <cell r="A229">
            <v>31165</v>
          </cell>
          <cell r="B229" t="str">
            <v>Govaerts Sandro</v>
          </cell>
          <cell r="C229" t="str">
            <v>Govaerts</v>
          </cell>
          <cell r="D229" t="str">
            <v>Sandro</v>
          </cell>
          <cell r="E229" t="str">
            <v>GBR112</v>
          </cell>
          <cell r="F229">
            <v>50</v>
          </cell>
          <cell r="G229">
            <v>42646</v>
          </cell>
          <cell r="H229" t="str">
            <v>Van De Velde Lucie</v>
          </cell>
        </row>
        <row r="230">
          <cell r="A230">
            <v>31231</v>
          </cell>
          <cell r="B230" t="str">
            <v>Colaes Dylan</v>
          </cell>
          <cell r="C230" t="str">
            <v>Colaes</v>
          </cell>
          <cell r="D230" t="str">
            <v>Dylan</v>
          </cell>
          <cell r="E230" t="str">
            <v>GBR112</v>
          </cell>
          <cell r="F230">
            <v>89</v>
          </cell>
          <cell r="G230">
            <v>42674</v>
          </cell>
          <cell r="H230" t="str">
            <v>Vanhoe Els</v>
          </cell>
        </row>
        <row r="231">
          <cell r="A231">
            <v>31360</v>
          </cell>
          <cell r="B231" t="str">
            <v>Simsek Fatih</v>
          </cell>
          <cell r="C231" t="str">
            <v>Simsek</v>
          </cell>
          <cell r="D231" t="str">
            <v>Fatih</v>
          </cell>
          <cell r="E231" t="str">
            <v>GBR112</v>
          </cell>
          <cell r="F231">
            <v>229</v>
          </cell>
          <cell r="G231">
            <v>42744</v>
          </cell>
          <cell r="H231" t="str">
            <v>De Clercq Dominique</v>
          </cell>
        </row>
        <row r="232">
          <cell r="A232">
            <v>31361</v>
          </cell>
          <cell r="B232" t="str">
            <v>Pille Pascal</v>
          </cell>
          <cell r="C232" t="str">
            <v>Pille</v>
          </cell>
          <cell r="D232" t="str">
            <v>Pascal</v>
          </cell>
          <cell r="E232" t="str">
            <v>GBR112</v>
          </cell>
          <cell r="F232">
            <v>228</v>
          </cell>
          <cell r="G232">
            <v>42751</v>
          </cell>
          <cell r="H232" t="str">
            <v>Vanhoe Els</v>
          </cell>
        </row>
        <row r="233">
          <cell r="A233">
            <v>31404</v>
          </cell>
          <cell r="B233" t="str">
            <v>Vindevogel Nick</v>
          </cell>
          <cell r="C233" t="str">
            <v>Vindevogel</v>
          </cell>
          <cell r="D233" t="str">
            <v>Nick</v>
          </cell>
          <cell r="E233" t="str">
            <v>E17126</v>
          </cell>
          <cell r="F233">
            <v>62</v>
          </cell>
          <cell r="G233">
            <v>42758</v>
          </cell>
          <cell r="H233" t="str">
            <v>De Clercq Dominique</v>
          </cell>
        </row>
        <row r="234">
          <cell r="A234">
            <v>31550</v>
          </cell>
          <cell r="B234" t="str">
            <v>Cetin Serdar</v>
          </cell>
          <cell r="C234" t="str">
            <v>Cetin</v>
          </cell>
          <cell r="D234" t="str">
            <v>Serdar</v>
          </cell>
          <cell r="E234" t="str">
            <v>GBR112</v>
          </cell>
          <cell r="F234">
            <v>248</v>
          </cell>
          <cell r="G234">
            <v>42828</v>
          </cell>
          <cell r="H234" t="str">
            <v>De Clercq Dominique</v>
          </cell>
        </row>
        <row r="235">
          <cell r="A235">
            <v>31600</v>
          </cell>
          <cell r="B235" t="str">
            <v>Mertens Tom</v>
          </cell>
          <cell r="C235" t="str">
            <v>Mertens</v>
          </cell>
          <cell r="D235" t="str">
            <v>Tom</v>
          </cell>
          <cell r="E235" t="str">
            <v>GBR112</v>
          </cell>
          <cell r="F235">
            <v>6</v>
          </cell>
          <cell r="G235">
            <v>42843</v>
          </cell>
          <cell r="H235" t="str">
            <v>Dewulf Els</v>
          </cell>
        </row>
        <row r="236">
          <cell r="A236">
            <v>31601</v>
          </cell>
          <cell r="B236" t="str">
            <v>Akin Ridvan</v>
          </cell>
          <cell r="C236" t="str">
            <v>Akin</v>
          </cell>
          <cell r="D236" t="str">
            <v>Ridvan</v>
          </cell>
          <cell r="E236" t="str">
            <v>GBR112</v>
          </cell>
          <cell r="F236">
            <v>225</v>
          </cell>
          <cell r="G236">
            <v>42843</v>
          </cell>
          <cell r="H236" t="str">
            <v>De Clercq Dominique</v>
          </cell>
        </row>
        <row r="237">
          <cell r="A237">
            <v>31634</v>
          </cell>
          <cell r="B237" t="str">
            <v>Kirsan Ömer</v>
          </cell>
          <cell r="C237" t="str">
            <v>Kirsan</v>
          </cell>
          <cell r="D237" t="str">
            <v>Ömer</v>
          </cell>
          <cell r="E237" t="str">
            <v>GBR112</v>
          </cell>
          <cell r="F237">
            <v>111</v>
          </cell>
          <cell r="G237">
            <v>42863</v>
          </cell>
          <cell r="H237" t="str">
            <v>Vanhoe Els</v>
          </cell>
        </row>
        <row r="238">
          <cell r="A238">
            <v>31635</v>
          </cell>
          <cell r="B238" t="str">
            <v>Vaeyens Midas</v>
          </cell>
          <cell r="C238" t="str">
            <v>Vaeyens</v>
          </cell>
          <cell r="D238" t="str">
            <v>Midas</v>
          </cell>
          <cell r="E238" t="str">
            <v>GBR112</v>
          </cell>
          <cell r="F238">
            <v>238</v>
          </cell>
          <cell r="G238">
            <v>42863</v>
          </cell>
          <cell r="H238" t="str">
            <v>Vanhoe Els</v>
          </cell>
        </row>
        <row r="239">
          <cell r="A239">
            <v>31659</v>
          </cell>
          <cell r="B239" t="str">
            <v>Grypdonck Kenneth</v>
          </cell>
          <cell r="C239" t="str">
            <v>Grypdonck</v>
          </cell>
          <cell r="D239" t="str">
            <v>Kenneth</v>
          </cell>
          <cell r="E239" t="str">
            <v>GBR112</v>
          </cell>
          <cell r="F239">
            <v>44</v>
          </cell>
          <cell r="G239">
            <v>42877</v>
          </cell>
          <cell r="H239" t="str">
            <v>Van Der Beken Bart</v>
          </cell>
        </row>
        <row r="240">
          <cell r="A240">
            <v>31668</v>
          </cell>
          <cell r="B240" t="str">
            <v>Weemhof Maurice</v>
          </cell>
          <cell r="C240" t="str">
            <v>Weemhof</v>
          </cell>
          <cell r="D240" t="str">
            <v>Maurice</v>
          </cell>
          <cell r="E240" t="str">
            <v>GBR112</v>
          </cell>
          <cell r="F240">
            <v>269</v>
          </cell>
          <cell r="G240">
            <v>42877</v>
          </cell>
          <cell r="H240" t="str">
            <v>De Clercq Dominique</v>
          </cell>
        </row>
        <row r="241">
          <cell r="A241">
            <v>31689</v>
          </cell>
          <cell r="B241" t="str">
            <v>Van Achte Jay</v>
          </cell>
          <cell r="C241" t="str">
            <v>Van Achte</v>
          </cell>
          <cell r="D241" t="str">
            <v>Jay</v>
          </cell>
          <cell r="E241" t="str">
            <v>GBR112</v>
          </cell>
          <cell r="F241">
            <v>223</v>
          </cell>
          <cell r="G241">
            <v>42892</v>
          </cell>
          <cell r="H241" t="str">
            <v>Storm Steven</v>
          </cell>
        </row>
        <row r="242">
          <cell r="A242">
            <v>31731</v>
          </cell>
          <cell r="B242" t="str">
            <v>Dedapper Marijke</v>
          </cell>
          <cell r="C242" t="str">
            <v>Dedapper</v>
          </cell>
          <cell r="D242" t="str">
            <v>Marijke</v>
          </cell>
          <cell r="E242" t="str">
            <v>GBR112</v>
          </cell>
          <cell r="F242">
            <v>202</v>
          </cell>
          <cell r="G242">
            <v>42919</v>
          </cell>
          <cell r="H242" t="str">
            <v>Vanhoe Els</v>
          </cell>
        </row>
        <row r="243">
          <cell r="A243">
            <v>31733</v>
          </cell>
          <cell r="B243" t="str">
            <v>Sonck Kristof</v>
          </cell>
          <cell r="C243" t="str">
            <v>Sonck</v>
          </cell>
          <cell r="D243" t="str">
            <v>Kristof</v>
          </cell>
          <cell r="E243" t="str">
            <v>E17126</v>
          </cell>
          <cell r="F243">
            <v>231</v>
          </cell>
          <cell r="G243">
            <v>42919</v>
          </cell>
          <cell r="H243" t="str">
            <v>De Clercq Dominique</v>
          </cell>
        </row>
        <row r="244">
          <cell r="A244">
            <v>31776</v>
          </cell>
          <cell r="B244" t="str">
            <v>Famelaer Steve</v>
          </cell>
          <cell r="C244" t="str">
            <v>Famelaer</v>
          </cell>
          <cell r="D244" t="str">
            <v>Steve</v>
          </cell>
          <cell r="E244" t="str">
            <v>GBR112</v>
          </cell>
          <cell r="F244">
            <v>294</v>
          </cell>
          <cell r="G244">
            <v>42933</v>
          </cell>
          <cell r="H244" t="str">
            <v>De Clercq Dominique</v>
          </cell>
        </row>
        <row r="245">
          <cell r="A245">
            <v>31891</v>
          </cell>
          <cell r="B245" t="str">
            <v>De Wilde Dimitry</v>
          </cell>
          <cell r="C245" t="str">
            <v>De Wilde</v>
          </cell>
          <cell r="D245" t="str">
            <v>Dimitry</v>
          </cell>
          <cell r="E245" t="str">
            <v>GBR112</v>
          </cell>
          <cell r="G245">
            <v>42975</v>
          </cell>
          <cell r="H245" t="str">
            <v>Van Der Beken Bart</v>
          </cell>
        </row>
        <row r="246">
          <cell r="A246">
            <v>32002</v>
          </cell>
          <cell r="B246" t="str">
            <v>Hasni Helmi</v>
          </cell>
          <cell r="C246" t="str">
            <v>Hasni</v>
          </cell>
          <cell r="D246" t="str">
            <v>Helmi</v>
          </cell>
          <cell r="E246" t="str">
            <v>GBR112</v>
          </cell>
          <cell r="F246">
            <v>204</v>
          </cell>
          <cell r="G246">
            <v>42989</v>
          </cell>
          <cell r="H246" t="str">
            <v>Storm Steven</v>
          </cell>
        </row>
        <row r="247">
          <cell r="A247">
            <v>32091</v>
          </cell>
          <cell r="B247" t="str">
            <v>Köroglu Ercan</v>
          </cell>
          <cell r="C247" t="str">
            <v>Köroglu</v>
          </cell>
          <cell r="D247" t="str">
            <v>Ercan</v>
          </cell>
          <cell r="E247" t="str">
            <v>GBR112</v>
          </cell>
          <cell r="F247">
            <v>69</v>
          </cell>
          <cell r="G247">
            <v>43003</v>
          </cell>
          <cell r="H247" t="str">
            <v>De Rick Kenneth</v>
          </cell>
        </row>
        <row r="248">
          <cell r="A248">
            <v>32092</v>
          </cell>
          <cell r="B248" t="str">
            <v>Er Tolga</v>
          </cell>
          <cell r="C248" t="str">
            <v>Er</v>
          </cell>
          <cell r="D248" t="str">
            <v>Tolga</v>
          </cell>
          <cell r="E248" t="str">
            <v>GBR112</v>
          </cell>
          <cell r="F248">
            <v>78</v>
          </cell>
          <cell r="G248">
            <v>43003</v>
          </cell>
          <cell r="H248" t="str">
            <v>Van Der Beken Bart</v>
          </cell>
        </row>
        <row r="249">
          <cell r="A249">
            <v>32168</v>
          </cell>
          <cell r="B249" t="str">
            <v>Vranken Zulkifly</v>
          </cell>
          <cell r="C249" t="str">
            <v>Vranken</v>
          </cell>
          <cell r="D249" t="str">
            <v>Zulkifly</v>
          </cell>
          <cell r="E249" t="str">
            <v>GBR112</v>
          </cell>
          <cell r="F249">
            <v>304</v>
          </cell>
          <cell r="G249">
            <v>43045</v>
          </cell>
          <cell r="H249" t="str">
            <v>De Rick Kenneth</v>
          </cell>
        </row>
        <row r="250">
          <cell r="A250">
            <v>32169</v>
          </cell>
          <cell r="B250" t="str">
            <v>Kelchtermans Raf</v>
          </cell>
          <cell r="C250" t="str">
            <v>Kelchtermans</v>
          </cell>
          <cell r="D250" t="str">
            <v>Raf</v>
          </cell>
          <cell r="E250" t="str">
            <v>GBR112</v>
          </cell>
          <cell r="F250">
            <v>46</v>
          </cell>
          <cell r="G250">
            <v>43031</v>
          </cell>
          <cell r="H250" t="str">
            <v>Storm Steven</v>
          </cell>
        </row>
        <row r="251">
          <cell r="A251">
            <v>32245</v>
          </cell>
          <cell r="B251" t="str">
            <v>Verlinden Bianca</v>
          </cell>
          <cell r="C251" t="str">
            <v>Verlinden</v>
          </cell>
          <cell r="D251" t="str">
            <v>Bianca</v>
          </cell>
          <cell r="E251" t="str">
            <v>GBR112</v>
          </cell>
          <cell r="F251">
            <v>240</v>
          </cell>
          <cell r="G251">
            <v>43073</v>
          </cell>
          <cell r="H251" t="str">
            <v>Vanhoe Els</v>
          </cell>
        </row>
        <row r="252">
          <cell r="A252">
            <v>32369</v>
          </cell>
          <cell r="B252" t="str">
            <v>Vandenborre Patrick</v>
          </cell>
          <cell r="C252" t="str">
            <v>Vandenborre</v>
          </cell>
          <cell r="D252" t="str">
            <v>Patrick</v>
          </cell>
          <cell r="E252" t="str">
            <v>GBR112</v>
          </cell>
          <cell r="F252">
            <v>60</v>
          </cell>
          <cell r="G252">
            <v>43108</v>
          </cell>
          <cell r="H252" t="str">
            <v>Vanhoe Els</v>
          </cell>
        </row>
        <row r="253">
          <cell r="A253">
            <v>32387</v>
          </cell>
          <cell r="B253" t="str">
            <v>Meersman Herman</v>
          </cell>
          <cell r="C253" t="str">
            <v>Meersman</v>
          </cell>
          <cell r="D253" t="str">
            <v>Herman</v>
          </cell>
          <cell r="E253" t="str">
            <v>GBR112</v>
          </cell>
          <cell r="F253">
            <v>217</v>
          </cell>
          <cell r="G253">
            <v>43108</v>
          </cell>
          <cell r="H253" t="str">
            <v>Storm Steven</v>
          </cell>
        </row>
        <row r="254">
          <cell r="A254">
            <v>32458</v>
          </cell>
          <cell r="B254" t="str">
            <v>Cifteoglu Sedat</v>
          </cell>
          <cell r="C254" t="str">
            <v>Cifteoglu</v>
          </cell>
          <cell r="D254" t="str">
            <v>Sedat</v>
          </cell>
          <cell r="E254" t="str">
            <v>GBR112</v>
          </cell>
          <cell r="F254">
            <v>168</v>
          </cell>
          <cell r="G254">
            <v>43150</v>
          </cell>
          <cell r="H254" t="str">
            <v>Dewulf Els</v>
          </cell>
        </row>
        <row r="255">
          <cell r="A255">
            <v>32528</v>
          </cell>
          <cell r="B255" t="str">
            <v>Benjilali Abdelhak</v>
          </cell>
          <cell r="C255" t="str">
            <v>Benjilali</v>
          </cell>
          <cell r="D255" t="str">
            <v>Abdelhak</v>
          </cell>
          <cell r="E255" t="str">
            <v>GBR112</v>
          </cell>
          <cell r="F255">
            <v>115</v>
          </cell>
          <cell r="G255">
            <v>43164</v>
          </cell>
          <cell r="H255" t="str">
            <v>Storm Steven</v>
          </cell>
        </row>
        <row r="256">
          <cell r="A256">
            <v>32542</v>
          </cell>
          <cell r="B256" t="str">
            <v>Vanderstock Kenny</v>
          </cell>
          <cell r="C256" t="str">
            <v>Vanderstock</v>
          </cell>
          <cell r="D256" t="str">
            <v>Kenny</v>
          </cell>
          <cell r="E256" t="str">
            <v>GBR112</v>
          </cell>
          <cell r="F256">
            <v>239</v>
          </cell>
          <cell r="G256">
            <v>43150</v>
          </cell>
          <cell r="H256" t="str">
            <v>De Clercq Dominique</v>
          </cell>
        </row>
        <row r="257">
          <cell r="A257">
            <v>32611</v>
          </cell>
          <cell r="B257" t="str">
            <v>Özer Özgur</v>
          </cell>
          <cell r="C257" t="str">
            <v>Özer</v>
          </cell>
          <cell r="D257" t="str">
            <v>Özgur</v>
          </cell>
          <cell r="E257" t="str">
            <v>GBR112</v>
          </cell>
          <cell r="F257">
            <v>292</v>
          </cell>
          <cell r="G257">
            <v>43178</v>
          </cell>
          <cell r="H257" t="str">
            <v>De Rick Kenneth</v>
          </cell>
        </row>
        <row r="258">
          <cell r="A258">
            <v>32620</v>
          </cell>
          <cell r="B258" t="str">
            <v>Saey Elias</v>
          </cell>
          <cell r="C258" t="str">
            <v>Saey</v>
          </cell>
          <cell r="D258" t="str">
            <v>Elias</v>
          </cell>
          <cell r="E258" t="str">
            <v>GBR112</v>
          </cell>
          <cell r="F258">
            <v>296</v>
          </cell>
          <cell r="G258">
            <v>43193</v>
          </cell>
          <cell r="H258" t="str">
            <v>Vanhoe Els</v>
          </cell>
        </row>
        <row r="259">
          <cell r="A259">
            <v>32951</v>
          </cell>
          <cell r="B259" t="str">
            <v>De Bruyne Sonia</v>
          </cell>
          <cell r="C259" t="str">
            <v>De Bruyne</v>
          </cell>
          <cell r="D259" t="str">
            <v>Sonia</v>
          </cell>
          <cell r="E259" t="str">
            <v>GBR112</v>
          </cell>
          <cell r="F259">
            <v>20</v>
          </cell>
          <cell r="G259">
            <v>43304</v>
          </cell>
          <cell r="H259" t="str">
            <v>Van De Velde Lucie</v>
          </cell>
        </row>
        <row r="260">
          <cell r="A260">
            <v>33049</v>
          </cell>
          <cell r="B260" t="str">
            <v>Depaepe Dirk</v>
          </cell>
          <cell r="C260" t="str">
            <v>Depaepe</v>
          </cell>
          <cell r="D260" t="str">
            <v>Dirk</v>
          </cell>
          <cell r="E260" t="str">
            <v>GBR112</v>
          </cell>
          <cell r="F260">
            <v>205</v>
          </cell>
          <cell r="G260">
            <v>43318</v>
          </cell>
          <cell r="H260" t="str">
            <v>De Rick Kenneth</v>
          </cell>
        </row>
        <row r="261">
          <cell r="A261">
            <v>33085</v>
          </cell>
          <cell r="B261" t="str">
            <v>Van Hoe Ivo</v>
          </cell>
          <cell r="C261" t="str">
            <v>Van Hoe</v>
          </cell>
          <cell r="D261" t="str">
            <v>Ivo</v>
          </cell>
          <cell r="E261" t="str">
            <v>GBR112</v>
          </cell>
          <cell r="G261">
            <v>43325</v>
          </cell>
          <cell r="H261" t="str">
            <v>De Rick Kenneth</v>
          </cell>
        </row>
        <row r="262">
          <cell r="A262">
            <v>33400</v>
          </cell>
          <cell r="B262" t="str">
            <v>Petit Cynthia</v>
          </cell>
          <cell r="C262" t="str">
            <v>Petit</v>
          </cell>
          <cell r="D262" t="str">
            <v>Cynthia</v>
          </cell>
          <cell r="E262" t="str">
            <v>GBR112</v>
          </cell>
          <cell r="F262">
            <v>85</v>
          </cell>
          <cell r="G262">
            <v>43444</v>
          </cell>
          <cell r="H262" t="str">
            <v>Rotty Christoff</v>
          </cell>
        </row>
        <row r="263">
          <cell r="A263">
            <v>33450</v>
          </cell>
          <cell r="B263" t="str">
            <v>Verroeye Chris</v>
          </cell>
          <cell r="C263" t="str">
            <v>Verroeye</v>
          </cell>
          <cell r="D263" t="str">
            <v>Chris</v>
          </cell>
          <cell r="E263" t="str">
            <v>GBR112</v>
          </cell>
          <cell r="F263">
            <v>197</v>
          </cell>
          <cell r="G263">
            <v>43472</v>
          </cell>
          <cell r="H263" t="str">
            <v>De Rick Kenneth</v>
          </cell>
        </row>
        <row r="264">
          <cell r="A264">
            <v>33488</v>
          </cell>
          <cell r="B264" t="str">
            <v>Holub Patrik</v>
          </cell>
          <cell r="C264" t="str">
            <v>Holub</v>
          </cell>
          <cell r="D264" t="str">
            <v>Patrik</v>
          </cell>
          <cell r="E264" t="str">
            <v>GBR112</v>
          </cell>
          <cell r="F264">
            <v>430</v>
          </cell>
          <cell r="G264">
            <v>43486</v>
          </cell>
          <cell r="H264" t="str">
            <v>Vanhoe Els</v>
          </cell>
        </row>
        <row r="265">
          <cell r="A265">
            <v>33551</v>
          </cell>
          <cell r="B265" t="str">
            <v>Dekens Andy</v>
          </cell>
          <cell r="C265" t="str">
            <v>Dekens</v>
          </cell>
          <cell r="D265" t="str">
            <v>Andy</v>
          </cell>
          <cell r="E265" t="str">
            <v>GBR112</v>
          </cell>
          <cell r="G265">
            <v>43500</v>
          </cell>
          <cell r="H265" t="str">
            <v>Vanhoe Els</v>
          </cell>
        </row>
        <row r="266">
          <cell r="A266">
            <v>33600</v>
          </cell>
          <cell r="B266" t="str">
            <v>Caufrier Matthew</v>
          </cell>
          <cell r="C266" t="str">
            <v>Caufrier</v>
          </cell>
          <cell r="D266" t="str">
            <v>Matthew</v>
          </cell>
          <cell r="E266" t="str">
            <v>GBR112</v>
          </cell>
          <cell r="F266">
            <v>268</v>
          </cell>
          <cell r="G266">
            <v>43514</v>
          </cell>
          <cell r="H266" t="str">
            <v>De Rick Kenneth</v>
          </cell>
        </row>
        <row r="267">
          <cell r="A267">
            <v>33639</v>
          </cell>
          <cell r="B267" t="str">
            <v>Van de Velde Valentijn</v>
          </cell>
          <cell r="C267" t="str">
            <v>Van de Velde</v>
          </cell>
          <cell r="D267" t="str">
            <v>Valentijn</v>
          </cell>
          <cell r="E267" t="str">
            <v>GBR112</v>
          </cell>
          <cell r="F267">
            <v>104</v>
          </cell>
          <cell r="G267">
            <v>43528</v>
          </cell>
          <cell r="H267" t="str">
            <v>Van De Velde Lucie</v>
          </cell>
        </row>
        <row r="268">
          <cell r="A268">
            <v>33640</v>
          </cell>
          <cell r="B268" t="str">
            <v>Verschraegen Patrick</v>
          </cell>
          <cell r="C268" t="str">
            <v>Verschraegen</v>
          </cell>
          <cell r="D268" t="str">
            <v>Patrick</v>
          </cell>
          <cell r="E268" t="str">
            <v>GBR112</v>
          </cell>
          <cell r="F268">
            <v>167</v>
          </cell>
          <cell r="G268">
            <v>43528</v>
          </cell>
          <cell r="H268" t="str">
            <v>Storm Steven</v>
          </cell>
        </row>
        <row r="269">
          <cell r="A269">
            <v>33698</v>
          </cell>
          <cell r="B269" t="str">
            <v>Van Limbergen Danny</v>
          </cell>
          <cell r="C269" t="str">
            <v>Van Limbergen</v>
          </cell>
          <cell r="D269" t="str">
            <v>Danny</v>
          </cell>
          <cell r="E269" t="str">
            <v>GBR112</v>
          </cell>
          <cell r="F269">
            <v>270</v>
          </cell>
          <cell r="G269">
            <v>43542</v>
          </cell>
          <cell r="H269" t="str">
            <v>Storm Steven</v>
          </cell>
        </row>
        <row r="270">
          <cell r="A270">
            <v>33757</v>
          </cell>
          <cell r="B270" t="str">
            <v>Vergucht Hugo</v>
          </cell>
          <cell r="C270" t="str">
            <v>Vergucht</v>
          </cell>
          <cell r="D270" t="str">
            <v>Hugo</v>
          </cell>
          <cell r="E270" t="str">
            <v>GBR112</v>
          </cell>
          <cell r="F270">
            <v>220</v>
          </cell>
          <cell r="G270">
            <v>43556</v>
          </cell>
          <cell r="H270" t="str">
            <v>Storm Steven</v>
          </cell>
        </row>
        <row r="271">
          <cell r="A271">
            <v>33982</v>
          </cell>
          <cell r="B271" t="str">
            <v>Hoffelinck Thomas</v>
          </cell>
          <cell r="C271" t="str">
            <v>Hoffelinck</v>
          </cell>
          <cell r="D271" t="str">
            <v>Thomas</v>
          </cell>
          <cell r="E271" t="str">
            <v>GBR112</v>
          </cell>
          <cell r="F271">
            <v>215</v>
          </cell>
          <cell r="G271">
            <v>43605</v>
          </cell>
          <cell r="H271" t="str">
            <v>Dewulf Els</v>
          </cell>
        </row>
        <row r="272">
          <cell r="A272">
            <v>33986</v>
          </cell>
          <cell r="B272" t="str">
            <v>Göktas Muharrem</v>
          </cell>
          <cell r="C272" t="str">
            <v>Göktas</v>
          </cell>
          <cell r="D272" t="str">
            <v>Muharrem</v>
          </cell>
          <cell r="E272" t="str">
            <v>GBR112</v>
          </cell>
          <cell r="F272">
            <v>163</v>
          </cell>
          <cell r="G272">
            <v>43605</v>
          </cell>
          <cell r="H272" t="str">
            <v>De Rick Kenneth</v>
          </cell>
        </row>
        <row r="273">
          <cell r="A273">
            <v>34019</v>
          </cell>
          <cell r="B273" t="str">
            <v>Hoste Tom</v>
          </cell>
          <cell r="C273" t="str">
            <v>Hoste</v>
          </cell>
          <cell r="D273" t="str">
            <v>Tom</v>
          </cell>
          <cell r="E273" t="str">
            <v>GBR112</v>
          </cell>
          <cell r="F273">
            <v>329</v>
          </cell>
          <cell r="G273">
            <v>43627</v>
          </cell>
          <cell r="H273" t="str">
            <v>Rotty Christoff</v>
          </cell>
        </row>
        <row r="274">
          <cell r="A274">
            <v>34044</v>
          </cell>
          <cell r="B274" t="str">
            <v>Wieme Kevin</v>
          </cell>
          <cell r="C274" t="str">
            <v>Wieme</v>
          </cell>
          <cell r="D274" t="str">
            <v>Kevin</v>
          </cell>
          <cell r="E274" t="str">
            <v>GBR112</v>
          </cell>
          <cell r="F274">
            <v>300</v>
          </cell>
          <cell r="G274">
            <v>43640</v>
          </cell>
          <cell r="H274" t="str">
            <v>Rotty Christoff</v>
          </cell>
        </row>
        <row r="275">
          <cell r="A275">
            <v>34198</v>
          </cell>
          <cell r="B275" t="str">
            <v>Pelfrene Toby</v>
          </cell>
          <cell r="C275" t="str">
            <v>Pelfrene</v>
          </cell>
          <cell r="D275" t="str">
            <v>Toby</v>
          </cell>
          <cell r="E275" t="str">
            <v>GBR112</v>
          </cell>
          <cell r="F275">
            <v>103</v>
          </cell>
          <cell r="G275">
            <v>43669</v>
          </cell>
          <cell r="H275" t="str">
            <v>Vanhoe Els</v>
          </cell>
        </row>
        <row r="276">
          <cell r="A276">
            <v>34286</v>
          </cell>
          <cell r="B276" t="str">
            <v>Ghani Mozamil</v>
          </cell>
          <cell r="C276" t="str">
            <v>Ghani</v>
          </cell>
          <cell r="D276" t="str">
            <v>Mozamil</v>
          </cell>
          <cell r="E276" t="str">
            <v>GBR112</v>
          </cell>
          <cell r="F276">
            <v>385</v>
          </cell>
          <cell r="G276">
            <v>43724</v>
          </cell>
          <cell r="H276" t="str">
            <v>Storm Steven</v>
          </cell>
        </row>
        <row r="277">
          <cell r="A277">
            <v>34312</v>
          </cell>
          <cell r="B277" t="str">
            <v>Sari Halil</v>
          </cell>
          <cell r="C277" t="str">
            <v>Sari</v>
          </cell>
          <cell r="D277" t="str">
            <v>Halil</v>
          </cell>
          <cell r="E277" t="str">
            <v>GBR112</v>
          </cell>
          <cell r="F277">
            <v>351</v>
          </cell>
          <cell r="G277">
            <v>43710</v>
          </cell>
          <cell r="H277" t="str">
            <v>Storm Steven</v>
          </cell>
        </row>
        <row r="278">
          <cell r="A278">
            <v>34325</v>
          </cell>
          <cell r="B278" t="str">
            <v>Eid Mathyn</v>
          </cell>
          <cell r="C278" t="str">
            <v>Eid</v>
          </cell>
          <cell r="D278" t="str">
            <v>Mathyn</v>
          </cell>
          <cell r="E278" t="str">
            <v>GBR112</v>
          </cell>
          <cell r="G278">
            <v>43710</v>
          </cell>
          <cell r="H278" t="str">
            <v>Storm Steven</v>
          </cell>
        </row>
        <row r="279">
          <cell r="A279">
            <v>34328</v>
          </cell>
          <cell r="B279" t="str">
            <v>Kerremans Jürgen</v>
          </cell>
          <cell r="C279" t="str">
            <v>Kerremans</v>
          </cell>
          <cell r="D279" t="str">
            <v>Jürgen</v>
          </cell>
          <cell r="E279" t="str">
            <v>GBR112</v>
          </cell>
          <cell r="F279">
            <v>445</v>
          </cell>
          <cell r="G279">
            <v>43710</v>
          </cell>
          <cell r="H279" t="str">
            <v>De Rick Kenneth</v>
          </cell>
        </row>
        <row r="280">
          <cell r="A280">
            <v>34351</v>
          </cell>
          <cell r="B280" t="str">
            <v>Callant Dieter</v>
          </cell>
          <cell r="C280" t="str">
            <v>Callant</v>
          </cell>
          <cell r="D280" t="str">
            <v>Dieter</v>
          </cell>
          <cell r="E280" t="str">
            <v>GBR112</v>
          </cell>
          <cell r="F280">
            <v>11</v>
          </cell>
          <cell r="G280">
            <v>43710</v>
          </cell>
          <cell r="H280" t="str">
            <v>Vanhoe Els</v>
          </cell>
        </row>
        <row r="281">
          <cell r="A281">
            <v>34445</v>
          </cell>
          <cell r="B281" t="str">
            <v>Wulleput Illya</v>
          </cell>
          <cell r="C281" t="str">
            <v>Wulleput</v>
          </cell>
          <cell r="D281" t="str">
            <v>Illya</v>
          </cell>
          <cell r="E281" t="str">
            <v>GBR112</v>
          </cell>
          <cell r="F281">
            <v>132</v>
          </cell>
          <cell r="G281">
            <v>43752</v>
          </cell>
          <cell r="H281" t="str">
            <v>De Clercq Dominique</v>
          </cell>
        </row>
        <row r="282">
          <cell r="A282">
            <v>34664</v>
          </cell>
          <cell r="B282" t="str">
            <v>Fiers Kenny</v>
          </cell>
          <cell r="C282" t="str">
            <v>Fiers</v>
          </cell>
          <cell r="D282" t="str">
            <v>Kenny</v>
          </cell>
          <cell r="E282" t="str">
            <v>GBR112</v>
          </cell>
          <cell r="F282">
            <v>158</v>
          </cell>
          <cell r="G282">
            <v>43781</v>
          </cell>
          <cell r="H282" t="str">
            <v>Storm Steven</v>
          </cell>
        </row>
        <row r="283">
          <cell r="A283">
            <v>35005</v>
          </cell>
          <cell r="B283" t="str">
            <v>Agacseven Mustafa</v>
          </cell>
          <cell r="C283" t="str">
            <v>Agacseven</v>
          </cell>
          <cell r="D283" t="str">
            <v>Mustafa</v>
          </cell>
          <cell r="E283" t="str">
            <v>GBR112</v>
          </cell>
          <cell r="F283">
            <v>450</v>
          </cell>
          <cell r="G283">
            <v>43850</v>
          </cell>
          <cell r="H283" t="str">
            <v>Van Der Beken Bart</v>
          </cell>
        </row>
        <row r="284">
          <cell r="A284">
            <v>35006</v>
          </cell>
          <cell r="B284" t="str">
            <v>Van Hoe Youri</v>
          </cell>
          <cell r="C284" t="str">
            <v>Van Hoe</v>
          </cell>
          <cell r="D284" t="str">
            <v>Youri</v>
          </cell>
          <cell r="E284" t="str">
            <v>GBR112</v>
          </cell>
          <cell r="F284">
            <v>469</v>
          </cell>
          <cell r="G284">
            <v>43906</v>
          </cell>
          <cell r="H284" t="str">
            <v>De Rick Kenneth</v>
          </cell>
        </row>
        <row r="285">
          <cell r="A285">
            <v>35026</v>
          </cell>
          <cell r="B285" t="str">
            <v>Momsen Rory</v>
          </cell>
          <cell r="C285" t="str">
            <v>Momsen</v>
          </cell>
          <cell r="D285" t="str">
            <v>Rory</v>
          </cell>
          <cell r="E285" t="str">
            <v>GBR112</v>
          </cell>
          <cell r="F285">
            <v>399</v>
          </cell>
          <cell r="G285">
            <v>43850</v>
          </cell>
          <cell r="H285" t="str">
            <v>Storm Steven</v>
          </cell>
        </row>
        <row r="286">
          <cell r="A286">
            <v>35030</v>
          </cell>
          <cell r="B286" t="str">
            <v>De Henau Wim</v>
          </cell>
          <cell r="C286" t="str">
            <v>De Henau</v>
          </cell>
          <cell r="D286" t="str">
            <v>Wim</v>
          </cell>
          <cell r="E286" t="str">
            <v>GBR112</v>
          </cell>
          <cell r="F286">
            <v>465</v>
          </cell>
          <cell r="G286">
            <v>43892</v>
          </cell>
          <cell r="H286" t="str">
            <v>Van De Velde Lucie</v>
          </cell>
        </row>
        <row r="287">
          <cell r="A287">
            <v>35055</v>
          </cell>
          <cell r="B287" t="str">
            <v>Kocabas Abdülkadir</v>
          </cell>
          <cell r="C287" t="str">
            <v>Kocabas</v>
          </cell>
          <cell r="D287" t="str">
            <v>Abdülkadir</v>
          </cell>
          <cell r="E287" t="str">
            <v>GBR112</v>
          </cell>
          <cell r="F287">
            <v>405</v>
          </cell>
          <cell r="G287">
            <v>43864</v>
          </cell>
          <cell r="H287" t="str">
            <v>Vanhoe Els</v>
          </cell>
        </row>
        <row r="288">
          <cell r="A288">
            <v>35107</v>
          </cell>
          <cell r="B288" t="str">
            <v>Rotsaert Dominique</v>
          </cell>
          <cell r="C288" t="str">
            <v>Rotsaert</v>
          </cell>
          <cell r="D288" t="str">
            <v>Dominique</v>
          </cell>
          <cell r="E288" t="str">
            <v>GBR112</v>
          </cell>
          <cell r="F288">
            <v>311</v>
          </cell>
          <cell r="G288">
            <v>43864</v>
          </cell>
          <cell r="H288" t="str">
            <v>Van Der Beken Bart</v>
          </cell>
        </row>
        <row r="289">
          <cell r="A289">
            <v>35120</v>
          </cell>
          <cell r="B289" t="str">
            <v>Delcourt Daniel</v>
          </cell>
          <cell r="C289" t="str">
            <v>Delcourt</v>
          </cell>
          <cell r="D289" t="str">
            <v>Daniel</v>
          </cell>
          <cell r="E289" t="str">
            <v>GBR112</v>
          </cell>
          <cell r="F289">
            <v>480</v>
          </cell>
          <cell r="G289">
            <v>43878</v>
          </cell>
          <cell r="H289" t="str">
            <v>Dewulf Els</v>
          </cell>
        </row>
        <row r="290">
          <cell r="A290">
            <v>35187</v>
          </cell>
          <cell r="B290" t="str">
            <v>Bastiaen Eric</v>
          </cell>
          <cell r="C290" t="str">
            <v>Bastiaen</v>
          </cell>
          <cell r="D290" t="str">
            <v>Eric</v>
          </cell>
          <cell r="E290" t="str">
            <v>GBR112</v>
          </cell>
          <cell r="G290">
            <v>43891</v>
          </cell>
          <cell r="H290" t="str">
            <v>Van De Velde Lucie</v>
          </cell>
        </row>
        <row r="291">
          <cell r="A291">
            <v>35216</v>
          </cell>
          <cell r="B291" t="str">
            <v>Coban Mehmet</v>
          </cell>
          <cell r="C291" t="str">
            <v>Coban</v>
          </cell>
          <cell r="D291" t="str">
            <v>Mehmet</v>
          </cell>
          <cell r="E291" t="str">
            <v>GBR112</v>
          </cell>
          <cell r="F291">
            <v>421</v>
          </cell>
          <cell r="G291">
            <v>43892</v>
          </cell>
          <cell r="H291" t="str">
            <v>Van De Velde Lucie</v>
          </cell>
        </row>
        <row r="292">
          <cell r="A292">
            <v>35220</v>
          </cell>
          <cell r="B292" t="str">
            <v>Akmese Ahmet</v>
          </cell>
          <cell r="C292" t="str">
            <v>Akmese</v>
          </cell>
          <cell r="D292" t="str">
            <v>Ahmet</v>
          </cell>
          <cell r="E292" t="str">
            <v>GBR112</v>
          </cell>
          <cell r="G292">
            <v>43906</v>
          </cell>
          <cell r="H292" t="str">
            <v>Van De Velde Lucie</v>
          </cell>
        </row>
        <row r="293">
          <cell r="A293">
            <v>35246</v>
          </cell>
          <cell r="B293" t="str">
            <v>De Meyer Karel</v>
          </cell>
          <cell r="C293" t="str">
            <v>De Meyer</v>
          </cell>
          <cell r="D293" t="str">
            <v>Karel</v>
          </cell>
          <cell r="E293" t="str">
            <v>GBR112</v>
          </cell>
          <cell r="F293">
            <v>160</v>
          </cell>
          <cell r="G293">
            <v>43906</v>
          </cell>
          <cell r="H293" t="str">
            <v>Vanhoe Els</v>
          </cell>
        </row>
        <row r="294">
          <cell r="A294">
            <v>35334</v>
          </cell>
          <cell r="B294" t="str">
            <v>Dewulf Matthias</v>
          </cell>
          <cell r="C294" t="str">
            <v>Dewulf</v>
          </cell>
          <cell r="D294" t="str">
            <v>Matthias</v>
          </cell>
          <cell r="E294" t="str">
            <v>GBR112</v>
          </cell>
          <cell r="F294">
            <v>114</v>
          </cell>
          <cell r="G294">
            <v>43944</v>
          </cell>
          <cell r="H294" t="str">
            <v>Vanhoe Els</v>
          </cell>
        </row>
        <row r="295">
          <cell r="A295">
            <v>35379</v>
          </cell>
          <cell r="B295" t="str">
            <v>Engels Sam</v>
          </cell>
          <cell r="C295" t="str">
            <v>Engels</v>
          </cell>
          <cell r="D295" t="str">
            <v>Sam</v>
          </cell>
          <cell r="E295" t="str">
            <v>GBR112</v>
          </cell>
          <cell r="F295">
            <v>350</v>
          </cell>
          <cell r="G295">
            <v>43969</v>
          </cell>
          <cell r="H295" t="str">
            <v>Vanhoe Els</v>
          </cell>
        </row>
        <row r="296">
          <cell r="A296">
            <v>35395</v>
          </cell>
          <cell r="B296" t="str">
            <v>Limbourg Heidi</v>
          </cell>
          <cell r="C296" t="str">
            <v>Limbourg</v>
          </cell>
          <cell r="D296" t="str">
            <v>Heidi</v>
          </cell>
          <cell r="E296" t="str">
            <v>GBR112</v>
          </cell>
          <cell r="F296">
            <v>335</v>
          </cell>
          <cell r="G296">
            <v>43980</v>
          </cell>
          <cell r="H296" t="str">
            <v>Storm Steven</v>
          </cell>
        </row>
        <row r="297">
          <cell r="A297">
            <v>35397</v>
          </cell>
          <cell r="B297" t="str">
            <v>Minbari Ako</v>
          </cell>
          <cell r="C297" t="str">
            <v>Minbari</v>
          </cell>
          <cell r="D297" t="str">
            <v>Ako</v>
          </cell>
          <cell r="E297" t="str">
            <v>GBR112</v>
          </cell>
          <cell r="F297">
            <v>387</v>
          </cell>
          <cell r="G297">
            <v>43984</v>
          </cell>
          <cell r="H297" t="str">
            <v>Van De Velde Lucie</v>
          </cell>
        </row>
        <row r="298">
          <cell r="A298">
            <v>35414</v>
          </cell>
          <cell r="B298" t="str">
            <v>Riahi Brahim</v>
          </cell>
          <cell r="C298" t="str">
            <v>Riahi</v>
          </cell>
          <cell r="D298" t="str">
            <v>Brahim</v>
          </cell>
          <cell r="E298" t="str">
            <v>GBR112</v>
          </cell>
          <cell r="F298">
            <v>324</v>
          </cell>
          <cell r="G298">
            <v>44039</v>
          </cell>
          <cell r="H298" t="str">
            <v>Storm Steven</v>
          </cell>
        </row>
        <row r="299">
          <cell r="A299">
            <v>35419</v>
          </cell>
          <cell r="B299" t="str">
            <v>Vermeir Davy</v>
          </cell>
          <cell r="C299" t="str">
            <v>Vermeir</v>
          </cell>
          <cell r="D299" t="str">
            <v>Davy</v>
          </cell>
          <cell r="E299" t="str">
            <v>GBR112</v>
          </cell>
          <cell r="F299">
            <v>95</v>
          </cell>
          <cell r="G299">
            <v>44011</v>
          </cell>
          <cell r="H299" t="str">
            <v>Van De Velde Lucie</v>
          </cell>
        </row>
        <row r="300">
          <cell r="A300">
            <v>35430</v>
          </cell>
          <cell r="B300" t="str">
            <v>Vlaminck Dirk</v>
          </cell>
          <cell r="C300" t="str">
            <v>Vlaminck</v>
          </cell>
          <cell r="D300" t="str">
            <v>Dirk</v>
          </cell>
          <cell r="E300" t="str">
            <v>GBR112</v>
          </cell>
          <cell r="F300">
            <v>28</v>
          </cell>
          <cell r="G300">
            <v>44011</v>
          </cell>
          <cell r="H300" t="str">
            <v>Vanhoe Els</v>
          </cell>
        </row>
        <row r="301">
          <cell r="A301">
            <v>35434</v>
          </cell>
          <cell r="B301" t="str">
            <v>Kaya Aytekin</v>
          </cell>
          <cell r="C301" t="str">
            <v>Kaya</v>
          </cell>
          <cell r="D301" t="str">
            <v>Aytekin</v>
          </cell>
          <cell r="E301" t="str">
            <v>GBR112</v>
          </cell>
          <cell r="F301">
            <v>426</v>
          </cell>
          <cell r="G301">
            <v>44081</v>
          </cell>
          <cell r="H301" t="str">
            <v>De Clercq Dominique</v>
          </cell>
        </row>
        <row r="302">
          <cell r="A302">
            <v>35450</v>
          </cell>
          <cell r="B302" t="str">
            <v>Roos Hugo</v>
          </cell>
          <cell r="C302" t="str">
            <v>Roos</v>
          </cell>
          <cell r="D302" t="str">
            <v>Hugo</v>
          </cell>
          <cell r="E302" t="str">
            <v>GBR112</v>
          </cell>
          <cell r="F302">
            <v>400</v>
          </cell>
          <cell r="G302">
            <v>43997</v>
          </cell>
          <cell r="H302" t="str">
            <v>Dewulf Els</v>
          </cell>
        </row>
        <row r="303">
          <cell r="A303">
            <v>35463</v>
          </cell>
          <cell r="B303" t="str">
            <v>Vandaele Tom</v>
          </cell>
          <cell r="C303" t="str">
            <v>Vandaele</v>
          </cell>
          <cell r="D303" t="str">
            <v>Tom</v>
          </cell>
          <cell r="E303" t="str">
            <v>GBR112</v>
          </cell>
          <cell r="F303">
            <v>38</v>
          </cell>
          <cell r="G303">
            <v>44025</v>
          </cell>
          <cell r="H303" t="str">
            <v>De Clercq Dominique</v>
          </cell>
        </row>
        <row r="304">
          <cell r="A304">
            <v>35471</v>
          </cell>
          <cell r="B304" t="str">
            <v>Vonck Freddy</v>
          </cell>
          <cell r="C304" t="str">
            <v>Vonck</v>
          </cell>
          <cell r="D304" t="str">
            <v>Freddy</v>
          </cell>
          <cell r="E304" t="str">
            <v>GBR112</v>
          </cell>
          <cell r="G304">
            <v>43993</v>
          </cell>
          <cell r="H304" t="str">
            <v>Van De Velde Lucie</v>
          </cell>
        </row>
        <row r="305">
          <cell r="A305">
            <v>35490</v>
          </cell>
          <cell r="B305" t="str">
            <v>Nguetto Brisco Romeo</v>
          </cell>
          <cell r="C305" t="str">
            <v>Nguetto</v>
          </cell>
          <cell r="D305" t="str">
            <v>Brisco Romeo</v>
          </cell>
          <cell r="E305" t="str">
            <v>GBR112</v>
          </cell>
          <cell r="F305">
            <v>10</v>
          </cell>
          <cell r="G305">
            <v>44025</v>
          </cell>
          <cell r="H305" t="str">
            <v>Storm Steven</v>
          </cell>
        </row>
        <row r="306">
          <cell r="A306">
            <v>35491</v>
          </cell>
          <cell r="B306" t="str">
            <v>Toubadie Zakaria</v>
          </cell>
          <cell r="C306" t="str">
            <v>Toubadie</v>
          </cell>
          <cell r="D306" t="str">
            <v>Zakaria</v>
          </cell>
          <cell r="E306" t="str">
            <v>GBR112</v>
          </cell>
          <cell r="F306">
            <v>452</v>
          </cell>
          <cell r="G306">
            <v>44025</v>
          </cell>
          <cell r="H306" t="str">
            <v>Vanhoe Els</v>
          </cell>
        </row>
        <row r="307">
          <cell r="A307">
            <v>35493</v>
          </cell>
          <cell r="B307" t="str">
            <v>van Turnhout Mariëlle</v>
          </cell>
          <cell r="C307" t="str">
            <v>van Turnhout</v>
          </cell>
          <cell r="D307" t="str">
            <v>Mariëlle</v>
          </cell>
          <cell r="E307" t="str">
            <v>GBR112</v>
          </cell>
          <cell r="F307">
            <v>282</v>
          </cell>
          <cell r="G307">
            <v>44039</v>
          </cell>
          <cell r="H307" t="str">
            <v>Van De Velde Lucie</v>
          </cell>
        </row>
        <row r="308">
          <cell r="A308">
            <v>35494</v>
          </cell>
          <cell r="B308" t="str">
            <v>Rummens Maarten</v>
          </cell>
          <cell r="C308" t="str">
            <v>Rummens</v>
          </cell>
          <cell r="D308" t="str">
            <v>Maarten</v>
          </cell>
          <cell r="E308" t="str">
            <v>GBR112</v>
          </cell>
          <cell r="F308">
            <v>260</v>
          </cell>
          <cell r="G308">
            <v>44039</v>
          </cell>
          <cell r="H308" t="str">
            <v>Vanhoe Els</v>
          </cell>
        </row>
        <row r="309">
          <cell r="A309">
            <v>35495</v>
          </cell>
          <cell r="B309" t="str">
            <v>Razzaz Mahmoud</v>
          </cell>
          <cell r="C309" t="str">
            <v>Razzaz</v>
          </cell>
          <cell r="D309" t="str">
            <v>Mahmoud</v>
          </cell>
          <cell r="E309" t="str">
            <v>GBR112</v>
          </cell>
          <cell r="F309">
            <v>22</v>
          </cell>
          <cell r="G309">
            <v>44025</v>
          </cell>
          <cell r="H309" t="str">
            <v>De Rick Kenneth</v>
          </cell>
        </row>
        <row r="310">
          <cell r="A310">
            <v>35588</v>
          </cell>
          <cell r="B310" t="str">
            <v>Smesman Glenn</v>
          </cell>
          <cell r="C310" t="str">
            <v>Smesman</v>
          </cell>
          <cell r="D310" t="str">
            <v>Glenn</v>
          </cell>
          <cell r="E310" t="str">
            <v>GBR112</v>
          </cell>
          <cell r="F310">
            <v>435</v>
          </cell>
          <cell r="G310">
            <v>44039</v>
          </cell>
          <cell r="H310" t="str">
            <v>Van De Velde Lucie</v>
          </cell>
        </row>
        <row r="311">
          <cell r="A311">
            <v>35598</v>
          </cell>
          <cell r="B311" t="str">
            <v>Braeckman Wouter</v>
          </cell>
          <cell r="C311" t="str">
            <v>Braeckman</v>
          </cell>
          <cell r="D311" t="str">
            <v>Wouter</v>
          </cell>
          <cell r="E311" t="str">
            <v>GBR112</v>
          </cell>
          <cell r="F311">
            <v>434</v>
          </cell>
          <cell r="G311">
            <v>44039</v>
          </cell>
          <cell r="H311" t="str">
            <v>De Clercq Dominique</v>
          </cell>
        </row>
        <row r="312">
          <cell r="A312">
            <v>35619</v>
          </cell>
          <cell r="B312" t="str">
            <v>El Mezroui Zouheir</v>
          </cell>
          <cell r="C312" t="str">
            <v>El Mezroui</v>
          </cell>
          <cell r="D312" t="str">
            <v>Zouheir</v>
          </cell>
          <cell r="E312" t="str">
            <v>GBR112</v>
          </cell>
          <cell r="F312">
            <v>414</v>
          </cell>
          <cell r="G312">
            <v>44067</v>
          </cell>
          <cell r="H312" t="str">
            <v>Storm Steven</v>
          </cell>
        </row>
        <row r="313">
          <cell r="A313">
            <v>35623</v>
          </cell>
          <cell r="B313" t="str">
            <v>Dolleslagers Christof</v>
          </cell>
          <cell r="C313" t="str">
            <v>Dolleslagers</v>
          </cell>
          <cell r="D313" t="str">
            <v>Christof</v>
          </cell>
          <cell r="E313" t="str">
            <v>GBR112</v>
          </cell>
          <cell r="F313">
            <v>278</v>
          </cell>
          <cell r="G313">
            <v>44081</v>
          </cell>
          <cell r="H313" t="str">
            <v>Van Der Beken Bart</v>
          </cell>
        </row>
        <row r="314">
          <cell r="A314">
            <v>35645</v>
          </cell>
          <cell r="B314" t="str">
            <v>Jalili Yaseeb</v>
          </cell>
          <cell r="C314" t="str">
            <v>Jalili</v>
          </cell>
          <cell r="D314" t="str">
            <v>Yaseeb</v>
          </cell>
          <cell r="E314" t="str">
            <v>GBR112</v>
          </cell>
          <cell r="F314">
            <v>355</v>
          </cell>
          <cell r="G314">
            <v>44070</v>
          </cell>
          <cell r="H314" t="str">
            <v>Storm Steven</v>
          </cell>
        </row>
        <row r="315">
          <cell r="A315">
            <v>35709</v>
          </cell>
          <cell r="B315" t="str">
            <v>El Gasmi Sami</v>
          </cell>
          <cell r="C315" t="str">
            <v>El Gasmi</v>
          </cell>
          <cell r="D315" t="str">
            <v>Sami</v>
          </cell>
          <cell r="E315" t="str">
            <v>GBR112</v>
          </cell>
          <cell r="F315">
            <v>393</v>
          </cell>
          <cell r="G315">
            <v>44075</v>
          </cell>
          <cell r="H315" t="str">
            <v>Vanhoe Els</v>
          </cell>
        </row>
        <row r="316">
          <cell r="A316">
            <v>35761</v>
          </cell>
          <cell r="B316" t="str">
            <v>Simsek Huseyin</v>
          </cell>
          <cell r="C316" t="str">
            <v>Simsek</v>
          </cell>
          <cell r="D316" t="str">
            <v>Huseyin</v>
          </cell>
          <cell r="E316" t="str">
            <v>GBR112</v>
          </cell>
          <cell r="F316">
            <v>324</v>
          </cell>
          <cell r="G316">
            <v>44067</v>
          </cell>
          <cell r="H316" t="str">
            <v>Dewulf Els</v>
          </cell>
        </row>
        <row r="317">
          <cell r="A317">
            <v>35862</v>
          </cell>
          <cell r="B317" t="str">
            <v>Van Damme Patrick</v>
          </cell>
          <cell r="C317" t="str">
            <v>Van Damme</v>
          </cell>
          <cell r="D317" t="str">
            <v>Patrick</v>
          </cell>
          <cell r="E317" t="str">
            <v>GBR112</v>
          </cell>
          <cell r="F317">
            <v>224</v>
          </cell>
          <cell r="G317">
            <v>44123</v>
          </cell>
          <cell r="H317" t="str">
            <v>Dewulf Els</v>
          </cell>
        </row>
        <row r="318">
          <cell r="A318">
            <v>36021</v>
          </cell>
          <cell r="B318" t="str">
            <v>Boelaert Frederik</v>
          </cell>
          <cell r="C318" t="str">
            <v>Boelaert</v>
          </cell>
          <cell r="D318" t="str">
            <v>Frederik</v>
          </cell>
          <cell r="E318" t="str">
            <v>GBR112</v>
          </cell>
          <cell r="F318">
            <v>308</v>
          </cell>
          <cell r="G318">
            <v>44151</v>
          </cell>
          <cell r="H318" t="str">
            <v>Van De Velde Lucie</v>
          </cell>
        </row>
        <row r="319">
          <cell r="A319">
            <v>36154</v>
          </cell>
          <cell r="B319" t="str">
            <v>De Clercq Sven</v>
          </cell>
          <cell r="C319" t="str">
            <v>De Clercq</v>
          </cell>
          <cell r="D319" t="str">
            <v>Sven</v>
          </cell>
          <cell r="E319" t="str">
            <v>GBR112</v>
          </cell>
          <cell r="G319">
            <v>44214</v>
          </cell>
          <cell r="H319" t="str">
            <v>Van De Velde Lucie</v>
          </cell>
        </row>
        <row r="320">
          <cell r="A320">
            <v>36228</v>
          </cell>
          <cell r="B320" t="str">
            <v>Kilinc Atilay</v>
          </cell>
          <cell r="C320" t="str">
            <v>Kilinc</v>
          </cell>
          <cell r="D320" t="str">
            <v>Atilay</v>
          </cell>
          <cell r="E320" t="str">
            <v>GBR112</v>
          </cell>
          <cell r="G320">
            <v>44256</v>
          </cell>
          <cell r="H320" t="str">
            <v>Vanhoe Els</v>
          </cell>
        </row>
        <row r="321">
          <cell r="A321">
            <v>36275</v>
          </cell>
          <cell r="B321" t="str">
            <v>Acosta Salinas Benigna</v>
          </cell>
          <cell r="C321" t="str">
            <v>Acosta Salinas</v>
          </cell>
          <cell r="D321" t="str">
            <v>Benigna</v>
          </cell>
          <cell r="E321" t="str">
            <v>E17126</v>
          </cell>
          <cell r="G321">
            <v>44270</v>
          </cell>
          <cell r="H321" t="str">
            <v>De Clercq Dominique</v>
          </cell>
        </row>
        <row r="322">
          <cell r="A322">
            <v>36289</v>
          </cell>
          <cell r="B322" t="str">
            <v>Van Rentergem Steve</v>
          </cell>
          <cell r="C322" t="str">
            <v>Van Rentergem</v>
          </cell>
          <cell r="D322" t="str">
            <v>Steve</v>
          </cell>
          <cell r="E322" t="str">
            <v>GBR112</v>
          </cell>
          <cell r="G322">
            <v>44284</v>
          </cell>
          <cell r="H322" t="str">
            <v>Vanhoe Els</v>
          </cell>
        </row>
        <row r="323">
          <cell r="A323">
            <v>36336</v>
          </cell>
          <cell r="B323" t="str">
            <v>Haenebalcke Peter</v>
          </cell>
          <cell r="C323" t="str">
            <v>Haenebalcke</v>
          </cell>
          <cell r="D323" t="str">
            <v>Peter</v>
          </cell>
          <cell r="E323" t="str">
            <v>GBR112</v>
          </cell>
          <cell r="G323">
            <v>44284</v>
          </cell>
          <cell r="H323" t="str">
            <v>Van De Velde Lucie</v>
          </cell>
        </row>
        <row r="324">
          <cell r="A324">
            <v>36337</v>
          </cell>
          <cell r="B324" t="str">
            <v>Desmadryl Daniel</v>
          </cell>
          <cell r="C324" t="str">
            <v>Desmadryl</v>
          </cell>
          <cell r="D324" t="str">
            <v>Daniel</v>
          </cell>
          <cell r="E324" t="str">
            <v>GBR112</v>
          </cell>
          <cell r="G324">
            <v>44284</v>
          </cell>
          <cell r="H324" t="str">
            <v>De Rick Kenneth</v>
          </cell>
        </row>
        <row r="325">
          <cell r="A325">
            <v>36354</v>
          </cell>
          <cell r="B325" t="str">
            <v>El Aaddam Hodayfa</v>
          </cell>
          <cell r="C325" t="str">
            <v>El Aaddam</v>
          </cell>
          <cell r="D325" t="str">
            <v>Hodayfa</v>
          </cell>
          <cell r="E325" t="str">
            <v>GBR112</v>
          </cell>
          <cell r="G325">
            <v>44298</v>
          </cell>
          <cell r="H325" t="str">
            <v>Vanhoe Els</v>
          </cell>
        </row>
        <row r="326">
          <cell r="A326">
            <v>36358</v>
          </cell>
          <cell r="B326" t="str">
            <v>De Nys Elise</v>
          </cell>
          <cell r="C326" t="str">
            <v>De Nys</v>
          </cell>
          <cell r="D326" t="str">
            <v>Elise</v>
          </cell>
          <cell r="E326" t="str">
            <v>GBR112</v>
          </cell>
          <cell r="G326">
            <v>44270</v>
          </cell>
          <cell r="H326" t="str">
            <v>Dewulf Els</v>
          </cell>
        </row>
        <row r="327">
          <cell r="A327">
            <v>36378</v>
          </cell>
          <cell r="B327" t="str">
            <v>Opsomer Gerrit</v>
          </cell>
          <cell r="C327" t="str">
            <v>Opsomer</v>
          </cell>
          <cell r="D327" t="str">
            <v>Gerrit</v>
          </cell>
          <cell r="E327" t="str">
            <v>GBR112</v>
          </cell>
          <cell r="G327">
            <v>44336</v>
          </cell>
          <cell r="H327" t="str">
            <v>Van De Velde Lucie</v>
          </cell>
        </row>
        <row r="328">
          <cell r="A328">
            <v>36425</v>
          </cell>
          <cell r="B328" t="str">
            <v>Vandekerckhove Nico</v>
          </cell>
          <cell r="C328" t="str">
            <v>Vandekerckhove</v>
          </cell>
          <cell r="D328" t="str">
            <v>Nico</v>
          </cell>
          <cell r="E328" t="str">
            <v>GBR112</v>
          </cell>
          <cell r="G328">
            <v>44333</v>
          </cell>
          <cell r="H328" t="str">
            <v>Vanhoe Els</v>
          </cell>
        </row>
        <row r="329">
          <cell r="A329">
            <v>36426</v>
          </cell>
          <cell r="B329" t="str">
            <v>Mohamed Yassin Abdulhamid</v>
          </cell>
          <cell r="C329" t="str">
            <v>Mohamed Yassin</v>
          </cell>
          <cell r="D329" t="str">
            <v>Abdulhamid</v>
          </cell>
          <cell r="E329" t="str">
            <v>GBR112</v>
          </cell>
          <cell r="G329">
            <v>44305</v>
          </cell>
          <cell r="H329" t="str">
            <v>Van Der Beken Bart</v>
          </cell>
        </row>
        <row r="330">
          <cell r="A330">
            <v>36427</v>
          </cell>
          <cell r="B330" t="str">
            <v>Malak Kemal</v>
          </cell>
          <cell r="C330" t="str">
            <v>Malak</v>
          </cell>
          <cell r="D330" t="str">
            <v>Kemal</v>
          </cell>
          <cell r="E330" t="str">
            <v>GBR112</v>
          </cell>
          <cell r="G330">
            <v>44312</v>
          </cell>
          <cell r="H330" t="str">
            <v>Vanhoe Els</v>
          </cell>
        </row>
        <row r="331">
          <cell r="A331">
            <v>36428</v>
          </cell>
          <cell r="B331" t="str">
            <v>Abdi Shaiye Rashid</v>
          </cell>
          <cell r="C331" t="str">
            <v>Abdi Shaiye</v>
          </cell>
          <cell r="D331" t="str">
            <v>Rashid</v>
          </cell>
          <cell r="E331" t="str">
            <v>GBR112</v>
          </cell>
          <cell r="G331">
            <v>44312</v>
          </cell>
          <cell r="H331" t="str">
            <v>Van De Velde Lucie</v>
          </cell>
        </row>
        <row r="332">
          <cell r="A332">
            <v>36429</v>
          </cell>
          <cell r="B332" t="str">
            <v>Ahlaloum Khalid</v>
          </cell>
          <cell r="C332" t="str">
            <v>Ahlaloum</v>
          </cell>
          <cell r="D332" t="str">
            <v>Khalid</v>
          </cell>
          <cell r="E332" t="str">
            <v>GBR112</v>
          </cell>
          <cell r="G332">
            <v>44312</v>
          </cell>
          <cell r="H332" t="str">
            <v>De Rick Kenneth</v>
          </cell>
        </row>
        <row r="333">
          <cell r="A333">
            <v>36438</v>
          </cell>
          <cell r="B333" t="str">
            <v>Agil Birol</v>
          </cell>
          <cell r="C333" t="str">
            <v>Agil</v>
          </cell>
          <cell r="D333" t="str">
            <v>Birol</v>
          </cell>
          <cell r="E333" t="str">
            <v>GBR112</v>
          </cell>
          <cell r="G333">
            <v>44298</v>
          </cell>
          <cell r="H333" t="str">
            <v>Van Der Beken Bart</v>
          </cell>
        </row>
        <row r="334">
          <cell r="A334">
            <v>36503</v>
          </cell>
          <cell r="B334" t="str">
            <v>Callens Dimitri</v>
          </cell>
          <cell r="C334" t="str">
            <v>Callens</v>
          </cell>
          <cell r="D334" t="str">
            <v>Dimitri</v>
          </cell>
          <cell r="E334" t="str">
            <v>GBR112</v>
          </cell>
          <cell r="G334">
            <v>44333</v>
          </cell>
          <cell r="H334" t="str">
            <v>Rotty Christoff</v>
          </cell>
        </row>
        <row r="335">
          <cell r="A335">
            <v>36505</v>
          </cell>
          <cell r="B335" t="str">
            <v>De Lange Ruben</v>
          </cell>
          <cell r="C335" t="str">
            <v>De Lange</v>
          </cell>
          <cell r="D335" t="str">
            <v>Ruben</v>
          </cell>
          <cell r="E335" t="str">
            <v>GBR112</v>
          </cell>
          <cell r="G335">
            <v>44333</v>
          </cell>
          <cell r="H335" t="str">
            <v>De Rick Kenneth</v>
          </cell>
        </row>
        <row r="336">
          <cell r="A336">
            <v>36507</v>
          </cell>
          <cell r="B336" t="str">
            <v>Van Belleghem Peggy</v>
          </cell>
          <cell r="C336" t="str">
            <v>Van Belleghem</v>
          </cell>
          <cell r="D336" t="str">
            <v>Peggy</v>
          </cell>
          <cell r="E336" t="str">
            <v>GBR112</v>
          </cell>
          <cell r="G336">
            <v>44347</v>
          </cell>
          <cell r="H336" t="str">
            <v>Storm Steven</v>
          </cell>
        </row>
        <row r="337">
          <cell r="A337">
            <v>36512</v>
          </cell>
          <cell r="B337" t="str">
            <v>Van Herreweghe Branco</v>
          </cell>
          <cell r="C337" t="str">
            <v>Van Herreweghe</v>
          </cell>
          <cell r="D337" t="str">
            <v>Branco</v>
          </cell>
          <cell r="E337" t="str">
            <v>GBR112</v>
          </cell>
          <cell r="G337">
            <v>44333</v>
          </cell>
          <cell r="H337" t="str">
            <v>Storm Steven</v>
          </cell>
        </row>
        <row r="338">
          <cell r="A338">
            <v>36513</v>
          </cell>
          <cell r="B338" t="str">
            <v>Sogut Rauf</v>
          </cell>
          <cell r="C338" t="str">
            <v>Sogut</v>
          </cell>
          <cell r="D338" t="str">
            <v>Rauf</v>
          </cell>
          <cell r="E338" t="str">
            <v>GBR112</v>
          </cell>
          <cell r="G338">
            <v>44333</v>
          </cell>
          <cell r="H338" t="str">
            <v>De Rick Kenneth</v>
          </cell>
        </row>
        <row r="339">
          <cell r="A339">
            <v>36543</v>
          </cell>
          <cell r="B339" t="str">
            <v>Babaian Sammy</v>
          </cell>
          <cell r="C339" t="str">
            <v>Babaian</v>
          </cell>
          <cell r="D339" t="str">
            <v>Sammy</v>
          </cell>
          <cell r="E339" t="str">
            <v>GBR112</v>
          </cell>
          <cell r="G339">
            <v>44347</v>
          </cell>
          <cell r="H339" t="str">
            <v>Van De Velde Lucie</v>
          </cell>
        </row>
        <row r="340">
          <cell r="A340">
            <v>36559</v>
          </cell>
          <cell r="B340" t="str">
            <v>De Staercke Sandra</v>
          </cell>
          <cell r="C340" t="str">
            <v>De Staercke</v>
          </cell>
          <cell r="D340" t="str">
            <v>Sandra</v>
          </cell>
          <cell r="E340" t="str">
            <v>GBR112</v>
          </cell>
          <cell r="G340">
            <v>44347</v>
          </cell>
          <cell r="H340" t="str">
            <v>De Rick Kenneth</v>
          </cell>
        </row>
        <row r="341">
          <cell r="A341">
            <v>36577</v>
          </cell>
          <cell r="B341" t="str">
            <v>De Smet Martine</v>
          </cell>
          <cell r="C341" t="str">
            <v>De Smet</v>
          </cell>
          <cell r="D341" t="str">
            <v>Martine</v>
          </cell>
          <cell r="E341" t="str">
            <v>GBR112</v>
          </cell>
          <cell r="G341">
            <v>44389</v>
          </cell>
          <cell r="H341" t="str">
            <v>Dewulf Els</v>
          </cell>
        </row>
        <row r="342">
          <cell r="A342">
            <v>36624</v>
          </cell>
          <cell r="B342" t="str">
            <v>De Meulenaere Kurt</v>
          </cell>
          <cell r="C342" t="str">
            <v>De Meulenaere</v>
          </cell>
          <cell r="D342" t="str">
            <v>Kurt</v>
          </cell>
          <cell r="E342" t="str">
            <v>GBR112</v>
          </cell>
          <cell r="G342">
            <v>44375</v>
          </cell>
          <cell r="H342" t="str">
            <v>De Clercq Dominique</v>
          </cell>
        </row>
        <row r="343">
          <cell r="A343">
            <v>36625</v>
          </cell>
          <cell r="B343" t="str">
            <v>Carion Rojet</v>
          </cell>
          <cell r="C343" t="str">
            <v>Carion</v>
          </cell>
          <cell r="D343" t="str">
            <v>Rojet</v>
          </cell>
          <cell r="E343" t="str">
            <v>GBR112</v>
          </cell>
          <cell r="G343">
            <v>44389</v>
          </cell>
          <cell r="H343" t="str">
            <v>De Rick Kenneth</v>
          </cell>
        </row>
        <row r="344">
          <cell r="A344">
            <v>36626</v>
          </cell>
          <cell r="B344" t="str">
            <v>Kartal Kadir</v>
          </cell>
          <cell r="C344" t="str">
            <v>Kartal</v>
          </cell>
          <cell r="D344" t="str">
            <v>Kadir</v>
          </cell>
          <cell r="E344" t="str">
            <v>GBR112</v>
          </cell>
          <cell r="G344">
            <v>44389</v>
          </cell>
          <cell r="H344" t="str">
            <v>Dewulf Els</v>
          </cell>
        </row>
        <row r="345">
          <cell r="A345">
            <v>36627</v>
          </cell>
          <cell r="B345" t="str">
            <v>Dobbelaere David</v>
          </cell>
          <cell r="C345" t="str">
            <v>Dobbelaere</v>
          </cell>
          <cell r="D345" t="str">
            <v>David</v>
          </cell>
          <cell r="E345" t="str">
            <v>GBR112</v>
          </cell>
          <cell r="G345">
            <v>44384</v>
          </cell>
          <cell r="H345" t="str">
            <v>Dewulf Els</v>
          </cell>
        </row>
        <row r="346">
          <cell r="A346">
            <v>36635</v>
          </cell>
          <cell r="B346" t="str">
            <v>Fadel Husam</v>
          </cell>
          <cell r="C346" t="str">
            <v>Fadel</v>
          </cell>
          <cell r="D346" t="str">
            <v>Husam</v>
          </cell>
          <cell r="E346" t="str">
            <v>GBR112</v>
          </cell>
          <cell r="G346">
            <v>44417</v>
          </cell>
          <cell r="H346" t="str">
            <v>De Rick Kenneth</v>
          </cell>
        </row>
        <row r="347">
          <cell r="A347">
            <v>36663</v>
          </cell>
          <cell r="B347" t="str">
            <v>Cesmeli Achraf</v>
          </cell>
          <cell r="C347" t="str">
            <v>Cesmeli</v>
          </cell>
          <cell r="D347" t="str">
            <v>Achraf</v>
          </cell>
          <cell r="E347" t="str">
            <v>GBR112</v>
          </cell>
          <cell r="G347">
            <v>44431</v>
          </cell>
          <cell r="H347" t="str">
            <v>De Clercq Dominique</v>
          </cell>
        </row>
        <row r="348">
          <cell r="A348">
            <v>36820</v>
          </cell>
          <cell r="B348" t="str">
            <v>Haché Philip</v>
          </cell>
          <cell r="C348" t="str">
            <v>Haché</v>
          </cell>
          <cell r="D348" t="str">
            <v>Philip</v>
          </cell>
          <cell r="E348" t="str">
            <v>GBR112</v>
          </cell>
          <cell r="G348">
            <v>44473</v>
          </cell>
          <cell r="H348" t="str">
            <v>Storm Steven</v>
          </cell>
        </row>
        <row r="349">
          <cell r="A349">
            <v>36838</v>
          </cell>
          <cell r="B349" t="str">
            <v>De Kesel Milan</v>
          </cell>
          <cell r="C349" t="str">
            <v>De Kesel</v>
          </cell>
          <cell r="D349" t="str">
            <v>Milan</v>
          </cell>
          <cell r="E349" t="str">
            <v>GBR112</v>
          </cell>
          <cell r="G349">
            <v>44480</v>
          </cell>
          <cell r="H349" t="str">
            <v>De Clercq Dominique</v>
          </cell>
        </row>
        <row r="350">
          <cell r="A350">
            <v>36845</v>
          </cell>
          <cell r="B350" t="str">
            <v>Flamant Marc</v>
          </cell>
          <cell r="C350" t="str">
            <v>Flamant</v>
          </cell>
          <cell r="D350" t="str">
            <v>Marc</v>
          </cell>
          <cell r="E350" t="str">
            <v>GBR112</v>
          </cell>
          <cell r="G350">
            <v>44440</v>
          </cell>
          <cell r="H350" t="str">
            <v>Van De Velde Lucie</v>
          </cell>
        </row>
        <row r="351">
          <cell r="A351">
            <v>37131</v>
          </cell>
          <cell r="B351" t="str">
            <v>Saritag Mehmed</v>
          </cell>
          <cell r="C351" t="str">
            <v>Saritag</v>
          </cell>
          <cell r="D351" t="str">
            <v>Mehmed</v>
          </cell>
          <cell r="E351" t="str">
            <v>GBR112</v>
          </cell>
          <cell r="G351">
            <v>44585</v>
          </cell>
          <cell r="H351" t="str">
            <v>De Rick Kenneth</v>
          </cell>
        </row>
        <row r="352">
          <cell r="A352">
            <v>37132</v>
          </cell>
          <cell r="B352" t="str">
            <v>Dacic Esmir</v>
          </cell>
          <cell r="C352" t="str">
            <v>Dacic</v>
          </cell>
          <cell r="D352" t="str">
            <v>Esmir</v>
          </cell>
          <cell r="E352" t="str">
            <v>GBR112</v>
          </cell>
          <cell r="G352">
            <v>44599</v>
          </cell>
          <cell r="H352" t="str">
            <v>De Clercq Dominique</v>
          </cell>
        </row>
        <row r="353">
          <cell r="A353">
            <v>37179</v>
          </cell>
          <cell r="B353" t="str">
            <v>Bashir Muhammad Salman</v>
          </cell>
          <cell r="C353" t="str">
            <v>Bashir</v>
          </cell>
          <cell r="D353" t="str">
            <v>Muhammad Salman</v>
          </cell>
          <cell r="E353" t="str">
            <v>GBR112</v>
          </cell>
          <cell r="G353">
            <v>44571</v>
          </cell>
          <cell r="H353" t="str">
            <v>Van Der Beken Bart</v>
          </cell>
        </row>
        <row r="354">
          <cell r="A354">
            <v>37208</v>
          </cell>
          <cell r="B354" t="str">
            <v>Catar Gökhan</v>
          </cell>
          <cell r="C354" t="str">
            <v>Catar</v>
          </cell>
          <cell r="D354" t="str">
            <v>Gökhan</v>
          </cell>
          <cell r="E354" t="str">
            <v>GBR112</v>
          </cell>
          <cell r="G354">
            <v>44641</v>
          </cell>
          <cell r="H354" t="str">
            <v>De Rick Kenneth</v>
          </cell>
        </row>
        <row r="355">
          <cell r="A355">
            <v>37216</v>
          </cell>
          <cell r="B355" t="str">
            <v>Antoniewicz Stephan</v>
          </cell>
          <cell r="C355" t="str">
            <v>Antoniewicz</v>
          </cell>
          <cell r="D355" t="str">
            <v>Stephan</v>
          </cell>
          <cell r="E355" t="str">
            <v>GBR112</v>
          </cell>
          <cell r="G355">
            <v>44664</v>
          </cell>
          <cell r="H355" t="str">
            <v>De Rick Kenneth</v>
          </cell>
        </row>
        <row r="356">
          <cell r="A356">
            <v>37222</v>
          </cell>
          <cell r="B356" t="str">
            <v>Blondeel Dominique</v>
          </cell>
          <cell r="C356" t="str">
            <v>Blondeel</v>
          </cell>
          <cell r="D356" t="str">
            <v>Dominique</v>
          </cell>
          <cell r="E356" t="str">
            <v>GBR112</v>
          </cell>
          <cell r="G356">
            <v>44599</v>
          </cell>
          <cell r="H356" t="str">
            <v>Van De Velde Lucie</v>
          </cell>
        </row>
        <row r="357">
          <cell r="A357">
            <v>37226</v>
          </cell>
          <cell r="B357" t="str">
            <v>Berth Bjorn</v>
          </cell>
          <cell r="C357" t="str">
            <v>Berth</v>
          </cell>
          <cell r="D357" t="str">
            <v>Bjorn</v>
          </cell>
          <cell r="E357" t="str">
            <v>GBR112</v>
          </cell>
          <cell r="G357">
            <v>44613</v>
          </cell>
          <cell r="H357" t="str">
            <v>Dewulf Els</v>
          </cell>
        </row>
        <row r="358">
          <cell r="A358">
            <v>37254</v>
          </cell>
          <cell r="B358" t="str">
            <v>Coulon Rayan</v>
          </cell>
          <cell r="C358" t="str">
            <v>Coulon</v>
          </cell>
          <cell r="D358" t="str">
            <v>Rayan</v>
          </cell>
          <cell r="E358" t="str">
            <v>GBR112</v>
          </cell>
          <cell r="G358">
            <v>44585</v>
          </cell>
          <cell r="H358" t="str">
            <v>De Rick Kenneth</v>
          </cell>
        </row>
        <row r="359">
          <cell r="A359">
            <v>37261</v>
          </cell>
          <cell r="B359" t="str">
            <v>Van Wayenbergh Yordi</v>
          </cell>
          <cell r="C359" t="str">
            <v>Van Wayenbergh</v>
          </cell>
          <cell r="D359" t="str">
            <v>Yordi</v>
          </cell>
          <cell r="E359" t="str">
            <v>GBR112</v>
          </cell>
          <cell r="G359">
            <v>44599</v>
          </cell>
          <cell r="H359" t="str">
            <v>De Clercq Dominique</v>
          </cell>
        </row>
        <row r="360">
          <cell r="A360">
            <v>37313</v>
          </cell>
          <cell r="B360" t="str">
            <v>Dedeci Mecit</v>
          </cell>
          <cell r="C360" t="str">
            <v>Dedeci</v>
          </cell>
          <cell r="D360" t="str">
            <v>Mecit</v>
          </cell>
          <cell r="E360" t="str">
            <v>GBR112</v>
          </cell>
          <cell r="G360">
            <v>44704</v>
          </cell>
          <cell r="H360" t="str">
            <v>Van Der Beken Bart</v>
          </cell>
        </row>
        <row r="361">
          <cell r="A361">
            <v>37345</v>
          </cell>
          <cell r="B361" t="str">
            <v>Walleyn Renaat</v>
          </cell>
          <cell r="C361" t="str">
            <v>Walleyn</v>
          </cell>
          <cell r="D361" t="str">
            <v>Renaat</v>
          </cell>
          <cell r="E361" t="str">
            <v>GBR112</v>
          </cell>
          <cell r="G361">
            <v>44655</v>
          </cell>
          <cell r="H361" t="str">
            <v>Van De Velde Lucie</v>
          </cell>
        </row>
        <row r="362">
          <cell r="A362">
            <v>37439</v>
          </cell>
          <cell r="B362" t="str">
            <v>Demirkazik Mustafa</v>
          </cell>
          <cell r="C362" t="str">
            <v>Demirkazik</v>
          </cell>
          <cell r="D362" t="str">
            <v>Mustafa</v>
          </cell>
          <cell r="E362" t="str">
            <v>GBR112</v>
          </cell>
          <cell r="G362">
            <v>44655</v>
          </cell>
          <cell r="H362" t="str">
            <v>De Rick Kenneth</v>
          </cell>
        </row>
        <row r="363">
          <cell r="A363">
            <v>37496</v>
          </cell>
          <cell r="B363" t="str">
            <v>Oosterlinck Willy</v>
          </cell>
          <cell r="C363" t="str">
            <v>Oosterlinck</v>
          </cell>
          <cell r="D363" t="str">
            <v>Willy</v>
          </cell>
          <cell r="E363" t="str">
            <v>GBR112</v>
          </cell>
          <cell r="G363">
            <v>44700</v>
          </cell>
          <cell r="H363" t="str">
            <v>De Clercq Dominique</v>
          </cell>
        </row>
        <row r="364">
          <cell r="A364">
            <v>37509</v>
          </cell>
          <cell r="B364" t="str">
            <v>Abdulkader Sabah</v>
          </cell>
          <cell r="C364" t="str">
            <v>Abdulkader</v>
          </cell>
          <cell r="D364" t="str">
            <v>Sabah</v>
          </cell>
          <cell r="E364" t="str">
            <v>GBR112</v>
          </cell>
          <cell r="G364">
            <v>44670</v>
          </cell>
          <cell r="H364" t="str">
            <v>Van Der Beken Bart</v>
          </cell>
        </row>
        <row r="365">
          <cell r="A365">
            <v>37542</v>
          </cell>
          <cell r="B365" t="str">
            <v>De Tandt Hans</v>
          </cell>
          <cell r="C365" t="str">
            <v>De Tandt</v>
          </cell>
          <cell r="D365" t="str">
            <v>Hans</v>
          </cell>
          <cell r="E365" t="str">
            <v>GBR112</v>
          </cell>
          <cell r="G365">
            <v>44683</v>
          </cell>
          <cell r="H365" t="str">
            <v>Van Der Beken Bart</v>
          </cell>
        </row>
        <row r="366">
          <cell r="A366">
            <v>37543</v>
          </cell>
          <cell r="B366" t="str">
            <v>Öztürk Bilgehan</v>
          </cell>
          <cell r="C366" t="str">
            <v>Öztürk</v>
          </cell>
          <cell r="D366" t="str">
            <v>Bilgehan</v>
          </cell>
          <cell r="E366" t="str">
            <v>GBR112</v>
          </cell>
          <cell r="G366">
            <v>44683</v>
          </cell>
          <cell r="H366" t="str">
            <v>De Rick Kenneth</v>
          </cell>
        </row>
        <row r="367">
          <cell r="A367">
            <v>37564</v>
          </cell>
          <cell r="B367" t="str">
            <v>Damlakhi Nawras</v>
          </cell>
          <cell r="C367" t="str">
            <v>Damlakhi</v>
          </cell>
          <cell r="D367" t="str">
            <v>Nawras</v>
          </cell>
          <cell r="E367" t="str">
            <v>GBR112</v>
          </cell>
          <cell r="G367">
            <v>44683</v>
          </cell>
          <cell r="H367" t="str">
            <v>Vanhoe Els</v>
          </cell>
        </row>
        <row r="368">
          <cell r="A368">
            <v>37600</v>
          </cell>
          <cell r="B368" t="str">
            <v>Smesman Nico</v>
          </cell>
          <cell r="C368" t="str">
            <v>Smesman</v>
          </cell>
          <cell r="D368" t="str">
            <v>Nico</v>
          </cell>
          <cell r="E368" t="str">
            <v>GBR112</v>
          </cell>
          <cell r="G368">
            <v>44704</v>
          </cell>
          <cell r="H368" t="str">
            <v>Van De Velde Lucie</v>
          </cell>
        </row>
        <row r="369">
          <cell r="A369">
            <v>37609</v>
          </cell>
          <cell r="B369" t="str">
            <v>De Groote Dylan</v>
          </cell>
          <cell r="C369" t="str">
            <v>De Groote</v>
          </cell>
          <cell r="D369" t="str">
            <v>Dylan</v>
          </cell>
          <cell r="E369" t="str">
            <v>GBR112</v>
          </cell>
          <cell r="G369">
            <v>44704</v>
          </cell>
          <cell r="H369" t="str">
            <v>De Rick Kenneth</v>
          </cell>
        </row>
        <row r="370">
          <cell r="A370">
            <v>37662</v>
          </cell>
          <cell r="B370" t="str">
            <v>Van den Meerssche Steven</v>
          </cell>
          <cell r="C370" t="str">
            <v>Van den Meerssche</v>
          </cell>
          <cell r="D370" t="str">
            <v>Steven</v>
          </cell>
          <cell r="E370" t="str">
            <v>GBR112</v>
          </cell>
          <cell r="G370">
            <v>44719</v>
          </cell>
          <cell r="H370" t="str">
            <v>Van Der Beken Bart</v>
          </cell>
        </row>
        <row r="371">
          <cell r="A371">
            <v>37683</v>
          </cell>
          <cell r="B371" t="str">
            <v>De Boever Charlotte</v>
          </cell>
          <cell r="C371" t="str">
            <v>De Boever</v>
          </cell>
          <cell r="D371" t="str">
            <v>Charlotte</v>
          </cell>
          <cell r="E371" t="str">
            <v>GBR112</v>
          </cell>
          <cell r="G371">
            <v>44739</v>
          </cell>
          <cell r="H371" t="str">
            <v>Storm Steven</v>
          </cell>
        </row>
        <row r="372">
          <cell r="A372">
            <v>37744</v>
          </cell>
          <cell r="B372" t="str">
            <v>De Lange Frank</v>
          </cell>
          <cell r="C372" t="str">
            <v>De Lange</v>
          </cell>
          <cell r="D372" t="str">
            <v>Frank</v>
          </cell>
          <cell r="E372" t="str">
            <v>GBR112</v>
          </cell>
          <cell r="G372">
            <v>44753</v>
          </cell>
          <cell r="H372" t="str">
            <v>De Clercq Dominique</v>
          </cell>
        </row>
        <row r="373">
          <cell r="A373">
            <v>37794</v>
          </cell>
          <cell r="B373" t="str">
            <v>Demirkaya Kâzim</v>
          </cell>
          <cell r="C373" t="str">
            <v>Demirkaya</v>
          </cell>
          <cell r="D373" t="str">
            <v>Kâzim</v>
          </cell>
          <cell r="E373" t="str">
            <v>GBR112</v>
          </cell>
          <cell r="G373">
            <v>44790</v>
          </cell>
          <cell r="H373" t="str">
            <v>Storm Steven</v>
          </cell>
        </row>
        <row r="374">
          <cell r="A374">
            <v>37808</v>
          </cell>
          <cell r="B374" t="str">
            <v>Gök Mustafa</v>
          </cell>
          <cell r="C374" t="str">
            <v>Gök</v>
          </cell>
          <cell r="D374" t="str">
            <v>Mustafa</v>
          </cell>
          <cell r="E374" t="str">
            <v>GBR112</v>
          </cell>
          <cell r="G374">
            <v>44795</v>
          </cell>
          <cell r="H374" t="str">
            <v>Vanhoe Els</v>
          </cell>
        </row>
        <row r="375">
          <cell r="A375">
            <v>37809</v>
          </cell>
          <cell r="B375" t="str">
            <v>Sturtewagen Kenny</v>
          </cell>
          <cell r="C375" t="str">
            <v>Sturtewagen</v>
          </cell>
          <cell r="D375" t="str">
            <v>Kenny</v>
          </cell>
          <cell r="E375" t="str">
            <v>GBR112</v>
          </cell>
          <cell r="G375">
            <v>44809</v>
          </cell>
          <cell r="H375" t="str">
            <v>Storm Steven</v>
          </cell>
        </row>
        <row r="376">
          <cell r="A376">
            <v>37907</v>
          </cell>
          <cell r="B376" t="str">
            <v>Van Doorselaere Alan</v>
          </cell>
          <cell r="C376" t="str">
            <v>Van Doorselaere</v>
          </cell>
          <cell r="D376" t="str">
            <v>Alan</v>
          </cell>
          <cell r="E376" t="str">
            <v>GBR112</v>
          </cell>
          <cell r="G376">
            <v>44809</v>
          </cell>
          <cell r="H376" t="str">
            <v>De Clercq Dominique</v>
          </cell>
        </row>
        <row r="377">
          <cell r="A377">
            <v>37908</v>
          </cell>
          <cell r="B377" t="str">
            <v>Vandenberghe Michael</v>
          </cell>
          <cell r="C377" t="str">
            <v>Vandenberghe</v>
          </cell>
          <cell r="D377" t="str">
            <v>Michael</v>
          </cell>
          <cell r="E377" t="str">
            <v>GBR112</v>
          </cell>
          <cell r="G377">
            <v>44823</v>
          </cell>
          <cell r="H377" t="str">
            <v>Storm Steven</v>
          </cell>
        </row>
        <row r="378">
          <cell r="A378">
            <v>37936</v>
          </cell>
          <cell r="B378" t="str">
            <v>Detaeye Alexander</v>
          </cell>
          <cell r="C378" t="str">
            <v>Detaeye</v>
          </cell>
          <cell r="D378" t="str">
            <v>Alexander</v>
          </cell>
          <cell r="E378" t="str">
            <v>GBR112</v>
          </cell>
          <cell r="G378">
            <v>44837</v>
          </cell>
          <cell r="H378" t="str">
            <v>Storm Steven</v>
          </cell>
        </row>
        <row r="379">
          <cell r="A379">
            <v>37950</v>
          </cell>
          <cell r="B379" t="str">
            <v>De Naegel Bruno</v>
          </cell>
          <cell r="C379" t="str">
            <v>De Naegel</v>
          </cell>
          <cell r="D379" t="str">
            <v>Bruno</v>
          </cell>
          <cell r="E379" t="str">
            <v>GBR112</v>
          </cell>
          <cell r="G379">
            <v>44809</v>
          </cell>
          <cell r="H379" t="str">
            <v>De Clercq Dominique</v>
          </cell>
        </row>
        <row r="380">
          <cell r="A380">
            <v>37951</v>
          </cell>
          <cell r="B380" t="str">
            <v>Van De Voorde Cindy</v>
          </cell>
          <cell r="C380" t="str">
            <v>Van De Voorde</v>
          </cell>
          <cell r="D380" t="str">
            <v>Cindy</v>
          </cell>
          <cell r="E380" t="str">
            <v>GBR112</v>
          </cell>
          <cell r="G380">
            <v>44837</v>
          </cell>
          <cell r="H380" t="str">
            <v>Van De Velde Lucie</v>
          </cell>
        </row>
        <row r="381">
          <cell r="A381">
            <v>37999</v>
          </cell>
          <cell r="B381" t="str">
            <v>Dierinck Charles</v>
          </cell>
          <cell r="C381" t="str">
            <v>Dierinck</v>
          </cell>
          <cell r="D381" t="str">
            <v>Charles</v>
          </cell>
          <cell r="E381" t="str">
            <v>GBR112</v>
          </cell>
          <cell r="G381">
            <v>44805</v>
          </cell>
          <cell r="H381" t="str">
            <v>Storm Steven</v>
          </cell>
        </row>
        <row r="382">
          <cell r="A382">
            <v>38013</v>
          </cell>
          <cell r="B382" t="str">
            <v>Mine Akin</v>
          </cell>
          <cell r="C382" t="str">
            <v>Mine</v>
          </cell>
          <cell r="D382" t="str">
            <v>Akin</v>
          </cell>
          <cell r="E382" t="str">
            <v>GBR112</v>
          </cell>
          <cell r="G382">
            <v>44837</v>
          </cell>
          <cell r="H382" t="str">
            <v>Van De Velde Lucie</v>
          </cell>
        </row>
        <row r="383">
          <cell r="A383">
            <v>38035</v>
          </cell>
          <cell r="B383" t="str">
            <v>Simsek Isa</v>
          </cell>
          <cell r="C383" t="str">
            <v>Simsek</v>
          </cell>
          <cell r="D383" t="str">
            <v>Isa</v>
          </cell>
          <cell r="E383" t="str">
            <v>GBR112</v>
          </cell>
          <cell r="G383">
            <v>44837</v>
          </cell>
          <cell r="H383" t="str">
            <v>Van Der Beken Bart</v>
          </cell>
        </row>
        <row r="384">
          <cell r="A384">
            <v>38047</v>
          </cell>
          <cell r="B384" t="str">
            <v>Aljorof Marwan</v>
          </cell>
          <cell r="C384" t="str">
            <v>Aljorof</v>
          </cell>
          <cell r="D384" t="str">
            <v>Marwan</v>
          </cell>
          <cell r="E384" t="str">
            <v>GBR112</v>
          </cell>
          <cell r="G384">
            <v>44867</v>
          </cell>
          <cell r="H384" t="str">
            <v>Rotty Christoff</v>
          </cell>
        </row>
        <row r="385">
          <cell r="A385">
            <v>38205</v>
          </cell>
          <cell r="B385" t="str">
            <v>Uenk Hermina</v>
          </cell>
          <cell r="C385" t="str">
            <v>Uenk</v>
          </cell>
          <cell r="D385" t="str">
            <v>Hermina</v>
          </cell>
          <cell r="E385" t="str">
            <v>GBR112</v>
          </cell>
          <cell r="G385">
            <v>44893</v>
          </cell>
          <cell r="H385" t="str">
            <v>De Rick Kenneth</v>
          </cell>
        </row>
        <row r="386">
          <cell r="A386">
            <v>38475</v>
          </cell>
          <cell r="B386" t="str">
            <v>Verschraegen Katleen</v>
          </cell>
          <cell r="C386" t="str">
            <v>Verschraegen</v>
          </cell>
          <cell r="D386" t="str">
            <v>Katleen</v>
          </cell>
          <cell r="E386" t="str">
            <v>GBR112</v>
          </cell>
          <cell r="G386">
            <v>44942</v>
          </cell>
          <cell r="H386" t="str">
            <v>Dewulf Els</v>
          </cell>
        </row>
        <row r="387">
          <cell r="A387">
            <v>38481</v>
          </cell>
          <cell r="B387" t="str">
            <v>Sari Devrim</v>
          </cell>
          <cell r="C387" t="str">
            <v>Sari</v>
          </cell>
          <cell r="D387" t="str">
            <v>Devrim</v>
          </cell>
          <cell r="E387" t="str">
            <v>GBR112</v>
          </cell>
          <cell r="G387">
            <v>44970</v>
          </cell>
          <cell r="H387" t="str">
            <v>De Rick Kenneth</v>
          </cell>
        </row>
        <row r="388">
          <cell r="A388">
            <v>38529</v>
          </cell>
          <cell r="B388" t="str">
            <v>Huyghe Jan</v>
          </cell>
          <cell r="C388" t="str">
            <v>Huyghe</v>
          </cell>
          <cell r="D388" t="str">
            <v>Jan</v>
          </cell>
          <cell r="E388" t="str">
            <v>GBR112</v>
          </cell>
          <cell r="G388">
            <v>44956</v>
          </cell>
          <cell r="H388" t="str">
            <v>Dewulf Els</v>
          </cell>
        </row>
        <row r="389">
          <cell r="A389">
            <v>38550</v>
          </cell>
          <cell r="B389" t="str">
            <v>Haaze Sarah</v>
          </cell>
          <cell r="C389" t="str">
            <v>Haaze</v>
          </cell>
          <cell r="D389" t="str">
            <v>Sarah</v>
          </cell>
          <cell r="E389" t="str">
            <v>GBR112</v>
          </cell>
          <cell r="G389">
            <v>44984</v>
          </cell>
          <cell r="H389" t="str">
            <v>Rotty Christoff</v>
          </cell>
        </row>
        <row r="390">
          <cell r="A390">
            <v>38551</v>
          </cell>
          <cell r="B390" t="str">
            <v>Alassad Ahmad</v>
          </cell>
          <cell r="C390" t="str">
            <v>Alassad</v>
          </cell>
          <cell r="D390" t="str">
            <v>Ahmad</v>
          </cell>
          <cell r="E390" t="str">
            <v>GBR112</v>
          </cell>
          <cell r="G390">
            <v>44970</v>
          </cell>
          <cell r="H390" t="str">
            <v>Van Der Beken Bart</v>
          </cell>
        </row>
        <row r="391">
          <cell r="A391">
            <v>38555</v>
          </cell>
          <cell r="B391" t="str">
            <v>Almohammad Malek</v>
          </cell>
          <cell r="C391" t="str">
            <v>Almohammad</v>
          </cell>
          <cell r="D391" t="str">
            <v>Malek</v>
          </cell>
          <cell r="E391" t="str">
            <v>GBR112</v>
          </cell>
          <cell r="G391">
            <v>44984</v>
          </cell>
          <cell r="H391" t="str">
            <v>Vanhoe Els</v>
          </cell>
        </row>
        <row r="392">
          <cell r="A392">
            <v>38579</v>
          </cell>
          <cell r="B392" t="str">
            <v>Haaze Sven</v>
          </cell>
          <cell r="C392" t="str">
            <v>Haaze</v>
          </cell>
          <cell r="D392" t="str">
            <v>Sven</v>
          </cell>
          <cell r="E392" t="str">
            <v>GBR112</v>
          </cell>
          <cell r="G392">
            <v>45035</v>
          </cell>
          <cell r="H392" t="str">
            <v>Dewulf Els</v>
          </cell>
        </row>
        <row r="393">
          <cell r="A393">
            <v>38580</v>
          </cell>
          <cell r="B393" t="str">
            <v>Smajla Samet</v>
          </cell>
          <cell r="C393" t="str">
            <v>Smajla</v>
          </cell>
          <cell r="D393" t="str">
            <v>Samet</v>
          </cell>
          <cell r="E393" t="str">
            <v>GBR112</v>
          </cell>
          <cell r="G393">
            <v>44998</v>
          </cell>
          <cell r="H393" t="str">
            <v>Dewulf Els</v>
          </cell>
        </row>
        <row r="394">
          <cell r="A394">
            <v>38633</v>
          </cell>
          <cell r="B394" t="str">
            <v>Stomphorst Mattanja</v>
          </cell>
          <cell r="C394" t="str">
            <v>Stomphorst</v>
          </cell>
          <cell r="D394" t="str">
            <v>Mattanja</v>
          </cell>
          <cell r="E394" t="str">
            <v>GBR112</v>
          </cell>
          <cell r="G394">
            <v>44970</v>
          </cell>
          <cell r="H394" t="str">
            <v>Dewulf Els</v>
          </cell>
        </row>
        <row r="395">
          <cell r="A395">
            <v>38634</v>
          </cell>
          <cell r="B395" t="str">
            <v>Asskale Zouhir</v>
          </cell>
          <cell r="C395" t="str">
            <v>Asskale</v>
          </cell>
          <cell r="D395" t="str">
            <v>Zouhir</v>
          </cell>
          <cell r="E395" t="str">
            <v>GBR112</v>
          </cell>
          <cell r="G395">
            <v>45012</v>
          </cell>
          <cell r="H395" t="str">
            <v>Van Der Beken Bart</v>
          </cell>
        </row>
        <row r="396">
          <cell r="A396">
            <v>38648</v>
          </cell>
          <cell r="B396" t="str">
            <v>Uckuyulu Muhammet Emin</v>
          </cell>
          <cell r="C396" t="str">
            <v>Uckuyulu</v>
          </cell>
          <cell r="D396" t="str">
            <v>Muhammet Emin</v>
          </cell>
          <cell r="E396" t="str">
            <v>GBR112</v>
          </cell>
          <cell r="G396">
            <v>45027</v>
          </cell>
          <cell r="H396" t="str">
            <v>Van De Velde Lucie</v>
          </cell>
        </row>
        <row r="397">
          <cell r="A397">
            <v>38688</v>
          </cell>
          <cell r="B397" t="str">
            <v>Basgurboga Selahattin</v>
          </cell>
          <cell r="C397" t="str">
            <v>Basgurboga</v>
          </cell>
          <cell r="D397" t="str">
            <v>Selahattin</v>
          </cell>
          <cell r="E397" t="str">
            <v>GBR112</v>
          </cell>
          <cell r="G397">
            <v>45027</v>
          </cell>
          <cell r="H397" t="str">
            <v>Dewulf Els</v>
          </cell>
        </row>
        <row r="398">
          <cell r="A398">
            <v>38691</v>
          </cell>
          <cell r="B398" t="str">
            <v>Muys Aäron</v>
          </cell>
          <cell r="C398" t="str">
            <v>Muys</v>
          </cell>
          <cell r="D398" t="str">
            <v>Aäron</v>
          </cell>
          <cell r="E398" t="str">
            <v>GBR112</v>
          </cell>
          <cell r="G398">
            <v>45012</v>
          </cell>
          <cell r="H398" t="str">
            <v>Dewulf Els</v>
          </cell>
        </row>
        <row r="399">
          <cell r="A399">
            <v>38731</v>
          </cell>
          <cell r="B399" t="str">
            <v>Ben Sidhom Samir</v>
          </cell>
          <cell r="C399" t="str">
            <v>Ben Sidhom</v>
          </cell>
          <cell r="D399" t="str">
            <v>Samir</v>
          </cell>
          <cell r="E399" t="str">
            <v>GBR112</v>
          </cell>
          <cell r="G399">
            <v>45062</v>
          </cell>
          <cell r="H399" t="str">
            <v>Rotty Christoff</v>
          </cell>
        </row>
        <row r="400">
          <cell r="A400">
            <v>38740</v>
          </cell>
          <cell r="B400" t="str">
            <v>Meskens Anthony</v>
          </cell>
          <cell r="C400" t="str">
            <v>Meskens</v>
          </cell>
          <cell r="D400" t="str">
            <v>Anthony</v>
          </cell>
          <cell r="E400" t="str">
            <v>GBR112</v>
          </cell>
          <cell r="G400">
            <v>45027</v>
          </cell>
          <cell r="H400" t="str">
            <v>Rotty Christoff</v>
          </cell>
        </row>
        <row r="401">
          <cell r="A401">
            <v>38807</v>
          </cell>
          <cell r="B401" t="str">
            <v>Dossche Caroline</v>
          </cell>
          <cell r="C401" t="str">
            <v>Dossche</v>
          </cell>
          <cell r="D401" t="str">
            <v>Caroline</v>
          </cell>
          <cell r="E401" t="str">
            <v>GBR112</v>
          </cell>
          <cell r="G401">
            <v>45027</v>
          </cell>
          <cell r="H401" t="str">
            <v>Rotty Christoff</v>
          </cell>
        </row>
        <row r="402">
          <cell r="A402">
            <v>38808</v>
          </cell>
          <cell r="B402" t="str">
            <v>Wasen Jens</v>
          </cell>
          <cell r="C402" t="str">
            <v>Wasen</v>
          </cell>
          <cell r="D402" t="str">
            <v>Jens</v>
          </cell>
          <cell r="E402" t="str">
            <v>GBR112</v>
          </cell>
          <cell r="G402">
            <v>45090</v>
          </cell>
          <cell r="H402" t="str">
            <v>Dewulf Els</v>
          </cell>
        </row>
        <row r="403">
          <cell r="A403">
            <v>38931</v>
          </cell>
          <cell r="B403" t="str">
            <v>Sancak Eyuphan</v>
          </cell>
          <cell r="C403" t="str">
            <v>Sancak</v>
          </cell>
          <cell r="D403" t="str">
            <v>Eyuphan</v>
          </cell>
          <cell r="E403" t="str">
            <v>GBR112</v>
          </cell>
          <cell r="G403">
            <v>45040</v>
          </cell>
          <cell r="H403" t="str">
            <v>Van Der Beken Bart</v>
          </cell>
        </row>
        <row r="404">
          <cell r="A404">
            <v>38938</v>
          </cell>
          <cell r="B404" t="str">
            <v>Sedighi Hamid</v>
          </cell>
          <cell r="C404" t="str">
            <v>Sedighi</v>
          </cell>
          <cell r="D404" t="str">
            <v>Hamid</v>
          </cell>
          <cell r="E404" t="str">
            <v>GBR112</v>
          </cell>
          <cell r="G404">
            <v>45061</v>
          </cell>
          <cell r="H404" t="str">
            <v>Van De Velde Lucie</v>
          </cell>
        </row>
        <row r="405">
          <cell r="A405">
            <v>39013</v>
          </cell>
          <cell r="B405" t="str">
            <v>Asrih Habib</v>
          </cell>
          <cell r="C405" t="str">
            <v>Asrih</v>
          </cell>
          <cell r="D405" t="str">
            <v>Habib</v>
          </cell>
          <cell r="E405" t="str">
            <v>GBR112</v>
          </cell>
          <cell r="G405">
            <v>45076</v>
          </cell>
          <cell r="H405" t="str">
            <v>Dewulf Els</v>
          </cell>
        </row>
        <row r="406">
          <cell r="A406">
            <v>39014</v>
          </cell>
          <cell r="B406" t="str">
            <v>Genbrugge Kyllian</v>
          </cell>
          <cell r="C406" t="str">
            <v>Genbrugge</v>
          </cell>
          <cell r="D406" t="str">
            <v>Kyllian</v>
          </cell>
          <cell r="E406" t="str">
            <v>GBR112</v>
          </cell>
          <cell r="G406">
            <v>45076</v>
          </cell>
          <cell r="H406" t="str">
            <v>Van Der Beken Bart</v>
          </cell>
        </row>
        <row r="407">
          <cell r="A407">
            <v>39019</v>
          </cell>
          <cell r="B407" t="str">
            <v>De taeye Kelly</v>
          </cell>
          <cell r="C407" t="str">
            <v>De taeye</v>
          </cell>
          <cell r="D407" t="str">
            <v>Kelly</v>
          </cell>
          <cell r="E407" t="str">
            <v>GBR112</v>
          </cell>
          <cell r="G407">
            <v>45061</v>
          </cell>
          <cell r="H407" t="str">
            <v>Van De Velde Lucie</v>
          </cell>
        </row>
        <row r="408">
          <cell r="A408">
            <v>39101</v>
          </cell>
          <cell r="B408" t="str">
            <v>Dalli Mustafa</v>
          </cell>
          <cell r="C408" t="str">
            <v>Dalli</v>
          </cell>
          <cell r="D408" t="str">
            <v>Mustafa</v>
          </cell>
          <cell r="E408" t="str">
            <v>GBR112</v>
          </cell>
          <cell r="G408">
            <v>45076</v>
          </cell>
          <cell r="H408" t="str">
            <v>Rotty Christoff</v>
          </cell>
        </row>
        <row r="409">
          <cell r="A409">
            <v>39106</v>
          </cell>
          <cell r="B409" t="str">
            <v>Salam Housin Ahmed</v>
          </cell>
          <cell r="C409" t="str">
            <v>Salam Housin</v>
          </cell>
          <cell r="D409" t="str">
            <v>Ahmed</v>
          </cell>
          <cell r="E409" t="str">
            <v>GBR112</v>
          </cell>
          <cell r="G409">
            <v>45076</v>
          </cell>
          <cell r="H409" t="str">
            <v>Van Der Beken Bart</v>
          </cell>
        </row>
        <row r="410">
          <cell r="A410">
            <v>39145</v>
          </cell>
          <cell r="B410" t="str">
            <v>Landoulsi Sabeur</v>
          </cell>
          <cell r="C410" t="str">
            <v>Landoulsi</v>
          </cell>
          <cell r="D410" t="str">
            <v>Sabeur</v>
          </cell>
          <cell r="E410" t="str">
            <v>GBR112</v>
          </cell>
          <cell r="G410">
            <v>45166</v>
          </cell>
          <cell r="H410" t="str">
            <v>Rotty Christoff</v>
          </cell>
        </row>
        <row r="411">
          <cell r="A411">
            <v>39146</v>
          </cell>
          <cell r="B411" t="str">
            <v>Burrick Alex</v>
          </cell>
          <cell r="C411" t="str">
            <v>Burrick</v>
          </cell>
          <cell r="D411" t="str">
            <v>Alex</v>
          </cell>
          <cell r="E411" t="str">
            <v>GBR112</v>
          </cell>
          <cell r="G411">
            <v>45090</v>
          </cell>
          <cell r="H411" t="str">
            <v>Dewulf Els</v>
          </cell>
        </row>
        <row r="412">
          <cell r="A412">
            <v>39183</v>
          </cell>
          <cell r="B412" t="str">
            <v>Al Masri Anas</v>
          </cell>
          <cell r="C412" t="str">
            <v>Al Masri</v>
          </cell>
          <cell r="D412" t="str">
            <v>Anas</v>
          </cell>
          <cell r="E412" t="str">
            <v>GBR112</v>
          </cell>
          <cell r="G412">
            <v>45103</v>
          </cell>
          <cell r="H412" t="str">
            <v>Rotty Christoff</v>
          </cell>
        </row>
        <row r="413">
          <cell r="A413">
            <v>39184</v>
          </cell>
          <cell r="B413" t="str">
            <v>Shinwari Yasin</v>
          </cell>
          <cell r="C413" t="str">
            <v>Shinwari</v>
          </cell>
          <cell r="D413" t="str">
            <v>Yasin</v>
          </cell>
          <cell r="E413" t="str">
            <v>GBR112</v>
          </cell>
          <cell r="G413">
            <v>45097</v>
          </cell>
          <cell r="H413" t="str">
            <v>Rotty Christoff</v>
          </cell>
        </row>
        <row r="414">
          <cell r="A414">
            <v>39251</v>
          </cell>
          <cell r="B414" t="str">
            <v>Abdi Ali Ali</v>
          </cell>
          <cell r="C414" t="str">
            <v>Abdi Ali</v>
          </cell>
          <cell r="D414" t="str">
            <v>Ali</v>
          </cell>
          <cell r="E414" t="str">
            <v>GBR112</v>
          </cell>
          <cell r="G414">
            <v>45103</v>
          </cell>
          <cell r="H414" t="str">
            <v>Dewulf Els</v>
          </cell>
        </row>
        <row r="415">
          <cell r="A415">
            <v>3926</v>
          </cell>
          <cell r="B415" t="str">
            <v>De Clercq Marc</v>
          </cell>
          <cell r="C415" t="str">
            <v>De Clercq</v>
          </cell>
          <cell r="D415" t="str">
            <v>Marc</v>
          </cell>
          <cell r="E415" t="str">
            <v>GBR112</v>
          </cell>
          <cell r="F415">
            <v>306</v>
          </cell>
          <cell r="G415">
            <v>29885</v>
          </cell>
          <cell r="H415" t="str">
            <v>Van Der Beken Bart</v>
          </cell>
        </row>
        <row r="416">
          <cell r="A416">
            <v>39267</v>
          </cell>
          <cell r="B416" t="str">
            <v>Van Holsbeeck Jens</v>
          </cell>
          <cell r="C416" t="str">
            <v>Van Holsbeeck</v>
          </cell>
          <cell r="D416" t="str">
            <v>Jens</v>
          </cell>
          <cell r="E416" t="str">
            <v>GBR112</v>
          </cell>
          <cell r="G416">
            <v>45173</v>
          </cell>
          <cell r="H416" t="str">
            <v>Rotty Christoff</v>
          </cell>
        </row>
        <row r="417">
          <cell r="A417">
            <v>39358</v>
          </cell>
          <cell r="B417" t="str">
            <v>Weeks Aracena Jimmy Alexander</v>
          </cell>
          <cell r="C417" t="str">
            <v>Weeks Aracena</v>
          </cell>
          <cell r="D417" t="str">
            <v>Jimmy Alexander</v>
          </cell>
          <cell r="E417" t="str">
            <v>GBR112</v>
          </cell>
          <cell r="G417">
            <v>45124</v>
          </cell>
          <cell r="H417" t="str">
            <v>Rotty Christoff</v>
          </cell>
        </row>
        <row r="418">
          <cell r="A418">
            <v>39379</v>
          </cell>
          <cell r="B418" t="str">
            <v>Bensalah Mohammed</v>
          </cell>
          <cell r="C418" t="str">
            <v>Bensalah</v>
          </cell>
          <cell r="D418" t="str">
            <v>Mohammed</v>
          </cell>
          <cell r="E418" t="str">
            <v>GBR112</v>
          </cell>
          <cell r="F418">
            <v>28</v>
          </cell>
          <cell r="G418">
            <v>45194</v>
          </cell>
          <cell r="H418" t="str">
            <v>Rotty Christoff</v>
          </cell>
        </row>
        <row r="419">
          <cell r="A419">
            <v>39528</v>
          </cell>
          <cell r="B419" t="str">
            <v>Mihaylov Plamen</v>
          </cell>
          <cell r="C419" t="str">
            <v>Mihaylov</v>
          </cell>
          <cell r="D419" t="str">
            <v>Plamen</v>
          </cell>
          <cell r="E419" t="str">
            <v>GBR112</v>
          </cell>
          <cell r="G419">
            <v>45236</v>
          </cell>
          <cell r="H419" t="str">
            <v>Rotty Christoff</v>
          </cell>
        </row>
        <row r="420">
          <cell r="A420">
            <v>39529</v>
          </cell>
          <cell r="B420" t="str">
            <v>Desmet Patricia</v>
          </cell>
          <cell r="C420" t="str">
            <v>Desmet</v>
          </cell>
          <cell r="D420" t="str">
            <v>Patricia</v>
          </cell>
          <cell r="E420" t="str">
            <v>GBR112</v>
          </cell>
          <cell r="G420">
            <v>45286</v>
          </cell>
          <cell r="H420" t="str">
            <v>Rotty Christoff</v>
          </cell>
        </row>
        <row r="421">
          <cell r="A421">
            <v>39532</v>
          </cell>
          <cell r="B421" t="str">
            <v>Sahin Orhan</v>
          </cell>
          <cell r="C421" t="str">
            <v>Sahin</v>
          </cell>
          <cell r="D421" t="str">
            <v>Orhan</v>
          </cell>
          <cell r="E421" t="str">
            <v>GBR112</v>
          </cell>
          <cell r="F421">
            <v>87</v>
          </cell>
          <cell r="G421">
            <v>45208</v>
          </cell>
          <cell r="H421" t="str">
            <v>Rotty Christoff</v>
          </cell>
        </row>
        <row r="422">
          <cell r="A422">
            <v>39558</v>
          </cell>
          <cell r="B422" t="str">
            <v>De Groote Cedric</v>
          </cell>
          <cell r="C422" t="str">
            <v>De Groote</v>
          </cell>
          <cell r="D422" t="str">
            <v>Cedric</v>
          </cell>
          <cell r="E422" t="str">
            <v>GBR112</v>
          </cell>
          <cell r="G422">
            <v>45208</v>
          </cell>
          <cell r="H422" t="str">
            <v>Storm Steven</v>
          </cell>
        </row>
        <row r="423">
          <cell r="A423">
            <v>39575</v>
          </cell>
          <cell r="B423" t="str">
            <v>Nguende Ngatcheu Ivan Belerd</v>
          </cell>
          <cell r="C423" t="str">
            <v>Nguende Ngatcheu</v>
          </cell>
          <cell r="D423" t="str">
            <v>Ivan Belerd</v>
          </cell>
          <cell r="E423" t="str">
            <v>GBR112</v>
          </cell>
          <cell r="G423">
            <v>45222</v>
          </cell>
          <cell r="H423" t="str">
            <v>Dewulf Els</v>
          </cell>
        </row>
        <row r="424">
          <cell r="A424">
            <v>39581</v>
          </cell>
          <cell r="B424" t="str">
            <v>Vandenhaute Linus</v>
          </cell>
          <cell r="C424" t="str">
            <v>Vandenhaute</v>
          </cell>
          <cell r="D424" t="str">
            <v>Linus</v>
          </cell>
          <cell r="E424" t="str">
            <v>GBR112</v>
          </cell>
          <cell r="G424">
            <v>45194</v>
          </cell>
          <cell r="H424" t="str">
            <v>Dewulf Els</v>
          </cell>
        </row>
        <row r="425">
          <cell r="A425">
            <v>39610</v>
          </cell>
          <cell r="B425" t="str">
            <v>Sayin Batuhan</v>
          </cell>
          <cell r="C425" t="str">
            <v>Sayin</v>
          </cell>
          <cell r="D425" t="str">
            <v>Batuhan</v>
          </cell>
          <cell r="E425" t="str">
            <v>GBR112</v>
          </cell>
          <cell r="G425">
            <v>45208</v>
          </cell>
          <cell r="H425" t="str">
            <v>Van Der Beken Bart</v>
          </cell>
        </row>
        <row r="426">
          <cell r="A426">
            <v>39651</v>
          </cell>
          <cell r="B426" t="str">
            <v>Kallenbach Sunny</v>
          </cell>
          <cell r="C426" t="str">
            <v>Kallenbach</v>
          </cell>
          <cell r="D426" t="str">
            <v>Sunny</v>
          </cell>
          <cell r="E426" t="str">
            <v>GBR112</v>
          </cell>
          <cell r="G426">
            <v>45208</v>
          </cell>
          <cell r="H426" t="str">
            <v>De Rick Kenneth</v>
          </cell>
        </row>
        <row r="427">
          <cell r="A427">
            <v>39654</v>
          </cell>
          <cell r="B427" t="str">
            <v>Camacho Encarnacion Lisandro Javier</v>
          </cell>
          <cell r="C427" t="str">
            <v>Camacho Encarnacion</v>
          </cell>
          <cell r="D427" t="str">
            <v>Lisandro Javier</v>
          </cell>
          <cell r="E427" t="str">
            <v>GBR112</v>
          </cell>
          <cell r="G427">
            <v>45222</v>
          </cell>
          <cell r="H427" t="str">
            <v>De Rick Kenneth</v>
          </cell>
        </row>
        <row r="428">
          <cell r="A428">
            <v>39673</v>
          </cell>
          <cell r="B428" t="str">
            <v>Steurbaut Henri</v>
          </cell>
          <cell r="C428" t="str">
            <v>Steurbaut</v>
          </cell>
          <cell r="D428" t="str">
            <v>Henri</v>
          </cell>
          <cell r="E428" t="str">
            <v>GBR112</v>
          </cell>
          <cell r="G428">
            <v>45236</v>
          </cell>
          <cell r="H428" t="str">
            <v>Vanhoe Els</v>
          </cell>
        </row>
        <row r="429">
          <cell r="A429">
            <v>39677</v>
          </cell>
          <cell r="B429" t="str">
            <v>Tacq Joey</v>
          </cell>
          <cell r="C429" t="str">
            <v>Tacq</v>
          </cell>
          <cell r="D429" t="str">
            <v>Joey</v>
          </cell>
          <cell r="E429" t="str">
            <v>GBR112</v>
          </cell>
          <cell r="G429">
            <v>45222</v>
          </cell>
          <cell r="H429" t="str">
            <v>De Rick Kenneth</v>
          </cell>
        </row>
        <row r="430">
          <cell r="A430">
            <v>39712</v>
          </cell>
          <cell r="B430" t="str">
            <v>Repaj Ramazan</v>
          </cell>
          <cell r="C430" t="str">
            <v>Repaj</v>
          </cell>
          <cell r="D430" t="str">
            <v>Ramazan</v>
          </cell>
          <cell r="E430" t="str">
            <v>GBR112</v>
          </cell>
          <cell r="G430">
            <v>45236</v>
          </cell>
          <cell r="H430" t="str">
            <v>Van Der Beken Bart</v>
          </cell>
        </row>
        <row r="431">
          <cell r="A431">
            <v>39715</v>
          </cell>
          <cell r="B431" t="str">
            <v>El Khayat Jamal</v>
          </cell>
          <cell r="C431" t="str">
            <v>El Khayat</v>
          </cell>
          <cell r="D431" t="str">
            <v>Jamal</v>
          </cell>
          <cell r="E431" t="str">
            <v>GBR112</v>
          </cell>
          <cell r="G431">
            <v>45313</v>
          </cell>
          <cell r="H431" t="str">
            <v>De Rick Kenneth</v>
          </cell>
        </row>
        <row r="432">
          <cell r="A432">
            <v>39728</v>
          </cell>
          <cell r="B432" t="str">
            <v>Nohut Baki</v>
          </cell>
          <cell r="C432" t="str">
            <v>Nohut</v>
          </cell>
          <cell r="D432" t="str">
            <v>Baki</v>
          </cell>
          <cell r="E432" t="str">
            <v>GBR112</v>
          </cell>
          <cell r="G432">
            <v>45250</v>
          </cell>
          <cell r="H432" t="str">
            <v>Van De Velde Lucie</v>
          </cell>
        </row>
        <row r="433">
          <cell r="A433">
            <v>39779</v>
          </cell>
          <cell r="B433" t="str">
            <v>Avci Muhammet Abdullah</v>
          </cell>
          <cell r="C433" t="str">
            <v>Avci</v>
          </cell>
          <cell r="D433" t="str">
            <v>Muhammet Abdullah</v>
          </cell>
          <cell r="E433" t="str">
            <v>GBR112</v>
          </cell>
          <cell r="G433">
            <v>45250</v>
          </cell>
          <cell r="H433" t="str">
            <v>Van Der Beken Bart</v>
          </cell>
        </row>
        <row r="434">
          <cell r="A434">
            <v>39829</v>
          </cell>
          <cell r="B434" t="str">
            <v>Demirkaya Serkan</v>
          </cell>
          <cell r="C434" t="str">
            <v>Demirkaya</v>
          </cell>
          <cell r="D434" t="str">
            <v>Serkan</v>
          </cell>
          <cell r="E434" t="str">
            <v>GBR112</v>
          </cell>
          <cell r="G434">
            <v>45264</v>
          </cell>
          <cell r="H434" t="str">
            <v>Van De Velde Lucie</v>
          </cell>
        </row>
        <row r="435">
          <cell r="A435">
            <v>39831</v>
          </cell>
          <cell r="B435" t="str">
            <v>Dolgiev Mukhamed</v>
          </cell>
          <cell r="C435" t="str">
            <v>Dolgiev</v>
          </cell>
          <cell r="D435" t="str">
            <v>Mukhamed</v>
          </cell>
          <cell r="E435" t="str">
            <v>GBR112</v>
          </cell>
          <cell r="G435">
            <v>45264</v>
          </cell>
          <cell r="H435" t="str">
            <v>Dewulf Els</v>
          </cell>
        </row>
        <row r="436">
          <cell r="A436">
            <v>39850</v>
          </cell>
          <cell r="B436" t="str">
            <v>Helleputte William</v>
          </cell>
          <cell r="C436" t="str">
            <v>Helleputte</v>
          </cell>
          <cell r="D436" t="str">
            <v>William</v>
          </cell>
          <cell r="E436" t="str">
            <v>GBR112</v>
          </cell>
          <cell r="G436">
            <v>45264</v>
          </cell>
          <cell r="H436" t="str">
            <v>De Clercq Dominique</v>
          </cell>
        </row>
        <row r="437">
          <cell r="A437">
            <v>39856</v>
          </cell>
          <cell r="B437" t="str">
            <v>Curukcu Bayram</v>
          </cell>
          <cell r="C437" t="str">
            <v>Curukcu</v>
          </cell>
          <cell r="D437" t="str">
            <v>Bayram</v>
          </cell>
          <cell r="E437" t="str">
            <v>GBR112</v>
          </cell>
          <cell r="G437">
            <v>45264</v>
          </cell>
          <cell r="H437" t="str">
            <v>De Rick Kenneth</v>
          </cell>
        </row>
        <row r="438">
          <cell r="A438">
            <v>39858</v>
          </cell>
          <cell r="B438" t="str">
            <v>Jacobs Elos</v>
          </cell>
          <cell r="C438" t="str">
            <v>Jacobs</v>
          </cell>
          <cell r="D438" t="str">
            <v>Elos</v>
          </cell>
          <cell r="E438" t="str">
            <v>GBR112</v>
          </cell>
          <cell r="G438">
            <v>45264</v>
          </cell>
          <cell r="H438" t="str">
            <v>Dewulf Els</v>
          </cell>
        </row>
        <row r="439">
          <cell r="A439">
            <v>39859</v>
          </cell>
          <cell r="B439" t="str">
            <v>Costers Kelly</v>
          </cell>
          <cell r="C439" t="str">
            <v>Costers</v>
          </cell>
          <cell r="D439" t="str">
            <v>Kelly</v>
          </cell>
          <cell r="E439" t="str">
            <v>GBR112</v>
          </cell>
          <cell r="G439">
            <v>45264</v>
          </cell>
          <cell r="H439" t="str">
            <v>Van Der Beken Bart</v>
          </cell>
        </row>
        <row r="440">
          <cell r="A440">
            <v>39889</v>
          </cell>
          <cell r="B440" t="str">
            <v>Stanikazi Roien Sadder</v>
          </cell>
          <cell r="C440" t="str">
            <v>Stanikazi</v>
          </cell>
          <cell r="D440" t="str">
            <v>Roien Sadder</v>
          </cell>
          <cell r="E440" t="str">
            <v>GBR112</v>
          </cell>
          <cell r="G440">
            <v>45293</v>
          </cell>
          <cell r="H440" t="str">
            <v>Storm Steven</v>
          </cell>
        </row>
        <row r="441">
          <cell r="A441">
            <v>39899</v>
          </cell>
          <cell r="B441" t="str">
            <v>Calinalti Abdil</v>
          </cell>
          <cell r="C441" t="str">
            <v>Calinalti</v>
          </cell>
          <cell r="D441" t="str">
            <v>Abdil</v>
          </cell>
          <cell r="E441" t="str">
            <v>GBR112</v>
          </cell>
          <cell r="G441">
            <v>45315</v>
          </cell>
          <cell r="H441" t="str">
            <v>Rotty Christoff</v>
          </cell>
        </row>
        <row r="442">
          <cell r="A442">
            <v>39901</v>
          </cell>
          <cell r="B442" t="str">
            <v>Basha Izmir</v>
          </cell>
          <cell r="C442" t="str">
            <v>Basha</v>
          </cell>
          <cell r="D442" t="str">
            <v>Izmir</v>
          </cell>
          <cell r="E442" t="str">
            <v>GBR112</v>
          </cell>
          <cell r="G442">
            <v>45307</v>
          </cell>
          <cell r="H442" t="str">
            <v>Rotty Christoff</v>
          </cell>
        </row>
        <row r="443">
          <cell r="A443">
            <v>39907</v>
          </cell>
          <cell r="B443" t="str">
            <v>Marian Birsanuc</v>
          </cell>
          <cell r="C443" t="str">
            <v>Marian</v>
          </cell>
          <cell r="D443" t="str">
            <v>Birsanuc</v>
          </cell>
          <cell r="E443" t="str">
            <v>GBR112</v>
          </cell>
          <cell r="G443">
            <v>45299</v>
          </cell>
          <cell r="H443" t="str">
            <v>De Rick Kenneth</v>
          </cell>
        </row>
        <row r="444">
          <cell r="A444">
            <v>39927</v>
          </cell>
          <cell r="B444" t="str">
            <v>De Wilde Jordy</v>
          </cell>
          <cell r="C444" t="str">
            <v>De Wilde</v>
          </cell>
          <cell r="D444" t="str">
            <v>Jordy</v>
          </cell>
          <cell r="E444" t="str">
            <v>GBR112</v>
          </cell>
          <cell r="G444">
            <v>45307</v>
          </cell>
          <cell r="H444" t="str">
            <v>Rotty Christoff</v>
          </cell>
        </row>
        <row r="445">
          <cell r="A445">
            <v>39928</v>
          </cell>
          <cell r="B445" t="str">
            <v>Momand Abdullah</v>
          </cell>
          <cell r="C445" t="str">
            <v>Momand</v>
          </cell>
          <cell r="D445" t="str">
            <v>Abdullah</v>
          </cell>
          <cell r="E445" t="str">
            <v>GBR112</v>
          </cell>
          <cell r="G445">
            <v>45293</v>
          </cell>
          <cell r="H445" t="str">
            <v>Van Der Beken Bart</v>
          </cell>
        </row>
        <row r="446">
          <cell r="A446">
            <v>39929</v>
          </cell>
          <cell r="B446" t="str">
            <v>Staneva Mariyana</v>
          </cell>
          <cell r="C446" t="str">
            <v>Staneva</v>
          </cell>
          <cell r="D446" t="str">
            <v>Mariyana</v>
          </cell>
          <cell r="E446" t="str">
            <v>GBR112</v>
          </cell>
          <cell r="G446">
            <v>45299</v>
          </cell>
          <cell r="H446" t="str">
            <v>Rotty Christoff</v>
          </cell>
        </row>
        <row r="447">
          <cell r="A447">
            <v>39930</v>
          </cell>
          <cell r="B447" t="str">
            <v>Mirazai Rahmatullah</v>
          </cell>
          <cell r="C447" t="str">
            <v>Mirazai</v>
          </cell>
          <cell r="D447" t="str">
            <v>Rahmatullah</v>
          </cell>
          <cell r="E447" t="str">
            <v>GBR112</v>
          </cell>
          <cell r="G447">
            <v>45307</v>
          </cell>
          <cell r="H447" t="str">
            <v>Rotty Christoff</v>
          </cell>
        </row>
        <row r="448">
          <cell r="A448">
            <v>39988</v>
          </cell>
          <cell r="B448" t="str">
            <v>Souda Mahmoud</v>
          </cell>
          <cell r="C448" t="str">
            <v>Souda</v>
          </cell>
          <cell r="D448" t="str">
            <v>Mahmoud</v>
          </cell>
          <cell r="E448" t="str">
            <v>GBR112</v>
          </cell>
          <cell r="G448">
            <v>45321</v>
          </cell>
          <cell r="H448" t="str">
            <v>Rotty Christoff</v>
          </cell>
        </row>
        <row r="449">
          <cell r="A449">
            <v>40005</v>
          </cell>
          <cell r="B449" t="str">
            <v>Bernaerts Philip</v>
          </cell>
          <cell r="C449" t="str">
            <v>Bernaerts</v>
          </cell>
          <cell r="D449" t="str">
            <v>Philip</v>
          </cell>
          <cell r="E449" t="str">
            <v>GBR112</v>
          </cell>
          <cell r="G449">
            <v>45307</v>
          </cell>
          <cell r="H449" t="str">
            <v>Rotty Christoff</v>
          </cell>
        </row>
        <row r="450">
          <cell r="A450">
            <v>40006</v>
          </cell>
          <cell r="B450" t="str">
            <v>De Ridder Benjamin</v>
          </cell>
          <cell r="C450" t="str">
            <v>De Ridder</v>
          </cell>
          <cell r="D450" t="str">
            <v>Benjamin</v>
          </cell>
          <cell r="E450" t="str">
            <v>GBR112</v>
          </cell>
          <cell r="G450">
            <v>45307</v>
          </cell>
          <cell r="H450" t="str">
            <v>Rotty Christoff</v>
          </cell>
        </row>
        <row r="451">
          <cell r="A451">
            <v>40036</v>
          </cell>
          <cell r="B451" t="str">
            <v>Karakaya Oguz</v>
          </cell>
          <cell r="C451" t="str">
            <v>Karakaya</v>
          </cell>
          <cell r="D451" t="str">
            <v>Oguz</v>
          </cell>
          <cell r="E451" t="str">
            <v>GBR112</v>
          </cell>
          <cell r="G451">
            <v>45364</v>
          </cell>
          <cell r="H451" t="str">
            <v>De Clercq Dominique</v>
          </cell>
        </row>
        <row r="452">
          <cell r="A452">
            <v>40055</v>
          </cell>
          <cell r="B452" t="str">
            <v>Afara Ammar</v>
          </cell>
          <cell r="C452" t="str">
            <v>Afara</v>
          </cell>
          <cell r="D452" t="str">
            <v>Ammar</v>
          </cell>
          <cell r="E452" t="str">
            <v>GBR112</v>
          </cell>
          <cell r="G452">
            <v>45321</v>
          </cell>
          <cell r="H452" t="str">
            <v>Vanhoe Els</v>
          </cell>
        </row>
        <row r="453">
          <cell r="A453">
            <v>40058</v>
          </cell>
          <cell r="B453" t="str">
            <v>Sögüt Can</v>
          </cell>
          <cell r="C453" t="str">
            <v>Sögüt</v>
          </cell>
          <cell r="D453" t="str">
            <v>Can</v>
          </cell>
          <cell r="E453" t="str">
            <v>GBR112</v>
          </cell>
          <cell r="G453">
            <v>45321</v>
          </cell>
          <cell r="H453" t="str">
            <v>Rotty Christoff</v>
          </cell>
        </row>
        <row r="454">
          <cell r="A454">
            <v>40110</v>
          </cell>
          <cell r="B454" t="str">
            <v>Vanlerberghe Sandra</v>
          </cell>
          <cell r="C454" t="str">
            <v>Vanlerberghe</v>
          </cell>
          <cell r="D454" t="str">
            <v>Sandra</v>
          </cell>
          <cell r="E454" t="str">
            <v>GBR112</v>
          </cell>
          <cell r="G454">
            <v>45335</v>
          </cell>
          <cell r="H454" t="str">
            <v>Rotty Christoff</v>
          </cell>
        </row>
        <row r="455">
          <cell r="A455">
            <v>40134</v>
          </cell>
          <cell r="B455" t="str">
            <v>Cardon Sharon</v>
          </cell>
          <cell r="C455" t="str">
            <v>Cardon</v>
          </cell>
          <cell r="D455" t="str">
            <v>Sharon</v>
          </cell>
          <cell r="E455" t="str">
            <v>GBR112</v>
          </cell>
          <cell r="G455">
            <v>45364</v>
          </cell>
          <cell r="H455" t="str">
            <v>De Clercq Dominique</v>
          </cell>
        </row>
        <row r="456">
          <cell r="A456">
            <v>40138</v>
          </cell>
          <cell r="B456" t="str">
            <v>Moerman Tjimmy</v>
          </cell>
          <cell r="C456" t="str">
            <v>Moerman</v>
          </cell>
          <cell r="D456" t="str">
            <v>Tjimmy</v>
          </cell>
          <cell r="E456" t="str">
            <v>GBR112</v>
          </cell>
          <cell r="G456">
            <v>45335</v>
          </cell>
          <cell r="H456" t="str">
            <v>Rotty Christoff</v>
          </cell>
        </row>
        <row r="457">
          <cell r="A457">
            <v>40143</v>
          </cell>
          <cell r="B457" t="str">
            <v>De Waegeneer Michael</v>
          </cell>
          <cell r="C457" t="str">
            <v>De Waegeneer</v>
          </cell>
          <cell r="D457" t="str">
            <v>Michael</v>
          </cell>
          <cell r="E457" t="str">
            <v>GBR112</v>
          </cell>
          <cell r="G457">
            <v>45335</v>
          </cell>
          <cell r="H457" t="str">
            <v>Rotty Christoff</v>
          </cell>
        </row>
        <row r="458">
          <cell r="A458">
            <v>40200</v>
          </cell>
          <cell r="B458" t="str">
            <v>Shahriyari Khalil</v>
          </cell>
          <cell r="C458" t="str">
            <v>Shahriyari</v>
          </cell>
          <cell r="D458" t="str">
            <v>Khalil</v>
          </cell>
          <cell r="E458" t="str">
            <v>GBR112</v>
          </cell>
          <cell r="G458">
            <v>45345</v>
          </cell>
          <cell r="H458" t="str">
            <v>De Clercq Dominique</v>
          </cell>
        </row>
        <row r="459">
          <cell r="A459">
            <v>40201</v>
          </cell>
          <cell r="B459" t="str">
            <v>VandenDaele Arne</v>
          </cell>
          <cell r="C459" t="str">
            <v>VandenDaele</v>
          </cell>
          <cell r="D459" t="str">
            <v>Arne</v>
          </cell>
          <cell r="E459" t="str">
            <v>GBR112</v>
          </cell>
          <cell r="G459">
            <v>45378</v>
          </cell>
          <cell r="H459" t="str">
            <v>De Clercq Dominique</v>
          </cell>
        </row>
        <row r="460">
          <cell r="A460">
            <v>40222</v>
          </cell>
          <cell r="B460" t="str">
            <v>Van Iterson Sharon</v>
          </cell>
          <cell r="C460" t="str">
            <v>Van Iterson</v>
          </cell>
          <cell r="D460" t="str">
            <v>Sharon</v>
          </cell>
          <cell r="E460" t="str">
            <v>GBR112</v>
          </cell>
          <cell r="G460">
            <v>45349</v>
          </cell>
          <cell r="H460" t="str">
            <v>De Clercq Dominique</v>
          </cell>
        </row>
        <row r="461">
          <cell r="A461">
            <v>40264</v>
          </cell>
          <cell r="B461" t="str">
            <v>Troch Jorick</v>
          </cell>
          <cell r="C461" t="str">
            <v>Troch</v>
          </cell>
          <cell r="D461" t="str">
            <v>Jorick</v>
          </cell>
          <cell r="E461" t="str">
            <v>GBR112</v>
          </cell>
          <cell r="G461">
            <v>45364</v>
          </cell>
          <cell r="H461" t="str">
            <v>Rotty Christoff</v>
          </cell>
        </row>
        <row r="462">
          <cell r="A462">
            <v>40266</v>
          </cell>
          <cell r="B462" t="str">
            <v>Taibi Yassine</v>
          </cell>
          <cell r="C462" t="str">
            <v>Taibi</v>
          </cell>
          <cell r="D462" t="str">
            <v>Yassine</v>
          </cell>
          <cell r="E462" t="str">
            <v>GBR112</v>
          </cell>
          <cell r="G462">
            <v>45394</v>
          </cell>
          <cell r="H462" t="str">
            <v>Rotty Christoff</v>
          </cell>
        </row>
        <row r="463">
          <cell r="A463">
            <v>40278</v>
          </cell>
          <cell r="B463" t="str">
            <v>Ates Firat</v>
          </cell>
          <cell r="C463" t="str">
            <v>Ates</v>
          </cell>
          <cell r="D463" t="str">
            <v>Firat</v>
          </cell>
          <cell r="E463" t="str">
            <v>GBR112</v>
          </cell>
          <cell r="G463">
            <v>45378</v>
          </cell>
          <cell r="H463" t="str">
            <v>Rotty Christoff</v>
          </cell>
        </row>
        <row r="464">
          <cell r="A464">
            <v>40294</v>
          </cell>
          <cell r="B464" t="str">
            <v>Khder Aram</v>
          </cell>
          <cell r="C464" t="str">
            <v>Khder</v>
          </cell>
          <cell r="D464" t="str">
            <v>Aram</v>
          </cell>
          <cell r="E464" t="str">
            <v>GBR112</v>
          </cell>
          <cell r="G464">
            <v>45404</v>
          </cell>
          <cell r="H464" t="str">
            <v>Rotty Christoff</v>
          </cell>
        </row>
        <row r="465">
          <cell r="A465">
            <v>40362</v>
          </cell>
          <cell r="B465" t="str">
            <v>Kuru Cetin</v>
          </cell>
          <cell r="C465" t="str">
            <v>Kuru</v>
          </cell>
          <cell r="D465" t="str">
            <v>Cetin</v>
          </cell>
          <cell r="E465" t="str">
            <v>GBR112</v>
          </cell>
          <cell r="G465">
            <v>45394</v>
          </cell>
          <cell r="H465" t="str">
            <v>De Rick Kenneth</v>
          </cell>
        </row>
        <row r="466">
          <cell r="A466">
            <v>40393</v>
          </cell>
          <cell r="B466" t="str">
            <v>Salimova Eydzhan</v>
          </cell>
          <cell r="C466" t="str">
            <v>Salimova</v>
          </cell>
          <cell r="D466" t="str">
            <v>Eydzhan</v>
          </cell>
          <cell r="E466" t="str">
            <v>GBR112</v>
          </cell>
          <cell r="G466">
            <v>45408</v>
          </cell>
          <cell r="H466" t="str">
            <v>De Clercq Dominique</v>
          </cell>
        </row>
        <row r="467">
          <cell r="A467">
            <v>40400</v>
          </cell>
          <cell r="B467" t="str">
            <v>Sherifi Gani</v>
          </cell>
          <cell r="C467" t="str">
            <v>Sherifi</v>
          </cell>
          <cell r="D467" t="str">
            <v>Gani</v>
          </cell>
          <cell r="E467" t="str">
            <v>GBR112</v>
          </cell>
          <cell r="G467">
            <v>45478</v>
          </cell>
          <cell r="H467" t="str">
            <v>De Clercq Dominique</v>
          </cell>
        </row>
        <row r="468">
          <cell r="A468">
            <v>40403</v>
          </cell>
          <cell r="B468" t="str">
            <v>Prové Michaël</v>
          </cell>
          <cell r="C468" t="str">
            <v>Prové</v>
          </cell>
          <cell r="D468" t="str">
            <v>Michaël</v>
          </cell>
          <cell r="E468" t="str">
            <v>GBR112</v>
          </cell>
          <cell r="G468">
            <v>45481</v>
          </cell>
          <cell r="H468" t="str">
            <v>De Clercq Dominique</v>
          </cell>
        </row>
        <row r="469">
          <cell r="A469">
            <v>40414</v>
          </cell>
          <cell r="B469" t="str">
            <v>Ennakaba Khaoula</v>
          </cell>
          <cell r="C469" t="str">
            <v>Ennakaba</v>
          </cell>
          <cell r="D469" t="str">
            <v>Khaoula</v>
          </cell>
          <cell r="E469" t="str">
            <v>GBR112</v>
          </cell>
          <cell r="G469">
            <v>45408</v>
          </cell>
          <cell r="H469" t="str">
            <v>Storm Steven</v>
          </cell>
        </row>
        <row r="470">
          <cell r="A470">
            <v>40421</v>
          </cell>
          <cell r="B470" t="str">
            <v>Dekeuckelaere Eric</v>
          </cell>
          <cell r="C470" t="str">
            <v>Dekeuckelaere</v>
          </cell>
          <cell r="D470" t="str">
            <v>Eric</v>
          </cell>
          <cell r="E470" t="str">
            <v>GBR112</v>
          </cell>
          <cell r="G470">
            <v>45407</v>
          </cell>
          <cell r="H470" t="str">
            <v>Van De Velde Lucie</v>
          </cell>
        </row>
        <row r="471">
          <cell r="A471">
            <v>40422</v>
          </cell>
          <cell r="B471" t="str">
            <v>De Roo Paul</v>
          </cell>
          <cell r="C471" t="str">
            <v>De Roo</v>
          </cell>
          <cell r="D471" t="str">
            <v>Paul</v>
          </cell>
          <cell r="E471" t="str">
            <v>GBR112</v>
          </cell>
          <cell r="G471">
            <v>45407</v>
          </cell>
          <cell r="H471" t="str">
            <v>Van De Velde Lucie</v>
          </cell>
        </row>
        <row r="472">
          <cell r="A472">
            <v>40443</v>
          </cell>
          <cell r="B472" t="str">
            <v>Fakash Mahmoud</v>
          </cell>
          <cell r="C472" t="str">
            <v>Fakash</v>
          </cell>
          <cell r="D472" t="str">
            <v>Mahmoud</v>
          </cell>
          <cell r="E472" t="str">
            <v>GBR112</v>
          </cell>
          <cell r="G472">
            <v>45408</v>
          </cell>
          <cell r="H472" t="str">
            <v>Van Der Beken Bart</v>
          </cell>
        </row>
        <row r="473">
          <cell r="A473">
            <v>40444</v>
          </cell>
          <cell r="B473" t="str">
            <v>Van Damme Glenn</v>
          </cell>
          <cell r="C473" t="str">
            <v>Van Damme</v>
          </cell>
          <cell r="D473" t="str">
            <v>Glenn</v>
          </cell>
          <cell r="E473" t="str">
            <v>GBR112</v>
          </cell>
          <cell r="G473">
            <v>45408</v>
          </cell>
          <cell r="H473" t="str">
            <v>Dewulf Els</v>
          </cell>
        </row>
        <row r="474">
          <cell r="A474">
            <v>40469</v>
          </cell>
          <cell r="B474" t="str">
            <v>Lopez Hernandez Herber Felix</v>
          </cell>
          <cell r="C474" t="str">
            <v>Lopez Hernandez</v>
          </cell>
          <cell r="D474" t="str">
            <v>Herber Felix</v>
          </cell>
          <cell r="E474" t="str">
            <v>GBR112</v>
          </cell>
          <cell r="G474">
            <v>45408</v>
          </cell>
          <cell r="H474" t="str">
            <v>Dewulf Els</v>
          </cell>
        </row>
        <row r="475">
          <cell r="A475">
            <v>40478</v>
          </cell>
          <cell r="B475" t="str">
            <v>Hashimi Ali Mir</v>
          </cell>
          <cell r="C475" t="str">
            <v>Hashimi</v>
          </cell>
          <cell r="D475" t="str">
            <v>Ali Mir</v>
          </cell>
          <cell r="E475" t="str">
            <v>GBR112</v>
          </cell>
          <cell r="G475">
            <v>45442</v>
          </cell>
          <cell r="H475" t="str">
            <v>Van Der Beken Bart</v>
          </cell>
        </row>
        <row r="476">
          <cell r="A476">
            <v>40486</v>
          </cell>
          <cell r="B476" t="str">
            <v>De Souza Marcos Eduardo</v>
          </cell>
          <cell r="C476" t="str">
            <v>De Souza</v>
          </cell>
          <cell r="D476" t="str">
            <v>Marcos Eduardo</v>
          </cell>
          <cell r="E476" t="str">
            <v>GBR112</v>
          </cell>
          <cell r="G476">
            <v>45427</v>
          </cell>
          <cell r="H476" t="str">
            <v>Rotty Christoff</v>
          </cell>
        </row>
        <row r="477">
          <cell r="A477">
            <v>40521</v>
          </cell>
          <cell r="B477" t="str">
            <v>Mekdad Ali</v>
          </cell>
          <cell r="C477" t="str">
            <v>Mekdad</v>
          </cell>
          <cell r="D477" t="str">
            <v>Ali</v>
          </cell>
          <cell r="E477" t="str">
            <v>GBR112</v>
          </cell>
          <cell r="G477">
            <v>45419</v>
          </cell>
          <cell r="H477" t="str">
            <v>Van De Velde Lucie</v>
          </cell>
        </row>
        <row r="478">
          <cell r="A478">
            <v>40590</v>
          </cell>
          <cell r="B478" t="str">
            <v>Noppe Lode</v>
          </cell>
          <cell r="C478" t="str">
            <v>Noppe</v>
          </cell>
          <cell r="D478" t="str">
            <v>Lode</v>
          </cell>
          <cell r="E478" t="str">
            <v>GBR112</v>
          </cell>
          <cell r="G478">
            <v>45464</v>
          </cell>
          <cell r="H478" t="str">
            <v>Van Der Beken Bart</v>
          </cell>
        </row>
        <row r="479">
          <cell r="A479">
            <v>40591</v>
          </cell>
          <cell r="B479" t="str">
            <v>Hiloui Mahmoud</v>
          </cell>
          <cell r="C479" t="str">
            <v>Hiloui</v>
          </cell>
          <cell r="D479" t="str">
            <v>Mahmoud</v>
          </cell>
          <cell r="E479" t="str">
            <v>GBR112</v>
          </cell>
          <cell r="G479">
            <v>45450</v>
          </cell>
          <cell r="H479" t="str">
            <v>De Clercq Dominique</v>
          </cell>
        </row>
        <row r="480">
          <cell r="A480">
            <v>40608</v>
          </cell>
          <cell r="B480" t="str">
            <v>Kurti Domeniko</v>
          </cell>
          <cell r="C480" t="str">
            <v>Kurti</v>
          </cell>
          <cell r="D480" t="str">
            <v>Domeniko</v>
          </cell>
          <cell r="E480" t="str">
            <v>GBR112</v>
          </cell>
          <cell r="G480">
            <v>45456</v>
          </cell>
          <cell r="H480" t="str">
            <v>Van De Velde Lucie</v>
          </cell>
        </row>
        <row r="481">
          <cell r="A481">
            <v>40645</v>
          </cell>
          <cell r="B481" t="str">
            <v>Bytebier Jason</v>
          </cell>
          <cell r="C481" t="str">
            <v>Bytebier</v>
          </cell>
          <cell r="D481" t="str">
            <v>Jason</v>
          </cell>
          <cell r="E481" t="str">
            <v>GBR112</v>
          </cell>
          <cell r="G481">
            <v>45544</v>
          </cell>
          <cell r="H481" t="str">
            <v>Dewulf Els</v>
          </cell>
        </row>
        <row r="482">
          <cell r="A482">
            <v>40652</v>
          </cell>
          <cell r="B482" t="str">
            <v>Van Damme Gilyann</v>
          </cell>
          <cell r="C482" t="str">
            <v>Van Damme</v>
          </cell>
          <cell r="D482" t="str">
            <v>Gilyann</v>
          </cell>
          <cell r="E482" t="str">
            <v>GBR112</v>
          </cell>
          <cell r="G482">
            <v>45470</v>
          </cell>
          <cell r="H482" t="str">
            <v>Vanhoe Els</v>
          </cell>
        </row>
        <row r="483">
          <cell r="A483">
            <v>40744</v>
          </cell>
          <cell r="B483" t="str">
            <v>Gözüküçük Ugur</v>
          </cell>
          <cell r="C483" t="str">
            <v>Gözüküçük</v>
          </cell>
          <cell r="D483" t="str">
            <v>Ugur</v>
          </cell>
          <cell r="E483" t="str">
            <v>GBR112</v>
          </cell>
          <cell r="G483">
            <v>45484</v>
          </cell>
          <cell r="H483" t="str">
            <v>Van Der Beken Bart</v>
          </cell>
        </row>
        <row r="484">
          <cell r="A484">
            <v>40745</v>
          </cell>
          <cell r="B484" t="str">
            <v>Ivanov Ivan</v>
          </cell>
          <cell r="C484" t="str">
            <v>Ivanov</v>
          </cell>
          <cell r="D484" t="str">
            <v>Ivan</v>
          </cell>
          <cell r="E484" t="str">
            <v>GBR112</v>
          </cell>
          <cell r="G484">
            <v>45498</v>
          </cell>
          <cell r="H484" t="str">
            <v>Van Der Beken Bart</v>
          </cell>
        </row>
        <row r="485">
          <cell r="A485">
            <v>40761</v>
          </cell>
          <cell r="B485" t="str">
            <v>De Vijlder Wim</v>
          </cell>
          <cell r="C485" t="str">
            <v>De Vijlder</v>
          </cell>
          <cell r="D485" t="str">
            <v>Wim</v>
          </cell>
          <cell r="E485" t="str">
            <v>GBR112</v>
          </cell>
          <cell r="G485">
            <v>45498</v>
          </cell>
          <cell r="H485" t="str">
            <v>De Rick Kenneth</v>
          </cell>
        </row>
        <row r="486">
          <cell r="A486">
            <v>40856</v>
          </cell>
          <cell r="B486" t="str">
            <v>Neissi Sadegh</v>
          </cell>
          <cell r="C486" t="str">
            <v>Neissi</v>
          </cell>
          <cell r="D486" t="str">
            <v>Sadegh</v>
          </cell>
          <cell r="E486" t="str">
            <v>GBR112</v>
          </cell>
          <cell r="G486">
            <v>45538</v>
          </cell>
          <cell r="H486" t="str">
            <v>De Rick Kenneth</v>
          </cell>
        </row>
        <row r="487">
          <cell r="A487">
            <v>40859</v>
          </cell>
          <cell r="B487" t="str">
            <v>Yagoub Abdelali</v>
          </cell>
          <cell r="C487" t="str">
            <v>Yagoub</v>
          </cell>
          <cell r="D487" t="str">
            <v>Abdelali</v>
          </cell>
          <cell r="E487" t="str">
            <v>GBR112</v>
          </cell>
          <cell r="G487">
            <v>45544</v>
          </cell>
          <cell r="H487" t="str">
            <v>Vanhoe Els</v>
          </cell>
        </row>
        <row r="488">
          <cell r="A488">
            <v>40890</v>
          </cell>
          <cell r="B488" t="str">
            <v>Hyuseinov Berdan</v>
          </cell>
          <cell r="C488" t="str">
            <v>Hyuseinov</v>
          </cell>
          <cell r="D488" t="str">
            <v>Berdan</v>
          </cell>
          <cell r="E488" t="str">
            <v>GBR112</v>
          </cell>
          <cell r="G488">
            <v>45530</v>
          </cell>
          <cell r="H488" t="str">
            <v>De Clercq Dominique</v>
          </cell>
        </row>
        <row r="489">
          <cell r="A489">
            <v>40938</v>
          </cell>
          <cell r="B489" t="str">
            <v>Hasnaoui Nejmeddine</v>
          </cell>
          <cell r="C489" t="str">
            <v>Hasnaoui</v>
          </cell>
          <cell r="D489" t="str">
            <v>Nejmeddine</v>
          </cell>
          <cell r="E489" t="str">
            <v>GBR112</v>
          </cell>
          <cell r="G489">
            <v>45530</v>
          </cell>
          <cell r="H489" t="str">
            <v>De Clercq Dominique</v>
          </cell>
        </row>
        <row r="490">
          <cell r="A490">
            <v>40939</v>
          </cell>
          <cell r="B490" t="str">
            <v>Cisse Sayon</v>
          </cell>
          <cell r="C490" t="str">
            <v>Cisse</v>
          </cell>
          <cell r="D490" t="str">
            <v>Sayon</v>
          </cell>
          <cell r="E490" t="str">
            <v>GBR112</v>
          </cell>
          <cell r="G490">
            <v>45530</v>
          </cell>
          <cell r="H490" t="str">
            <v>De Rick Kenneth</v>
          </cell>
        </row>
        <row r="491">
          <cell r="A491">
            <v>41012</v>
          </cell>
          <cell r="B491" t="str">
            <v>Natad Younes</v>
          </cell>
          <cell r="C491" t="str">
            <v>Natad</v>
          </cell>
          <cell r="D491" t="str">
            <v>Younes</v>
          </cell>
          <cell r="E491" t="str">
            <v>GBR112</v>
          </cell>
          <cell r="G491">
            <v>45574</v>
          </cell>
          <cell r="H491" t="str">
            <v>Vanhoe Els</v>
          </cell>
        </row>
        <row r="492">
          <cell r="A492">
            <v>41032</v>
          </cell>
          <cell r="B492" t="str">
            <v>Rocabado Hinojosa Lukas</v>
          </cell>
          <cell r="C492" t="str">
            <v>Rocabado Hinojosa</v>
          </cell>
          <cell r="D492" t="str">
            <v>Lukas</v>
          </cell>
          <cell r="E492" t="str">
            <v>GBR112</v>
          </cell>
          <cell r="G492">
            <v>45559</v>
          </cell>
          <cell r="H492" t="str">
            <v>Vanhoe Els</v>
          </cell>
        </row>
        <row r="493">
          <cell r="A493">
            <v>41064</v>
          </cell>
          <cell r="B493" t="str">
            <v>Ardic Atilla</v>
          </cell>
          <cell r="C493" t="str">
            <v>Ardic</v>
          </cell>
          <cell r="D493" t="str">
            <v>Atilla</v>
          </cell>
          <cell r="E493" t="str">
            <v>GBR112</v>
          </cell>
          <cell r="G493">
            <v>45588</v>
          </cell>
          <cell r="H493" t="str">
            <v>De Clercq Dominique</v>
          </cell>
        </row>
        <row r="494">
          <cell r="A494">
            <v>41091</v>
          </cell>
          <cell r="B494" t="str">
            <v>Yavas Talha</v>
          </cell>
          <cell r="C494" t="str">
            <v>Yavas</v>
          </cell>
          <cell r="D494" t="str">
            <v>Talha</v>
          </cell>
          <cell r="E494" t="str">
            <v>GBR112</v>
          </cell>
          <cell r="G494">
            <v>45603</v>
          </cell>
          <cell r="H494" t="str">
            <v>De Clercq Dominique</v>
          </cell>
        </row>
        <row r="495">
          <cell r="A495">
            <v>41092</v>
          </cell>
          <cell r="B495" t="str">
            <v>De Keyser Dorien</v>
          </cell>
          <cell r="C495" t="str">
            <v>De Keyser</v>
          </cell>
          <cell r="D495" t="str">
            <v>Dorien</v>
          </cell>
          <cell r="E495" t="str">
            <v>GBR112</v>
          </cell>
          <cell r="G495">
            <v>45574</v>
          </cell>
          <cell r="H495" t="str">
            <v>De Clercq Dominique</v>
          </cell>
        </row>
        <row r="496">
          <cell r="A496">
            <v>41101</v>
          </cell>
          <cell r="B496" t="str">
            <v>Shah Sekandar</v>
          </cell>
          <cell r="C496" t="str">
            <v>Shah</v>
          </cell>
          <cell r="D496" t="str">
            <v>Sekandar</v>
          </cell>
          <cell r="E496" t="str">
            <v>GBR112</v>
          </cell>
          <cell r="G496">
            <v>45618</v>
          </cell>
          <cell r="H496" t="str">
            <v>De Clercq Dominique</v>
          </cell>
        </row>
        <row r="497">
          <cell r="A497">
            <v>41137</v>
          </cell>
          <cell r="B497" t="str">
            <v>De smet Dirk</v>
          </cell>
          <cell r="C497" t="str">
            <v>De smet</v>
          </cell>
          <cell r="D497" t="str">
            <v>Dirk</v>
          </cell>
          <cell r="E497" t="str">
            <v>GBR112</v>
          </cell>
          <cell r="G497">
            <v>45616</v>
          </cell>
          <cell r="H497" t="str">
            <v>De Clercq Dominique</v>
          </cell>
        </row>
        <row r="498">
          <cell r="A498">
            <v>41162</v>
          </cell>
          <cell r="B498" t="str">
            <v>Hoeckman Jeroen</v>
          </cell>
          <cell r="C498" t="str">
            <v>Hoeckman</v>
          </cell>
          <cell r="D498" t="str">
            <v>Jeroen</v>
          </cell>
          <cell r="E498" t="str">
            <v>GBR112</v>
          </cell>
          <cell r="G498">
            <v>45603</v>
          </cell>
          <cell r="H498" t="str">
            <v>De Clercq Dominique</v>
          </cell>
        </row>
        <row r="499">
          <cell r="A499">
            <v>41230</v>
          </cell>
          <cell r="B499" t="str">
            <v>De Witte Bart</v>
          </cell>
          <cell r="C499" t="str">
            <v>De Witte</v>
          </cell>
          <cell r="D499" t="str">
            <v>Bart</v>
          </cell>
          <cell r="E499" t="str">
            <v>GBR112</v>
          </cell>
          <cell r="G499">
            <v>45603</v>
          </cell>
          <cell r="H499" t="str">
            <v>De Clercq Dominique</v>
          </cell>
        </row>
        <row r="500">
          <cell r="A500">
            <v>41246</v>
          </cell>
          <cell r="B500" t="str">
            <v>Van Holsbeeck Yana</v>
          </cell>
          <cell r="C500" t="str">
            <v>Van Holsbeeck</v>
          </cell>
          <cell r="D500" t="str">
            <v>Yana</v>
          </cell>
          <cell r="E500" t="str">
            <v>GBR112</v>
          </cell>
          <cell r="G500">
            <v>45663</v>
          </cell>
          <cell r="H500" t="str">
            <v>De Clercq Dominique</v>
          </cell>
        </row>
        <row r="501">
          <cell r="A501">
            <v>41296</v>
          </cell>
          <cell r="B501" t="str">
            <v>Abulehia Oday</v>
          </cell>
          <cell r="C501" t="str">
            <v>Abulehia</v>
          </cell>
          <cell r="D501" t="str">
            <v>Oday</v>
          </cell>
          <cell r="E501" t="str">
            <v>GBR112</v>
          </cell>
          <cell r="G501">
            <v>45618</v>
          </cell>
          <cell r="H501" t="str">
            <v>Rotty Christoff</v>
          </cell>
        </row>
        <row r="502">
          <cell r="A502">
            <v>41344</v>
          </cell>
          <cell r="B502" t="str">
            <v>Frise Jordi</v>
          </cell>
          <cell r="C502" t="str">
            <v>Frise</v>
          </cell>
          <cell r="D502" t="str">
            <v>Jordi</v>
          </cell>
          <cell r="E502" t="str">
            <v>GBR112</v>
          </cell>
          <cell r="G502">
            <v>45663</v>
          </cell>
          <cell r="H502" t="str">
            <v>Vanhoe Els</v>
          </cell>
        </row>
        <row r="503">
          <cell r="A503">
            <v>41348</v>
          </cell>
          <cell r="B503" t="str">
            <v>Van Huffel Tim</v>
          </cell>
          <cell r="C503" t="str">
            <v>Van Huffel</v>
          </cell>
          <cell r="D503" t="str">
            <v>Tim</v>
          </cell>
          <cell r="E503" t="str">
            <v>GBR112</v>
          </cell>
          <cell r="G503">
            <v>45673</v>
          </cell>
          <cell r="H503" t="str">
            <v>Rotty Christoff</v>
          </cell>
        </row>
        <row r="504">
          <cell r="A504">
            <v>41357</v>
          </cell>
          <cell r="B504" t="str">
            <v>Inci Ramazan</v>
          </cell>
          <cell r="C504" t="str">
            <v>Inci</v>
          </cell>
          <cell r="D504" t="str">
            <v>Ramazan</v>
          </cell>
          <cell r="E504" t="str">
            <v>GBR112</v>
          </cell>
          <cell r="G504">
            <v>45692</v>
          </cell>
          <cell r="H504" t="str">
            <v>Van Der Beken Bart</v>
          </cell>
        </row>
        <row r="505">
          <cell r="A505">
            <v>41383</v>
          </cell>
          <cell r="B505" t="str">
            <v>De Pauw Tony</v>
          </cell>
          <cell r="C505" t="str">
            <v>De Pauw</v>
          </cell>
          <cell r="D505" t="str">
            <v>Tony</v>
          </cell>
          <cell r="E505" t="str">
            <v>GBR112</v>
          </cell>
          <cell r="G505">
            <v>45663</v>
          </cell>
          <cell r="H505" t="str">
            <v>Vanhoe Els</v>
          </cell>
        </row>
        <row r="506">
          <cell r="A506">
            <v>41384</v>
          </cell>
          <cell r="B506" t="str">
            <v>Hillaert Thimo</v>
          </cell>
          <cell r="C506" t="str">
            <v>Hillaert</v>
          </cell>
          <cell r="D506" t="str">
            <v>Thimo</v>
          </cell>
          <cell r="E506" t="str">
            <v>GBR112</v>
          </cell>
          <cell r="G506">
            <v>45677</v>
          </cell>
          <cell r="H506" t="str">
            <v>Rotty Christoff</v>
          </cell>
        </row>
        <row r="507">
          <cell r="A507">
            <v>41482</v>
          </cell>
          <cell r="B507" t="str">
            <v>Özdemir Osman</v>
          </cell>
          <cell r="C507" t="str">
            <v>Özdemir</v>
          </cell>
          <cell r="D507" t="str">
            <v>Osman</v>
          </cell>
          <cell r="E507" t="str">
            <v>GBR112</v>
          </cell>
          <cell r="G507">
            <v>45735</v>
          </cell>
          <cell r="H507" t="str">
            <v>Van Der Beken Bart</v>
          </cell>
        </row>
        <row r="508">
          <cell r="A508">
            <v>41520</v>
          </cell>
          <cell r="B508" t="str">
            <v>Smets Avery</v>
          </cell>
          <cell r="C508" t="str">
            <v>Smets</v>
          </cell>
          <cell r="D508" t="str">
            <v>Avery</v>
          </cell>
          <cell r="E508" t="str">
            <v>GBR112</v>
          </cell>
          <cell r="G508">
            <v>45720</v>
          </cell>
          <cell r="H508" t="str">
            <v>Rotty Christoff</v>
          </cell>
        </row>
        <row r="509">
          <cell r="A509">
            <v>41521</v>
          </cell>
          <cell r="B509" t="str">
            <v>Calinalti Bekir</v>
          </cell>
          <cell r="C509" t="str">
            <v>Calinalti</v>
          </cell>
          <cell r="D509" t="str">
            <v>Bekir</v>
          </cell>
          <cell r="E509" t="str">
            <v>GBR112</v>
          </cell>
          <cell r="G509">
            <v>45720</v>
          </cell>
          <cell r="H509" t="str">
            <v>De Rick Kenneth</v>
          </cell>
        </row>
        <row r="510">
          <cell r="A510">
            <v>41550</v>
          </cell>
          <cell r="B510" t="str">
            <v>Timmerman Bjorn</v>
          </cell>
          <cell r="C510" t="str">
            <v>Timmerman</v>
          </cell>
          <cell r="D510" t="str">
            <v>Bjorn</v>
          </cell>
          <cell r="E510" t="str">
            <v>GBR112</v>
          </cell>
          <cell r="G510">
            <v>45735</v>
          </cell>
          <cell r="H510" t="str">
            <v>Rotty Christoff</v>
          </cell>
        </row>
        <row r="511">
          <cell r="A511">
            <v>41588</v>
          </cell>
          <cell r="B511" t="str">
            <v>Naessens Yves</v>
          </cell>
          <cell r="C511" t="str">
            <v>Naessens</v>
          </cell>
          <cell r="D511" t="str">
            <v>Yves</v>
          </cell>
          <cell r="E511" t="str">
            <v>GBR112</v>
          </cell>
          <cell r="G511">
            <v>45749</v>
          </cell>
          <cell r="H511" t="str">
            <v>De Rick Kenneth</v>
          </cell>
        </row>
        <row r="512">
          <cell r="A512">
            <v>41619</v>
          </cell>
          <cell r="B512" t="str">
            <v>Bachiri Ousama</v>
          </cell>
          <cell r="C512" t="str">
            <v>Bachiri</v>
          </cell>
          <cell r="D512" t="str">
            <v>Ousama</v>
          </cell>
          <cell r="E512" t="str">
            <v>GBR112</v>
          </cell>
          <cell r="G512">
            <v>45770</v>
          </cell>
          <cell r="H512" t="str">
            <v>Van Der Beken Bart</v>
          </cell>
        </row>
        <row r="513">
          <cell r="A513">
            <v>41632</v>
          </cell>
          <cell r="B513" t="str">
            <v>Van Eeckhaut Rudi</v>
          </cell>
          <cell r="C513" t="str">
            <v>Van Eeckhaut</v>
          </cell>
          <cell r="D513" t="str">
            <v>Rudi</v>
          </cell>
          <cell r="E513" t="str">
            <v>GBR112</v>
          </cell>
          <cell r="G513">
            <v>45720</v>
          </cell>
          <cell r="H513" t="str">
            <v>Van Der Beken Bart</v>
          </cell>
        </row>
        <row r="514">
          <cell r="A514">
            <v>41671</v>
          </cell>
          <cell r="B514" t="str">
            <v>Hasan Salem</v>
          </cell>
          <cell r="C514" t="str">
            <v>Hasan</v>
          </cell>
          <cell r="D514" t="str">
            <v>Salem</v>
          </cell>
          <cell r="E514" t="str">
            <v>GBR112</v>
          </cell>
          <cell r="G514">
            <v>45783</v>
          </cell>
          <cell r="H514" t="str">
            <v>Van Der Beken Bart</v>
          </cell>
        </row>
        <row r="515">
          <cell r="A515">
            <v>41685</v>
          </cell>
          <cell r="B515" t="str">
            <v>Zjarmi Hylgis</v>
          </cell>
          <cell r="C515" t="str">
            <v>Zjarmi</v>
          </cell>
          <cell r="D515" t="str">
            <v>Hylgis</v>
          </cell>
          <cell r="E515" t="str">
            <v>GBR112</v>
          </cell>
          <cell r="G515">
            <v>45735</v>
          </cell>
          <cell r="H515" t="str">
            <v>De Rick Kenneth</v>
          </cell>
        </row>
        <row r="516">
          <cell r="A516">
            <v>41690</v>
          </cell>
          <cell r="B516" t="str">
            <v>Van de Winckel Kelly</v>
          </cell>
          <cell r="C516" t="str">
            <v>Van de Winckel</v>
          </cell>
          <cell r="D516" t="str">
            <v>Kelly</v>
          </cell>
          <cell r="E516" t="str">
            <v>GBR112</v>
          </cell>
          <cell r="G516">
            <v>45783</v>
          </cell>
          <cell r="H516" t="str">
            <v>Dewulf Els</v>
          </cell>
        </row>
        <row r="517">
          <cell r="A517">
            <v>41710</v>
          </cell>
          <cell r="B517" t="str">
            <v>Ghani Fazal</v>
          </cell>
          <cell r="C517" t="str">
            <v>Ghani</v>
          </cell>
          <cell r="D517" t="str">
            <v>Fazal</v>
          </cell>
          <cell r="E517" t="str">
            <v>GBR112</v>
          </cell>
          <cell r="G517">
            <v>45735</v>
          </cell>
          <cell r="H517" t="str">
            <v>Vanhoe Els</v>
          </cell>
        </row>
        <row r="518">
          <cell r="A518">
            <v>41721</v>
          </cell>
          <cell r="B518" t="str">
            <v>Nolf Philippe</v>
          </cell>
          <cell r="C518" t="str">
            <v>Nolf</v>
          </cell>
          <cell r="D518" t="str">
            <v>Philippe</v>
          </cell>
          <cell r="E518" t="str">
            <v>GBR112</v>
          </cell>
          <cell r="G518">
            <v>45749</v>
          </cell>
          <cell r="H518" t="str">
            <v>De Rick Kenneth</v>
          </cell>
        </row>
        <row r="519">
          <cell r="A519">
            <v>41786</v>
          </cell>
          <cell r="B519" t="str">
            <v>Diels Nick</v>
          </cell>
          <cell r="C519" t="str">
            <v>Diels</v>
          </cell>
          <cell r="D519" t="str">
            <v>Nick</v>
          </cell>
          <cell r="E519" t="str">
            <v>GBR112</v>
          </cell>
          <cell r="G519">
            <v>45763</v>
          </cell>
          <cell r="H519" t="str">
            <v>Rotty Christoff</v>
          </cell>
        </row>
        <row r="520">
          <cell r="A520">
            <v>41821</v>
          </cell>
          <cell r="B520" t="str">
            <v>Kasmi Abdesamad</v>
          </cell>
          <cell r="C520" t="str">
            <v>Kasmi</v>
          </cell>
          <cell r="D520" t="str">
            <v>Abdesamad</v>
          </cell>
          <cell r="E520" t="str">
            <v>GBR112</v>
          </cell>
          <cell r="G520">
            <v>45783</v>
          </cell>
          <cell r="H520" t="str">
            <v>Rotty Christoff</v>
          </cell>
        </row>
        <row r="521">
          <cell r="A521">
            <v>41870</v>
          </cell>
          <cell r="B521" t="str">
            <v>Goossens Yannick</v>
          </cell>
          <cell r="C521" t="str">
            <v>Goossens</v>
          </cell>
          <cell r="D521" t="str">
            <v>Yannick</v>
          </cell>
          <cell r="E521" t="str">
            <v>GBR112</v>
          </cell>
          <cell r="G521">
            <v>45798</v>
          </cell>
          <cell r="H521" t="str">
            <v>Storm Steven</v>
          </cell>
        </row>
        <row r="522">
          <cell r="A522">
            <v>41871</v>
          </cell>
          <cell r="B522" t="str">
            <v>Karanfil Ibrahim</v>
          </cell>
          <cell r="C522" t="str">
            <v>Karanfil</v>
          </cell>
          <cell r="D522" t="str">
            <v>Ibrahim</v>
          </cell>
          <cell r="E522" t="str">
            <v>GBR112</v>
          </cell>
          <cell r="G522">
            <v>45798</v>
          </cell>
          <cell r="H522" t="str">
            <v>De Clercq Dominique</v>
          </cell>
        </row>
        <row r="523">
          <cell r="A523">
            <v>41874</v>
          </cell>
          <cell r="B523" t="str">
            <v>Dobbeleire Bruno</v>
          </cell>
          <cell r="C523" t="str">
            <v>Dobbeleire</v>
          </cell>
          <cell r="D523" t="str">
            <v>Bruno</v>
          </cell>
          <cell r="E523" t="str">
            <v>GBR112</v>
          </cell>
          <cell r="G523">
            <v>45814</v>
          </cell>
          <cell r="H523" t="str">
            <v>De Clercq Dominique</v>
          </cell>
        </row>
        <row r="524">
          <cell r="A524">
            <v>41882</v>
          </cell>
          <cell r="B524" t="str">
            <v>Van der Bauwhede Ben</v>
          </cell>
          <cell r="C524" t="str">
            <v>Van der Bauwhede</v>
          </cell>
          <cell r="D524" t="str">
            <v>Ben</v>
          </cell>
          <cell r="E524" t="str">
            <v>GBR112</v>
          </cell>
          <cell r="G524">
            <v>45831</v>
          </cell>
          <cell r="H524" t="str">
            <v>Vanhoe Els</v>
          </cell>
        </row>
        <row r="525">
          <cell r="A525">
            <v>41888</v>
          </cell>
          <cell r="B525" t="str">
            <v>De Rammelaere Bjorn</v>
          </cell>
          <cell r="C525" t="str">
            <v>De Rammelaere</v>
          </cell>
          <cell r="D525" t="str">
            <v>Bjorn</v>
          </cell>
          <cell r="E525" t="str">
            <v>GBR112</v>
          </cell>
          <cell r="G525">
            <v>45831</v>
          </cell>
          <cell r="H525" t="str">
            <v>De Rick Kenneth</v>
          </cell>
        </row>
        <row r="526">
          <cell r="A526">
            <v>41918</v>
          </cell>
          <cell r="B526" t="str">
            <v>Babai Saber</v>
          </cell>
          <cell r="C526" t="str">
            <v>Babai</v>
          </cell>
          <cell r="D526" t="str">
            <v>Saber</v>
          </cell>
          <cell r="E526" t="str">
            <v>GBR112</v>
          </cell>
          <cell r="G526">
            <v>45831</v>
          </cell>
          <cell r="H526" t="str">
            <v>Rotty Christoff</v>
          </cell>
        </row>
        <row r="527">
          <cell r="A527">
            <v>41944</v>
          </cell>
          <cell r="B527" t="str">
            <v>Tuncer Hamza</v>
          </cell>
          <cell r="C527" t="str">
            <v>Tuncer</v>
          </cell>
          <cell r="D527" t="str">
            <v>Hamza</v>
          </cell>
          <cell r="E527" t="str">
            <v>GBR112</v>
          </cell>
          <cell r="G527">
            <v>45798</v>
          </cell>
          <cell r="H527" t="str">
            <v>De Clercq Dominique</v>
          </cell>
        </row>
        <row r="528">
          <cell r="A528">
            <v>41948</v>
          </cell>
          <cell r="B528" t="str">
            <v>Vervaecke Wim</v>
          </cell>
          <cell r="C528" t="str">
            <v>Vervaecke</v>
          </cell>
          <cell r="D528" t="str">
            <v>Wim</v>
          </cell>
          <cell r="E528" t="str">
            <v>GBR112</v>
          </cell>
          <cell r="G528">
            <v>45831</v>
          </cell>
          <cell r="H528" t="str">
            <v>Dewulf Els</v>
          </cell>
        </row>
        <row r="529">
          <cell r="A529">
            <v>41949</v>
          </cell>
          <cell r="B529" t="str">
            <v>Van Loo Mike</v>
          </cell>
          <cell r="C529" t="str">
            <v>Van Loo</v>
          </cell>
          <cell r="D529" t="str">
            <v>Mike</v>
          </cell>
          <cell r="E529" t="str">
            <v>GBR112</v>
          </cell>
          <cell r="G529">
            <v>45845</v>
          </cell>
          <cell r="H529" t="str">
            <v>Rotty Christoff</v>
          </cell>
        </row>
        <row r="530">
          <cell r="A530">
            <v>42002</v>
          </cell>
          <cell r="B530" t="str">
            <v>Bogaert Kevin</v>
          </cell>
          <cell r="C530" t="str">
            <v>Bogaert</v>
          </cell>
          <cell r="D530" t="str">
            <v>Kevin</v>
          </cell>
          <cell r="E530" t="str">
            <v>GBR112</v>
          </cell>
          <cell r="G530">
            <v>45814</v>
          </cell>
          <cell r="H530" t="str">
            <v>Vanhoe Els</v>
          </cell>
        </row>
        <row r="531">
          <cell r="A531">
            <v>42015</v>
          </cell>
          <cell r="B531" t="str">
            <v>Crop Alexander</v>
          </cell>
          <cell r="C531" t="str">
            <v>Crop</v>
          </cell>
          <cell r="D531" t="str">
            <v>Alexander</v>
          </cell>
          <cell r="E531" t="str">
            <v>GBR112</v>
          </cell>
          <cell r="G531">
            <v>45831</v>
          </cell>
          <cell r="H531" t="str">
            <v>Vanhoe Els</v>
          </cell>
        </row>
        <row r="532">
          <cell r="A532">
            <v>42022</v>
          </cell>
          <cell r="B532" t="str">
            <v>Safi Amrullah</v>
          </cell>
          <cell r="C532" t="str">
            <v>Safi</v>
          </cell>
          <cell r="D532" t="str">
            <v>Amrullah</v>
          </cell>
          <cell r="E532" t="str">
            <v>GBR112</v>
          </cell>
          <cell r="G532">
            <v>45840</v>
          </cell>
          <cell r="H532" t="str">
            <v>Vanhoe Els</v>
          </cell>
        </row>
        <row r="533">
          <cell r="A533">
            <v>42044</v>
          </cell>
          <cell r="B533" t="str">
            <v>El Gana Karim</v>
          </cell>
          <cell r="C533" t="str">
            <v>El Gana</v>
          </cell>
          <cell r="D533" t="str">
            <v>Karim</v>
          </cell>
          <cell r="E533" t="str">
            <v>GBR112</v>
          </cell>
          <cell r="G533">
            <v>45854</v>
          </cell>
          <cell r="H533" t="str">
            <v>De Clercq Dominique</v>
          </cell>
        </row>
        <row r="534">
          <cell r="A534">
            <v>42082</v>
          </cell>
          <cell r="B534" t="str">
            <v>Ahmad Othman</v>
          </cell>
          <cell r="C534" t="str">
            <v>Ahmad</v>
          </cell>
          <cell r="D534" t="str">
            <v>Othman</v>
          </cell>
          <cell r="E534" t="str">
            <v>GBR112</v>
          </cell>
          <cell r="G534">
            <v>45853</v>
          </cell>
          <cell r="H534" t="str">
            <v>De Clercq Dominique</v>
          </cell>
        </row>
        <row r="535">
          <cell r="A535">
            <v>42120</v>
          </cell>
          <cell r="B535" t="str">
            <v>De Bruycker Dylan</v>
          </cell>
          <cell r="C535" t="str">
            <v>De Bruycker</v>
          </cell>
          <cell r="D535" t="str">
            <v>Dylan</v>
          </cell>
          <cell r="E535" t="str">
            <v>GBR112</v>
          </cell>
          <cell r="G535">
            <v>45860</v>
          </cell>
          <cell r="H535" t="str">
            <v>De Rick Kenneth</v>
          </cell>
        </row>
        <row r="536">
          <cell r="A536">
            <v>42141</v>
          </cell>
          <cell r="B536" t="str">
            <v>Verniers Mike</v>
          </cell>
          <cell r="C536" t="str">
            <v>Verniers</v>
          </cell>
          <cell r="D536" t="str">
            <v>Mike</v>
          </cell>
          <cell r="E536" t="str">
            <v>GBR112</v>
          </cell>
          <cell r="G536">
            <v>45868</v>
          </cell>
          <cell r="H536" t="str">
            <v>Rotty Christoff</v>
          </cell>
        </row>
        <row r="537">
          <cell r="A537">
            <v>42143</v>
          </cell>
          <cell r="B537" t="str">
            <v>Rahoens Christ</v>
          </cell>
          <cell r="C537" t="str">
            <v>Rahoens</v>
          </cell>
          <cell r="D537" t="str">
            <v>Christ</v>
          </cell>
          <cell r="E537" t="str">
            <v>GBR112</v>
          </cell>
          <cell r="G537">
            <v>45889</v>
          </cell>
          <cell r="H537" t="str">
            <v>Van Der Beken Bart</v>
          </cell>
        </row>
        <row r="538">
          <cell r="A538">
            <v>42144</v>
          </cell>
          <cell r="B538" t="str">
            <v>Coppens Lauwrence</v>
          </cell>
          <cell r="C538" t="str">
            <v>Coppens</v>
          </cell>
          <cell r="D538" t="str">
            <v>Lauwrence</v>
          </cell>
          <cell r="E538" t="str">
            <v>GBR112</v>
          </cell>
          <cell r="G538">
            <v>45889</v>
          </cell>
          <cell r="H538" t="str">
            <v>Vanhoe Els</v>
          </cell>
        </row>
        <row r="539">
          <cell r="A539">
            <v>42145</v>
          </cell>
          <cell r="B539" t="str">
            <v>Gys Shayya</v>
          </cell>
          <cell r="C539" t="str">
            <v>Gys</v>
          </cell>
          <cell r="D539" t="str">
            <v>Shayya</v>
          </cell>
          <cell r="E539" t="str">
            <v>GBR112</v>
          </cell>
          <cell r="G539">
            <v>45874</v>
          </cell>
          <cell r="H539" t="str">
            <v>Storm Steven</v>
          </cell>
        </row>
        <row r="540">
          <cell r="A540">
            <v>42146</v>
          </cell>
          <cell r="B540" t="str">
            <v>Cichonski Kamil</v>
          </cell>
          <cell r="C540" t="str">
            <v>Cichonski</v>
          </cell>
          <cell r="D540" t="str">
            <v>Kamil</v>
          </cell>
          <cell r="E540" t="str">
            <v>GBR112</v>
          </cell>
          <cell r="G540">
            <v>45874</v>
          </cell>
          <cell r="H540" t="str">
            <v>Storm Steven</v>
          </cell>
        </row>
        <row r="541">
          <cell r="A541">
            <v>42164</v>
          </cell>
          <cell r="B541" t="str">
            <v>Orozco Camacho Ronald Reynaldo</v>
          </cell>
          <cell r="C541" t="str">
            <v>Orozco Camacho</v>
          </cell>
          <cell r="D541" t="str">
            <v>Ronald Reynaldo</v>
          </cell>
          <cell r="E541" t="str">
            <v>GBR112</v>
          </cell>
          <cell r="G541">
            <v>45870</v>
          </cell>
          <cell r="H541" t="str">
            <v>De Clercq Dominique</v>
          </cell>
        </row>
        <row r="542">
          <cell r="A542">
            <v>42195</v>
          </cell>
          <cell r="B542" t="str">
            <v>Aissati Ridouan</v>
          </cell>
          <cell r="C542" t="str">
            <v>Aissati</v>
          </cell>
          <cell r="D542" t="str">
            <v>Ridouan</v>
          </cell>
          <cell r="E542" t="str">
            <v>GBR112</v>
          </cell>
          <cell r="G542">
            <v>45889</v>
          </cell>
          <cell r="H542" t="str">
            <v>Dewulf Els</v>
          </cell>
        </row>
        <row r="543">
          <cell r="A543">
            <v>42211</v>
          </cell>
          <cell r="B543" t="str">
            <v>Akbulut Samed</v>
          </cell>
          <cell r="C543" t="str">
            <v>Akbulut</v>
          </cell>
          <cell r="D543" t="str">
            <v>Samed</v>
          </cell>
          <cell r="E543" t="str">
            <v>GBR112</v>
          </cell>
          <cell r="G543">
            <v>45889</v>
          </cell>
          <cell r="H543" t="str">
            <v>De Rick Kenneth</v>
          </cell>
        </row>
        <row r="544">
          <cell r="A544">
            <v>42218</v>
          </cell>
          <cell r="B544" t="str">
            <v>Özer Metehan</v>
          </cell>
          <cell r="C544" t="str">
            <v>Özer</v>
          </cell>
          <cell r="D544" t="str">
            <v>Metehan</v>
          </cell>
          <cell r="E544" t="str">
            <v>GBR112</v>
          </cell>
          <cell r="G544">
            <v>45903</v>
          </cell>
          <cell r="H544" t="str">
            <v>Dewulf Els</v>
          </cell>
        </row>
        <row r="545">
          <cell r="A545">
            <v>42249</v>
          </cell>
          <cell r="B545" t="str">
            <v>Bontinck Stephan</v>
          </cell>
          <cell r="C545" t="str">
            <v>Bontinck</v>
          </cell>
          <cell r="D545" t="str">
            <v>Stephan</v>
          </cell>
          <cell r="E545" t="str">
            <v>GBR112</v>
          </cell>
          <cell r="G545">
            <v>45903</v>
          </cell>
          <cell r="H545" t="str">
            <v>De Rick Kenneth</v>
          </cell>
        </row>
        <row r="546">
          <cell r="A546">
            <v>42252</v>
          </cell>
          <cell r="B546" t="str">
            <v>Sular Abdullah</v>
          </cell>
          <cell r="C546" t="str">
            <v>Sular</v>
          </cell>
          <cell r="D546" t="str">
            <v>Abdullah</v>
          </cell>
          <cell r="E546" t="str">
            <v>GBR112</v>
          </cell>
          <cell r="G546">
            <v>45903</v>
          </cell>
          <cell r="H546" t="str">
            <v>Rotty Christoff</v>
          </cell>
        </row>
        <row r="547">
          <cell r="A547">
            <v>42269</v>
          </cell>
          <cell r="B547" t="str">
            <v>Ahmed Abdul</v>
          </cell>
          <cell r="C547" t="str">
            <v>Ahmed</v>
          </cell>
          <cell r="D547" t="str">
            <v>Abdul</v>
          </cell>
          <cell r="E547" t="str">
            <v>GBR112</v>
          </cell>
          <cell r="G547">
            <v>45903</v>
          </cell>
          <cell r="H547" t="str">
            <v>Rotty Christoff</v>
          </cell>
        </row>
        <row r="548">
          <cell r="A548">
            <v>42277</v>
          </cell>
          <cell r="B548" t="str">
            <v>Güler Ender</v>
          </cell>
          <cell r="C548" t="str">
            <v>Güler</v>
          </cell>
          <cell r="D548" t="str">
            <v>Ender</v>
          </cell>
          <cell r="E548" t="str">
            <v>GBR112</v>
          </cell>
          <cell r="G548">
            <v>45918</v>
          </cell>
          <cell r="H548" t="str">
            <v>De Clercq Dominique</v>
          </cell>
        </row>
        <row r="549">
          <cell r="A549">
            <v>42336</v>
          </cell>
          <cell r="B549" t="str">
            <v>Camgöz Furkan</v>
          </cell>
          <cell r="C549" t="str">
            <v>Camgöz</v>
          </cell>
          <cell r="D549" t="str">
            <v>Furkan</v>
          </cell>
          <cell r="E549" t="str">
            <v>GBR112</v>
          </cell>
          <cell r="G549">
            <v>45918</v>
          </cell>
          <cell r="H549" t="str">
            <v>Van De Velde Lucie</v>
          </cell>
        </row>
        <row r="550">
          <cell r="A550">
            <v>42358</v>
          </cell>
          <cell r="B550" t="str">
            <v>Keita Yassin</v>
          </cell>
          <cell r="C550" t="str">
            <v>Keita</v>
          </cell>
          <cell r="D550" t="str">
            <v>Yassin</v>
          </cell>
          <cell r="E550" t="str">
            <v>GBR112</v>
          </cell>
          <cell r="G550">
            <v>45932</v>
          </cell>
          <cell r="H550" t="str">
            <v>Storm Steven</v>
          </cell>
        </row>
        <row r="551">
          <cell r="A551">
            <v>42391</v>
          </cell>
          <cell r="B551" t="str">
            <v>Blancquaert Peter</v>
          </cell>
          <cell r="C551" t="str">
            <v>Blancquaert</v>
          </cell>
          <cell r="D551" t="str">
            <v>Peter</v>
          </cell>
          <cell r="E551" t="str">
            <v>GBR112</v>
          </cell>
          <cell r="G551">
            <v>45930</v>
          </cell>
          <cell r="H551" t="str">
            <v>Rotty Christoff</v>
          </cell>
        </row>
        <row r="552">
          <cell r="A552">
            <v>42393</v>
          </cell>
          <cell r="B552" t="str">
            <v>AL-Haddad Rashid</v>
          </cell>
          <cell r="C552" t="str">
            <v>AL-Haddad</v>
          </cell>
          <cell r="D552" t="str">
            <v>Rashid</v>
          </cell>
          <cell r="E552" t="str">
            <v>GBR112</v>
          </cell>
          <cell r="G552">
            <v>45930</v>
          </cell>
          <cell r="H552" t="str">
            <v>Storm Steven</v>
          </cell>
        </row>
        <row r="553">
          <cell r="A553">
            <v>42558</v>
          </cell>
          <cell r="B553" t="str">
            <v>Sahbaz Celal</v>
          </cell>
          <cell r="C553" t="str">
            <v>Sahbaz</v>
          </cell>
          <cell r="D553" t="str">
            <v>Celal</v>
          </cell>
          <cell r="E553" t="str">
            <v>GBR112</v>
          </cell>
          <cell r="G553">
            <v>45980</v>
          </cell>
          <cell r="H553" t="str">
            <v>Van Der Beken Bart</v>
          </cell>
        </row>
        <row r="554">
          <cell r="A554">
            <v>42593</v>
          </cell>
          <cell r="B554" t="str">
            <v>De Meydts Ann</v>
          </cell>
          <cell r="C554" t="str">
            <v>De Meydts</v>
          </cell>
          <cell r="D554" t="str">
            <v>Ann</v>
          </cell>
          <cell r="E554" t="str">
            <v>GBR112</v>
          </cell>
          <cell r="G554">
            <v>46001</v>
          </cell>
          <cell r="H554" t="str">
            <v>Van Der Beken Bart</v>
          </cell>
        </row>
        <row r="555">
          <cell r="A555">
            <v>4419</v>
          </cell>
          <cell r="B555" t="str">
            <v>Maelbrancke Eddy</v>
          </cell>
          <cell r="C555" t="str">
            <v>Maelbrancke</v>
          </cell>
          <cell r="D555" t="str">
            <v>Eddy</v>
          </cell>
          <cell r="E555" t="str">
            <v>GBR112</v>
          </cell>
          <cell r="F555">
            <v>446</v>
          </cell>
          <cell r="G555">
            <v>32223</v>
          </cell>
          <cell r="H555" t="str">
            <v>Van De Velde Lucie</v>
          </cell>
        </row>
        <row r="556">
          <cell r="A556">
            <v>4525</v>
          </cell>
          <cell r="B556" t="str">
            <v>Vanthomme Geert</v>
          </cell>
          <cell r="C556" t="str">
            <v>Vanthomme</v>
          </cell>
          <cell r="D556" t="str">
            <v>Geert</v>
          </cell>
          <cell r="E556" t="str">
            <v>GBR112</v>
          </cell>
          <cell r="F556">
            <v>16</v>
          </cell>
          <cell r="G556">
            <v>32489</v>
          </cell>
          <cell r="H556" t="str">
            <v>De Rick Kenneth</v>
          </cell>
        </row>
        <row r="557">
          <cell r="A557">
            <v>4608</v>
          </cell>
          <cell r="B557" t="str">
            <v>Steenbrugge Johan</v>
          </cell>
          <cell r="C557" t="str">
            <v>Steenbrugge</v>
          </cell>
          <cell r="D557" t="str">
            <v>Johan</v>
          </cell>
          <cell r="E557" t="str">
            <v>GBR112</v>
          </cell>
          <cell r="F557">
            <v>410</v>
          </cell>
          <cell r="G557">
            <v>32644</v>
          </cell>
          <cell r="H557" t="str">
            <v>Van De Velde Lucie</v>
          </cell>
        </row>
        <row r="558">
          <cell r="A558">
            <v>4720</v>
          </cell>
          <cell r="B558" t="str">
            <v>De Roo Jo</v>
          </cell>
          <cell r="C558" t="str">
            <v>De Roo</v>
          </cell>
          <cell r="D558" t="str">
            <v>Jo</v>
          </cell>
          <cell r="E558" t="str">
            <v>GBR112</v>
          </cell>
          <cell r="F558">
            <v>509</v>
          </cell>
          <cell r="G558">
            <v>32797</v>
          </cell>
          <cell r="H558" t="str">
            <v>Vanhoe Els</v>
          </cell>
        </row>
        <row r="559">
          <cell r="A559">
            <v>4764</v>
          </cell>
          <cell r="B559" t="str">
            <v>Beke Erik</v>
          </cell>
          <cell r="C559" t="str">
            <v>Beke</v>
          </cell>
          <cell r="D559" t="str">
            <v>Erik</v>
          </cell>
          <cell r="E559" t="str">
            <v>GBR112</v>
          </cell>
          <cell r="F559">
            <v>539</v>
          </cell>
          <cell r="G559">
            <v>32924</v>
          </cell>
          <cell r="H559" t="str">
            <v>Van Der Beken Bart</v>
          </cell>
        </row>
        <row r="560">
          <cell r="A560">
            <v>4793</v>
          </cell>
          <cell r="B560" t="str">
            <v>De Fré Sandra</v>
          </cell>
          <cell r="C560" t="str">
            <v>De Fré</v>
          </cell>
          <cell r="D560" t="str">
            <v>Sandra</v>
          </cell>
          <cell r="E560" t="str">
            <v>GBR112</v>
          </cell>
          <cell r="F560">
            <v>210</v>
          </cell>
          <cell r="G560">
            <v>32951</v>
          </cell>
          <cell r="H560" t="str">
            <v>Van De Velde Lucie</v>
          </cell>
        </row>
        <row r="561">
          <cell r="A561">
            <v>4943</v>
          </cell>
          <cell r="B561" t="str">
            <v>Vervust Guido</v>
          </cell>
          <cell r="C561" t="str">
            <v>Vervust</v>
          </cell>
          <cell r="D561" t="str">
            <v>Guido</v>
          </cell>
          <cell r="E561" t="str">
            <v>GBR112</v>
          </cell>
          <cell r="F561">
            <v>368</v>
          </cell>
          <cell r="G561">
            <v>33098</v>
          </cell>
          <cell r="H561" t="str">
            <v>Dewulf Els</v>
          </cell>
        </row>
        <row r="562">
          <cell r="A562">
            <v>5061</v>
          </cell>
          <cell r="B562" t="str">
            <v>De Clercq Peter</v>
          </cell>
          <cell r="C562" t="str">
            <v>De Clercq</v>
          </cell>
          <cell r="D562" t="str">
            <v>Peter</v>
          </cell>
          <cell r="E562" t="str">
            <v>GBR112</v>
          </cell>
          <cell r="F562">
            <v>649</v>
          </cell>
          <cell r="G562">
            <v>33287</v>
          </cell>
          <cell r="H562" t="str">
            <v>De Rick Kenneth</v>
          </cell>
        </row>
        <row r="563">
          <cell r="A563">
            <v>5063</v>
          </cell>
          <cell r="B563" t="str">
            <v>Merre Bart</v>
          </cell>
          <cell r="C563" t="str">
            <v>Merre</v>
          </cell>
          <cell r="D563" t="str">
            <v>Bart</v>
          </cell>
          <cell r="E563" t="str">
            <v>GBR112</v>
          </cell>
          <cell r="F563">
            <v>232</v>
          </cell>
          <cell r="G563">
            <v>33287</v>
          </cell>
          <cell r="H563" t="str">
            <v>Van De Velde Lucie</v>
          </cell>
        </row>
        <row r="564">
          <cell r="A564">
            <v>5080</v>
          </cell>
          <cell r="B564" t="str">
            <v>Van Damme Karin</v>
          </cell>
          <cell r="C564" t="str">
            <v>Van Damme</v>
          </cell>
          <cell r="D564" t="str">
            <v>Karin</v>
          </cell>
          <cell r="E564" t="str">
            <v>GBR112</v>
          </cell>
          <cell r="F564">
            <v>313</v>
          </cell>
          <cell r="G564">
            <v>33308</v>
          </cell>
          <cell r="H564" t="str">
            <v>Vanhoe Els</v>
          </cell>
        </row>
        <row r="565">
          <cell r="A565">
            <v>5559</v>
          </cell>
          <cell r="B565" t="str">
            <v>Hoste Tania</v>
          </cell>
          <cell r="C565" t="str">
            <v>Hoste</v>
          </cell>
          <cell r="D565" t="str">
            <v>Tania</v>
          </cell>
          <cell r="E565" t="str">
            <v>GBR112</v>
          </cell>
          <cell r="F565">
            <v>331</v>
          </cell>
          <cell r="G565">
            <v>33546</v>
          </cell>
          <cell r="H565" t="str">
            <v>Storm Steven</v>
          </cell>
        </row>
        <row r="566">
          <cell r="A566">
            <v>5599</v>
          </cell>
          <cell r="B566" t="str">
            <v>Pretel Philippe</v>
          </cell>
          <cell r="C566" t="str">
            <v>Pretel</v>
          </cell>
          <cell r="D566" t="str">
            <v>Philippe</v>
          </cell>
          <cell r="E566" t="str">
            <v>GBR112</v>
          </cell>
          <cell r="F566">
            <v>386</v>
          </cell>
          <cell r="G566">
            <v>33609</v>
          </cell>
          <cell r="H566" t="str">
            <v>Storm Steven</v>
          </cell>
        </row>
        <row r="567">
          <cell r="A567">
            <v>5718</v>
          </cell>
          <cell r="B567" t="str">
            <v>Dejonckheere Inge</v>
          </cell>
          <cell r="C567" t="str">
            <v>Dejonckheere</v>
          </cell>
          <cell r="D567" t="str">
            <v>Inge</v>
          </cell>
          <cell r="E567" t="str">
            <v>GBR112</v>
          </cell>
          <cell r="F567">
            <v>189</v>
          </cell>
          <cell r="G567">
            <v>33707</v>
          </cell>
          <cell r="H567" t="str">
            <v>De Rick Kenneth</v>
          </cell>
        </row>
        <row r="568">
          <cell r="A568">
            <v>5813</v>
          </cell>
          <cell r="B568" t="str">
            <v>Binard Sabine</v>
          </cell>
          <cell r="C568" t="str">
            <v>Binard</v>
          </cell>
          <cell r="D568" t="str">
            <v>Sabine</v>
          </cell>
          <cell r="E568" t="str">
            <v>GBR112</v>
          </cell>
          <cell r="F568">
            <v>19</v>
          </cell>
          <cell r="G568">
            <v>33742</v>
          </cell>
          <cell r="H568" t="str">
            <v>Van De Velde Lucie</v>
          </cell>
        </row>
        <row r="569">
          <cell r="A569">
            <v>6049</v>
          </cell>
          <cell r="B569" t="str">
            <v>Jouret Alain</v>
          </cell>
          <cell r="C569" t="str">
            <v>Jouret</v>
          </cell>
          <cell r="D569" t="str">
            <v>Alain</v>
          </cell>
          <cell r="E569" t="str">
            <v>GBR112</v>
          </cell>
          <cell r="F569">
            <v>193</v>
          </cell>
          <cell r="G569">
            <v>33819</v>
          </cell>
          <cell r="H569" t="str">
            <v>Van De Velde Lucie</v>
          </cell>
        </row>
        <row r="570">
          <cell r="A570">
            <v>6067</v>
          </cell>
          <cell r="B570" t="str">
            <v>Vantilcke Fabien</v>
          </cell>
          <cell r="C570" t="str">
            <v>Vantilcke</v>
          </cell>
          <cell r="D570" t="str">
            <v>Fabien</v>
          </cell>
          <cell r="E570" t="str">
            <v>GBR112</v>
          </cell>
          <cell r="F570">
            <v>467</v>
          </cell>
          <cell r="G570">
            <v>33848</v>
          </cell>
          <cell r="H570" t="str">
            <v>Van De Velde Lucie</v>
          </cell>
        </row>
        <row r="571">
          <cell r="A571">
            <v>6092</v>
          </cell>
          <cell r="B571" t="str">
            <v>Boone Pascal</v>
          </cell>
          <cell r="C571" t="str">
            <v>Boone</v>
          </cell>
          <cell r="D571" t="str">
            <v>Pascal</v>
          </cell>
          <cell r="E571" t="str">
            <v>GBR112</v>
          </cell>
          <cell r="F571">
            <v>216</v>
          </cell>
          <cell r="G571">
            <v>33868</v>
          </cell>
          <cell r="H571" t="str">
            <v>Storm Steven</v>
          </cell>
        </row>
        <row r="572">
          <cell r="A572">
            <v>6229</v>
          </cell>
          <cell r="B572" t="str">
            <v>De Meyer Antoon</v>
          </cell>
          <cell r="C572" t="str">
            <v>De Meyer</v>
          </cell>
          <cell r="D572" t="str">
            <v>Antoon</v>
          </cell>
          <cell r="E572" t="str">
            <v>GBR112</v>
          </cell>
          <cell r="F572">
            <v>628</v>
          </cell>
          <cell r="G572">
            <v>34008</v>
          </cell>
          <cell r="H572" t="str">
            <v>Vanhoe Els</v>
          </cell>
        </row>
        <row r="573">
          <cell r="A573">
            <v>6309</v>
          </cell>
          <cell r="B573" t="str">
            <v>Busson Dirk</v>
          </cell>
          <cell r="C573" t="str">
            <v>Busson</v>
          </cell>
          <cell r="D573" t="str">
            <v>Dirk</v>
          </cell>
          <cell r="E573" t="str">
            <v>GBR112</v>
          </cell>
          <cell r="F573">
            <v>413</v>
          </cell>
          <cell r="G573">
            <v>34078</v>
          </cell>
          <cell r="H573" t="str">
            <v>De Rick Kenneth</v>
          </cell>
        </row>
        <row r="574">
          <cell r="A574">
            <v>7422</v>
          </cell>
          <cell r="B574" t="str">
            <v>Martens Dominique</v>
          </cell>
          <cell r="C574" t="str">
            <v>Martens</v>
          </cell>
          <cell r="D574" t="str">
            <v>Dominique</v>
          </cell>
          <cell r="E574" t="str">
            <v>GBR112</v>
          </cell>
          <cell r="F574">
            <v>557</v>
          </cell>
          <cell r="G574">
            <v>34834</v>
          </cell>
          <cell r="H574" t="str">
            <v>Van Der Beken Bart</v>
          </cell>
        </row>
        <row r="575">
          <cell r="A575">
            <v>7746</v>
          </cell>
          <cell r="B575" t="str">
            <v>Aelterman Didier</v>
          </cell>
          <cell r="C575" t="str">
            <v>Aelterman</v>
          </cell>
          <cell r="D575" t="str">
            <v>Didier</v>
          </cell>
          <cell r="E575" t="str">
            <v>GBR112</v>
          </cell>
          <cell r="F575">
            <v>356</v>
          </cell>
          <cell r="G575">
            <v>34932</v>
          </cell>
          <cell r="H575" t="str">
            <v>Rotty Christoff</v>
          </cell>
        </row>
        <row r="576">
          <cell r="A576">
            <v>7748</v>
          </cell>
          <cell r="B576" t="str">
            <v>Baetslé Stephen</v>
          </cell>
          <cell r="C576" t="str">
            <v>Baetslé</v>
          </cell>
          <cell r="D576" t="str">
            <v>Stephen</v>
          </cell>
          <cell r="E576" t="str">
            <v>GBR112</v>
          </cell>
          <cell r="F576">
            <v>164</v>
          </cell>
          <cell r="G576">
            <v>34932</v>
          </cell>
          <cell r="H576" t="str">
            <v>Van De Velde Lucie</v>
          </cell>
        </row>
        <row r="577">
          <cell r="A577">
            <v>8016</v>
          </cell>
          <cell r="B577" t="str">
            <v>Vinck Roland</v>
          </cell>
          <cell r="C577" t="str">
            <v>Vinck</v>
          </cell>
          <cell r="D577" t="str">
            <v>Roland</v>
          </cell>
          <cell r="E577" t="str">
            <v>E17126</v>
          </cell>
          <cell r="F577">
            <v>100</v>
          </cell>
          <cell r="G577">
            <v>35065</v>
          </cell>
          <cell r="H577" t="str">
            <v>De Clercq Dominique</v>
          </cell>
        </row>
        <row r="578">
          <cell r="A578">
            <v>8196</v>
          </cell>
          <cell r="B578" t="str">
            <v>Remue Wim</v>
          </cell>
          <cell r="C578" t="str">
            <v>Remue</v>
          </cell>
          <cell r="D578" t="str">
            <v>Wim</v>
          </cell>
          <cell r="E578" t="str">
            <v>GBR112</v>
          </cell>
          <cell r="F578">
            <v>473</v>
          </cell>
          <cell r="G578">
            <v>35177</v>
          </cell>
          <cell r="H578" t="str">
            <v>Rotty Christoff</v>
          </cell>
        </row>
        <row r="579">
          <cell r="A579">
            <v>8391</v>
          </cell>
          <cell r="B579" t="str">
            <v>Lucq Joeri</v>
          </cell>
          <cell r="C579" t="str">
            <v>Lucq</v>
          </cell>
          <cell r="D579" t="str">
            <v>Joeri</v>
          </cell>
          <cell r="E579" t="str">
            <v>GBR112</v>
          </cell>
          <cell r="F579">
            <v>508</v>
          </cell>
          <cell r="G579">
            <v>35219</v>
          </cell>
          <cell r="H579" t="str">
            <v>Vanhoe Els</v>
          </cell>
        </row>
        <row r="580">
          <cell r="A580">
            <v>8393</v>
          </cell>
          <cell r="B580" t="str">
            <v>Priem Sandra</v>
          </cell>
          <cell r="C580" t="str">
            <v>Priem</v>
          </cell>
          <cell r="D580" t="str">
            <v>Sandra</v>
          </cell>
          <cell r="E580" t="str">
            <v>GBR112</v>
          </cell>
          <cell r="F580">
            <v>272</v>
          </cell>
          <cell r="G580">
            <v>35219</v>
          </cell>
          <cell r="H580" t="str">
            <v>Storm Steven</v>
          </cell>
        </row>
        <row r="581">
          <cell r="A581">
            <v>8394</v>
          </cell>
          <cell r="B581" t="str">
            <v>Smet Antoon</v>
          </cell>
          <cell r="C581" t="str">
            <v>Smet</v>
          </cell>
          <cell r="D581" t="str">
            <v>Antoon</v>
          </cell>
          <cell r="E581" t="str">
            <v>GBR112</v>
          </cell>
          <cell r="F581">
            <v>71</v>
          </cell>
          <cell r="G581">
            <v>35219</v>
          </cell>
          <cell r="H581" t="str">
            <v>Van De Velde Lucie</v>
          </cell>
        </row>
        <row r="582">
          <cell r="A582">
            <v>8708</v>
          </cell>
          <cell r="B582" t="str">
            <v>Middernacht Andy</v>
          </cell>
          <cell r="C582" t="str">
            <v>Middernacht</v>
          </cell>
          <cell r="D582" t="str">
            <v>Andy</v>
          </cell>
          <cell r="E582" t="str">
            <v>GBR112</v>
          </cell>
          <cell r="F582">
            <v>2</v>
          </cell>
          <cell r="G582">
            <v>35303</v>
          </cell>
          <cell r="H582" t="str">
            <v>Van De Velde Lucie</v>
          </cell>
        </row>
        <row r="583">
          <cell r="A583">
            <v>8792</v>
          </cell>
          <cell r="B583" t="str">
            <v>VandenDaele Dave</v>
          </cell>
          <cell r="C583" t="str">
            <v>VandenDaele</v>
          </cell>
          <cell r="D583" t="str">
            <v>Dave</v>
          </cell>
          <cell r="E583" t="str">
            <v>GBR112</v>
          </cell>
          <cell r="F583">
            <v>466</v>
          </cell>
          <cell r="G583">
            <v>35338</v>
          </cell>
          <cell r="H583" t="str">
            <v>Van Der Beken Bart</v>
          </cell>
        </row>
        <row r="584">
          <cell r="A584">
            <v>8918</v>
          </cell>
          <cell r="B584" t="str">
            <v>De Graeve Marc</v>
          </cell>
          <cell r="C584" t="str">
            <v>De Graeve</v>
          </cell>
          <cell r="D584" t="str">
            <v>Marc</v>
          </cell>
          <cell r="E584" t="str">
            <v>GBR112</v>
          </cell>
          <cell r="F584">
            <v>429</v>
          </cell>
          <cell r="G584">
            <v>35394</v>
          </cell>
          <cell r="H584" t="str">
            <v>De Rick Kenneth</v>
          </cell>
        </row>
        <row r="585">
          <cell r="A585">
            <v>9062</v>
          </cell>
          <cell r="B585" t="str">
            <v>Westelinck Davy</v>
          </cell>
          <cell r="C585" t="str">
            <v>Westelinck</v>
          </cell>
          <cell r="D585" t="str">
            <v>Davy</v>
          </cell>
          <cell r="E585" t="str">
            <v>GBR112</v>
          </cell>
          <cell r="F585">
            <v>382</v>
          </cell>
          <cell r="G585">
            <v>35478</v>
          </cell>
          <cell r="H585" t="str">
            <v>De Rick Kenneth</v>
          </cell>
        </row>
        <row r="586">
          <cell r="A586">
            <v>9065</v>
          </cell>
          <cell r="B586" t="str">
            <v>Dewispelaere Danny</v>
          </cell>
          <cell r="C586" t="str">
            <v>Dewispelaere</v>
          </cell>
          <cell r="D586" t="str">
            <v>Danny</v>
          </cell>
          <cell r="E586" t="str">
            <v>GBR112</v>
          </cell>
          <cell r="F586">
            <v>398</v>
          </cell>
          <cell r="G586">
            <v>35478</v>
          </cell>
          <cell r="H586" t="str">
            <v>Vanhoe Els</v>
          </cell>
        </row>
        <row r="587">
          <cell r="A587">
            <v>9158</v>
          </cell>
          <cell r="B587" t="str">
            <v>De Weirdt Ronny</v>
          </cell>
          <cell r="C587" t="str">
            <v>De Weirdt</v>
          </cell>
          <cell r="D587" t="str">
            <v>Ronny</v>
          </cell>
          <cell r="E587" t="str">
            <v>GBR112</v>
          </cell>
          <cell r="F587">
            <v>180</v>
          </cell>
          <cell r="G587">
            <v>35513</v>
          </cell>
          <cell r="H587" t="str">
            <v>Storm Steven</v>
          </cell>
        </row>
        <row r="588">
          <cell r="A588">
            <v>9667</v>
          </cell>
          <cell r="B588" t="str">
            <v>Lust Dominiek</v>
          </cell>
          <cell r="C588" t="str">
            <v>Lust</v>
          </cell>
          <cell r="D588" t="str">
            <v>Dominiek</v>
          </cell>
          <cell r="E588" t="str">
            <v>GBR112</v>
          </cell>
          <cell r="F588">
            <v>608</v>
          </cell>
          <cell r="G588">
            <v>35667</v>
          </cell>
          <cell r="H588" t="str">
            <v>De Rick Kenneth</v>
          </cell>
        </row>
        <row r="589">
          <cell r="A589">
            <v>9824</v>
          </cell>
          <cell r="B589" t="str">
            <v>De Meulenaere Eric</v>
          </cell>
          <cell r="C589" t="str">
            <v>De Meulenaere</v>
          </cell>
          <cell r="D589" t="str">
            <v>Eric</v>
          </cell>
          <cell r="E589" t="str">
            <v>GBR112</v>
          </cell>
          <cell r="F589">
            <v>192</v>
          </cell>
          <cell r="G589">
            <v>35723</v>
          </cell>
          <cell r="H589" t="str">
            <v>Storm Steven</v>
          </cell>
        </row>
        <row r="590">
          <cell r="A590">
            <v>9979</v>
          </cell>
          <cell r="B590" t="str">
            <v>Loots Wim</v>
          </cell>
          <cell r="C590" t="str">
            <v>Loots</v>
          </cell>
          <cell r="D590" t="str">
            <v>Wim</v>
          </cell>
          <cell r="E590" t="str">
            <v>GBR112</v>
          </cell>
          <cell r="F590">
            <v>222</v>
          </cell>
          <cell r="G590">
            <v>35796</v>
          </cell>
          <cell r="H590" t="str">
            <v>Van Der Beken Bart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4.387804861108" createdVersion="8" refreshedVersion="8" minRefreshableVersion="3" recordCount="1039" xr:uid="{A79F02F4-7057-403C-BA1E-F048587AF0EA}">
  <cacheSource type="worksheet">
    <worksheetSource name="bron"/>
  </cacheSource>
  <cacheFields count="16">
    <cacheField name="personeelsnr" numFmtId="0">
      <sharedItems containsString="0" containsBlank="1" containsNumber="1" containsInteger="1" minValue="4419" maxValue="42567"/>
    </cacheField>
    <cacheField name="volledige naam" numFmtId="0">
      <sharedItems containsBlank="1" count="839">
        <e v="#N/A"/>
        <s v="Kerremans Jürgen"/>
        <s v="Vandenhaute Linus"/>
        <s v="Bonne Niko"/>
        <s v="Dedeci Mecit"/>
        <s v="Gök Mustafa"/>
        <s v="Al Masri Anas"/>
        <s v="Landoulsi Sabeur"/>
        <s v="Praet Reginald"/>
        <s v="Asskale Zouhir"/>
        <s v="Marinx Kristoff"/>
        <s v="Vandevyvere Frank"/>
        <s v="Kartal Kadir"/>
        <s v="Costers Kelly"/>
        <s v="Sancak Eyuphan"/>
        <s v="Haaze Sven"/>
        <s v="De taeye Kelly"/>
        <s v="Steurbaut Henri"/>
        <s v="Dobbelaere David"/>
        <s v="Weemhof Maurice"/>
        <s v="Merre Bart"/>
        <s v="Wulleput Illya"/>
        <s v="Vranken Kenneth"/>
        <s v="Dedapper Marijke"/>
        <s v="Öztürk Bilgehan"/>
        <s v="Wulfranck Dominique"/>
        <s v="Sonck Kristof"/>
        <s v="Simons Andreas"/>
        <s v="Sedighi Hamid"/>
        <s v="De Jaeger Kevin"/>
        <s v="Mine Akin"/>
        <s v="Oben Thibaud"/>
        <s v="Van Cauwenberg Steven"/>
        <s v="Aspeslagh Geert"/>
        <s v="Burrick Alex"/>
        <s v="Vandaele Tom"/>
        <s v="Wasen Jens"/>
        <s v="Huyghe Jan"/>
        <s v="Damlakhi Nawras"/>
        <s v="Meyvaert Steven"/>
        <s v="Weeks Aracena Jimmy Alexander"/>
        <s v="Pelfrene Toby"/>
        <s v="Binard Sabine"/>
        <s v="Eggermont Wim"/>
        <s v="Van Rentergem Steve"/>
        <s v="Avci Muhammet Abdullah"/>
        <s v="Fadel Husam"/>
        <s v="Kocabas Abdülkadir"/>
        <s v="Acosta Salinas Benigna"/>
        <s v="Van Wayenbergh Yordi"/>
        <s v="Eid Mathyn"/>
        <s v="Schijvens Ronny"/>
        <s v="Peers Mario"/>
        <s v="Vandenborre Patrick"/>
        <s v="Parmentier Bart"/>
        <s v="Verschraegen Katleen"/>
        <s v="Delcourt Daniel"/>
        <s v="Shinwari Yasin"/>
        <s v="Tayefeh Arbab Ali"/>
        <s v="Baert Freddy"/>
        <s v="El Gasmi Sami"/>
        <s v="De Craemer Kris"/>
        <s v="Asrih Habib"/>
        <s v="Mestdag Marius"/>
        <s v="Genbrugge Kyllian"/>
        <s v="Staneva Mariyana"/>
        <s v="Neghli Farid"/>
        <s v="Uckuyulu Muhammet Emin"/>
        <s v="Repaj Ramazan"/>
        <s v="De Bruyne Sonia"/>
        <s v="Smet Antoon"/>
        <s v="De Groote Cedric"/>
        <s v="Delahaye Karina"/>
        <s v="Shahriyari Khalil"/>
        <s v="Justé Steven"/>
        <s v="Remmery David"/>
        <s v="Benjilali Abdelhak"/>
        <s v="De Wit Bruno"/>
        <s v="Dejonghe Elisa"/>
        <s v="Wyffels Jean-Pierre"/>
        <s v="Van Semmertier Pascal"/>
        <s v="Vandenberghe Filip"/>
        <s v="Colaes Dylan"/>
        <s v="Rotsaert Dominique"/>
        <s v="Hoste Tania"/>
        <s v="Toubadie Mossa"/>
        <s v="Verroeye Chris"/>
        <s v="De Volder Marc"/>
        <s v="Ghani Mozamil"/>
        <s v="Vandecasteele Ruth"/>
        <s v="Camacho Encarnacion Lisandro Javier"/>
        <s v="Petit Cynthia"/>
        <s v="Van Vliet Tom"/>
        <s v="Demirkazik Mustafa"/>
        <s v="Mertens Tom"/>
        <s v="Gevaert Patrick"/>
        <s v="Sari Devrim"/>
        <s v="Antoniewicz Stephan"/>
        <s v="Verwee Dries"/>
        <s v="Saey Elias"/>
        <s v="Middernacht Andy"/>
        <s v="Dossche Caroline"/>
        <s v="Dejonckheere Els"/>
        <s v="Mirazai Rahmatullah"/>
        <s v="Ahlaloum Khalid"/>
        <s v="Demirkaya Serkan"/>
        <s v="Pretel Philippe"/>
        <s v="Roos Hugo"/>
        <s v="Callant Dieter"/>
        <s v="Wieme Kevin"/>
        <s v="Bolle Pascal"/>
        <s v="De Ridder Danny"/>
        <s v="Callebert Pieter Jan"/>
        <s v="De Wilde Jordy"/>
        <s v="Calinalti Abdil"/>
        <s v="Van De Voorde Cindy"/>
        <s v="vanden Bulcke Johan"/>
        <s v="Unver Ismaïl"/>
        <s v="Dekens Andy"/>
        <s v="Dewispelaere Danny"/>
        <s v="De Groote Dylan"/>
        <s v="Vanlerberghe Sandra"/>
        <s v="Petereyns Vanessa"/>
        <s v="Laute Dirk"/>
        <s v="De Naegel Bruno"/>
        <s v="Sögüt Can"/>
        <s v="De Geyter Claudine"/>
        <s v="Van Iterson Sharon"/>
        <s v="Devos Stefaan"/>
        <s v="Basgurboga Selahattin"/>
        <s v="De Meyer Karel"/>
        <s v="Vandenbogaerde Tony"/>
        <s v="Walleyn Renaat"/>
        <s v="Beeckman Nico"/>
        <s v="Callens Dimitri"/>
        <s v="Bastiaen Eric"/>
        <s v="Mihaylov Plamen"/>
        <s v="Deschepper Peter"/>
        <s v="Idrisi Hasana"/>
        <s v="Byosière Christof"/>
        <s v="Marian Birsanuc"/>
        <s v="De Meulenaere Kurt"/>
        <s v="Odaci Kadir"/>
        <s v="Detaeye Alexander"/>
        <s v="Saritag Mehmed"/>
        <s v="Priwall Heike"/>
        <s v="Van Achte Jay"/>
        <s v="Mekdad Ali"/>
        <s v="De Tandt Hans"/>
        <s v="Karakaya Oguz"/>
        <s v="Göktas Muharrem"/>
        <s v="Vandaele Sofie"/>
        <s v="van Turnhout Mariëlle"/>
        <s v="De Mulder Philip"/>
        <s v="Limbourg Heidi"/>
        <s v="Kirdas Süleyman"/>
        <s v="Vanderstock Kenny"/>
        <s v="Van Hoe Youri"/>
        <s v="Sahin Orhan"/>
        <s v="Desmet Patricia"/>
        <s v="Bensalah Mohammed"/>
        <s v="Vanderstraeten Franky"/>
        <s v="Bashir Muhammad Salman"/>
        <s v="Laforce Mike"/>
        <s v="Isiklar Okan"/>
        <s v="Sayin Batuhan"/>
        <s v="Van Malderghem Niels"/>
        <s v="Hashimi Ali Mir"/>
        <s v="Meersman Herman"/>
        <s v="Desmadryl Daniel"/>
        <s v="Verlaeckt Lincey"/>
        <s v="Prové Michaël"/>
        <s v="Hublau Roland"/>
        <s v="Abdi Shaiye Rashid"/>
        <s v="Van Herreweghe Branco"/>
        <s v="Van den Meerssche Steven"/>
        <s v="Stanikazi Roien Sadder"/>
        <s v="Vinck Roland"/>
        <s v="Govaerts Sandro"/>
        <s v="Gözüküçük Ugur"/>
        <s v="Jacobs Elos"/>
        <s v="Simsek Fatih"/>
        <s v="Stomphorst Mattanja"/>
        <s v="Adiyil Attila"/>
        <s v="Gök Davut"/>
        <s v="Taibi Yassine"/>
        <s v="Oosterlinck Willy"/>
        <s v="Vranken Zulkifly"/>
        <s v="Kallenbach Sunny"/>
        <s v="Smesman Glenn"/>
        <s v="Kaya Aytekin"/>
        <s v="Abdulkader Sabah"/>
        <s v="Vaeyens Midas"/>
        <s v="Nohut Baki"/>
        <s v="Petrovic Damir"/>
        <s v="De Staercke Sandra"/>
        <s v="De Souza Marcos Eduardo"/>
        <s v="De Ridder Benjamin"/>
        <s v="Lucq Joeri"/>
        <s v="De Vijlder Wim"/>
        <s v="De Boever Charlotte"/>
        <s v="Gök Murat"/>
        <s v="Alassad Ahmad"/>
        <s v="Dejonckheere Inge"/>
        <s v="Kurti Domeniko"/>
        <s v="D'Haeyere Bernard"/>
        <s v="Braeckman Wouter"/>
        <s v="Van Damme Gilyann"/>
        <s v="Sturtewagen Kenny"/>
        <s v="Gassa Mustafa"/>
        <s v="Yagoub Abdelali"/>
        <s v="Dierick Steve"/>
        <s v="De Feyter David"/>
        <s v="Ates Firat"/>
        <s v="De Keyzer Jan"/>
        <s v="Holub Patrik"/>
        <s v="Bral Jessica"/>
        <s v="Allan Kenneth"/>
        <s v="Toch Erwin"/>
        <s v="Haerens Tom"/>
        <s v="Jalili Yaseeb"/>
        <s v="Mestdagh Tony"/>
        <s v="Van Lauwe Freddy"/>
        <s v="Vlaminck Dirk"/>
        <s v="Kilinc Atilay"/>
        <s v="Mehman Doust Farhad"/>
        <s v="Taser Fatih"/>
        <s v="Moerman Tjimmy"/>
        <s v="Cardon Sharon"/>
        <s v="De Keyser Dorien"/>
        <s v="Van Den Bossche Martine"/>
        <s v="Agil Birol"/>
        <s v="Coulon Rayan"/>
        <s v="Engels Sam"/>
        <s v="Demirkaya Kâzim"/>
        <s v="Khder Aram"/>
        <s v="DeBisschop Wendy"/>
        <s v="Osseel Johan"/>
        <s v="De Vuyst Boyke"/>
        <s v="VandenDaele Andy"/>
        <s v="De Vos Günter"/>
        <s v="Abulehia Oday"/>
        <s v="Sogut Rauf"/>
        <s v="Bernaerts Philip"/>
        <s v="De Meester David"/>
        <s v="Ennakaba Khaoula"/>
        <s v="De Nys Elise"/>
        <s v="Maelbrancke Eddy"/>
        <s v="Baert Rosita"/>
        <s v="Mohamed Yassin Abdulhamid"/>
        <s v="Cesmeli Achraf"/>
        <s v="Rocabado Hinojosa Lukas"/>
        <s v="Meyvaert Peter"/>
        <s v="Van Damme Glenn"/>
        <s v="Hoeckman Jeroen"/>
        <s v="Kirdas Ramazan"/>
        <s v="Toubadie Zakaria"/>
        <s v="Verschraegen Patrick"/>
        <s v="Verstichel Jethro"/>
        <s v="De Smet Kenneth"/>
        <s v="Neissi Sadegh"/>
        <s v="Lega Claude"/>
        <s v="Afara Ammar"/>
        <s v="El-Mohamed Mohamed"/>
        <s v="Vanrenterghem Serge"/>
        <s v="Van Holsbeeck Jens"/>
        <s v="De Meyer Antoon"/>
        <s v="De Pauw Tony"/>
        <s v="Yavas Talha"/>
        <s v="Wauters Franky"/>
        <s v="Nguetto Brisco Romeo"/>
        <s v="Natad Younes"/>
        <s v="Van Holsbeeck Yana"/>
        <s v="Dolgiev Mukhamed"/>
        <s v="De Meulenaere Eric"/>
        <s v="Minbari Ako"/>
        <s v="Van Steenbergen Kris"/>
        <s v="Hoste Tom"/>
        <s v="Hiloui Mahmoud"/>
        <s v="Köroglu Ercan"/>
        <s v="Martens Geoffrey"/>
        <s v="Gassa Osmane"/>
        <s v="Cisse Sayon"/>
        <s v="Razzaz Mahmoud"/>
        <s v="Ardic Atilla"/>
        <s v="Coban Mehmet"/>
        <s v="De Vrieze Ludo"/>
        <s v="Smets Avery"/>
        <s v="Özer Özgur"/>
        <s v="Smajla Samet"/>
        <s v="De Sutter Michiel"/>
        <s v="Tacq Joey"/>
        <s v="El Mezroui Zouheir"/>
        <s v="Simsek Isa"/>
        <s v="De Weirdt Ronny"/>
        <s v="Haché Philip"/>
        <s v="Simsek Abdullah"/>
        <s v="Fakash Mahmoud"/>
        <s v="De Lange Frank"/>
        <s v="De Witte Bart"/>
        <s v="Verlinden Bianca"/>
        <s v="Naessens Yves"/>
        <s v="Dacic Esmir"/>
        <s v="Van Hoe Ivo"/>
        <s v="Hasni Helmi"/>
        <s v="Luttens Koen"/>
        <s v="Meskens Anthony"/>
        <s v="Vandenberghe Michael"/>
        <s v="Steenbrugge Johan"/>
        <s v="Ben Sidhom Samir"/>
        <s v="Hasnaoui Nejmeddine"/>
        <s v="Criel Veronique"/>
        <s v="Curukcu Bayram"/>
        <s v="Huyse Annicke"/>
        <s v="Salimova Eydzhan"/>
        <s v="Ghani Fazal"/>
        <s v="Hasan Salem"/>
        <s v="Özdemir Osman"/>
        <s v="Dhondt Frank"/>
        <s v="Bachiri Ousama"/>
        <s v="Hillaert Thimo"/>
        <s v="De Clercq Sven"/>
        <s v="Catar Gökhan"/>
        <s v="Bytebier Jason"/>
        <s v="Aelterman Didier"/>
        <s v="Oueslati Mohamed Ali"/>
        <s v="Lippens Miguel"/>
        <s v="Rodrigue Vincent"/>
        <s v="Nolf Philippe"/>
        <s v="Van de Winckel Kelly"/>
        <s v="Kuru Cetin"/>
        <s v="Özer Mesut"/>
        <s v="Helleputte William"/>
        <s v="Ivanov Ivan"/>
        <s v="Bicici Abdul Kadir"/>
        <s v="Famelaer Steve"/>
        <s v="De Roo Jo"/>
        <s v="Goossens Gunther"/>
        <s v="De Smet Martine"/>
        <s v="Bracke Jeroen"/>
        <s v="De smet Dirk"/>
        <s v="De Plus Gunter"/>
        <s v="Bogaert Kevin"/>
        <s v="Van Wittenberge Filip"/>
        <s v="Van Eenaeme David"/>
        <s v="De Kee Ina"/>
        <s v="Boelaert Frederik"/>
        <s v="Dobbeleire Bruno"/>
        <s v="Pluym Pascal"/>
        <s v="Van Huffel Tim"/>
        <s v="Karanfil Ibrahim"/>
        <s v="Kayim Akin"/>
        <s v="Gys Shayya"/>
        <s v="Vonck Bart"/>
        <s v="Ahmad Othman"/>
        <s v="Diels Nick"/>
        <s v="Westelinck Davy"/>
        <s v="Kirsan Ömer"/>
        <s v="Shah Sekandar"/>
        <s v="Seeuws Marnic"/>
        <s v="Blondeel Dominique"/>
        <s v="Cichonski Kamil"/>
        <s v="De Bruycker Dylan"/>
        <s v="Babai Saber"/>
        <s v="Vervaecke Wim"/>
        <s v="Sular Abdullah"/>
        <s v="De Rammelaere Bjorn"/>
        <s v="Maes Filip"/>
        <s v="El Gana Karim"/>
        <s v="Almohammad Malek"/>
        <s v="Crop Alexander"/>
        <s v="De Cooman Kurt"/>
        <s v="Kizilmese Emra"/>
        <s v="De Mey Peter"/>
        <s v="Devriendt Patrick"/>
        <s v="Momand Abdullah"/>
        <s v="Pekdemir Ilkmur"/>
        <s v="Goossens Yannick"/>
        <s v="Verbanck Koen"/>
        <s v="Dejonghe Katleen"/>
        <s v="Kazakbiyev Osman"/>
        <s v="Vervoort Koen"/>
        <s v="Engels Wendy"/>
        <s v="Goethals Jeffrey"/>
        <s v="Rahoens Christ"/>
        <s v="Güler Ender"/>
        <s v="Oosterlinck Jan"/>
        <s v="Bontinck Stephan"/>
        <s v="Basha Izmir"/>
        <s v="Bolle Cynthia"/>
        <s v="De Lange Ruben"/>
        <s v="Özer Metehan"/>
        <s v="De Graeve Marc"/>
        <s v="Camgöz Furkan"/>
        <s v="Olenski Leonard"/>
        <s v="Goethals Bart"/>
        <s v="Haenebalcke Peter"/>
        <s v="Vanlerberghe Rudy"/>
        <s v="Depaepe Dirk"/>
        <s v="Planckaert Jurgen"/>
        <s v="Bouckhout Ingeborg"/>
        <s v="De Wilde Dimitry"/>
        <s v="De Baets Christian"/>
        <s v="Safi Amrullah"/>
        <s v="Siderov Miroslav"/>
        <s v="Zjarmi Hylgis"/>
        <s v="Babaian Sammy"/>
        <s v="AL-Haddad Rashid"/>
        <s v="Van der Bauwhede Ben"/>
        <s v="Zied Hassine"/>
        <s v="Vindevogel Nick"/>
        <s v="Salam Housin Ahmed"/>
        <s v="9999 - -" u="1"/>
        <s v="34328 Kerremans Jürgen" u="1"/>
        <s v="39581 Vandenhaute Linus" u="1"/>
        <s v="31111 Bonne Niko" u="1"/>
        <s v="37313 Dedeci Mecit" u="1"/>
        <s v="37808 Gök Mustafa" u="1"/>
        <s v="39183 Al Masri Anas" u="1"/>
        <s v="39145 Landoulsi Sabeur" u="1"/>
        <s v="17566 Praet Reginald" u="1"/>
        <s v="38634 Asskale Zouhir" u="1"/>
        <s v="15282 Marinx Kristoff" u="1"/>
        <s v="19917 Vandevyvere Frank" u="1"/>
        <s v="36626 Kartal Kadir" u="1"/>
        <s v="39859 Costers Kelly" u="1"/>
        <s v="38931 Sancak Eyuphan" u="1"/>
        <s v="38579 Haaze Sven" u="1"/>
        <s v="39019 De taeye Kelly" u="1"/>
        <s v="39673 Steurbaut Henri" u="1"/>
        <s v="36627 Dobbelaere David" u="1"/>
        <s v="31668 Weemhof Maurice" u="1"/>
        <s v="5063 Merre Bart" u="1"/>
        <s v="34445 Wulleput Illya" u="1"/>
        <s v="20404 Vranken Kenneth" u="1"/>
        <s v="31731 Dedapper Marijke" u="1"/>
        <s v="37543 Öztürk Bilgehan" u="1"/>
        <s v="15628 Wulfranck Dominique" u="1"/>
        <s v="31733 Sonck Kristof" u="1"/>
        <s v="30121 Simons Andreas" u="1"/>
        <s v="38938 Sedighi Hamid" u="1"/>
        <s v="31092 De Jaeger Kevin" u="1"/>
        <s v="38013 Mine Akin" u="1"/>
        <s v="27153 Oben Thibaud" u="1"/>
        <s v="26384 Van Cauwenberg Steven" u="1"/>
        <s v="19219 Aspeslagh Geert" u="1"/>
        <s v="39146 Burrick Alex" u="1"/>
        <s v="35463 Vandaele Tom" u="1"/>
        <s v="38808 Wasen Jens" u="1"/>
        <s v="38529 Huyghe Jan" u="1"/>
        <s v="37564 Damlakhi Nawras" u="1"/>
        <s v="27209 Meyvaert Steven" u="1"/>
        <s v="39358 Weeks Aracena Jimmy Alexander" u="1"/>
        <s v="34198 Pelfrene Toby" u="1"/>
        <s v="5813 Binard Sabine" u="1"/>
        <s v="10324 Eggermont Wim" u="1"/>
        <s v="36289 Van Rentergem Steve" u="1"/>
        <s v="39779 Avci Muhammet Abdullah" u="1"/>
        <s v="36635 Fadel Husam" u="1"/>
        <s v="35055 Kocabas Abdülkadir" u="1"/>
        <s v="36275 Acosta Salinas Benigna" u="1"/>
        <s v="37261 Van Wayenbergh Yordi" u="1"/>
        <s v="34325 Eid Mathyn" u="1"/>
        <s v="13345 Schijvens Ronny" u="1"/>
        <s v="25994 Peers Mario" u="1"/>
        <s v="32369 Vandenborre Patrick" u="1"/>
        <s v="27713 Parmentier Bart" u="1"/>
        <s v="38475 Verschraegen Katleen" u="1"/>
        <s v="35120 Delcourt Daniel" u="1"/>
        <s v="39184 Shinwari Yasin" u="1"/>
        <s v="24367 Tayefeh Arbab Ali" u="1"/>
        <s v="11236 Baert Freddy" u="1"/>
        <s v="35709 El Gasmi Sami" u="1"/>
        <s v="21509 De Craemer Kris" u="1"/>
        <s v="39013 Asrih Habib" u="1"/>
        <s v="20653 Mestdag Marius" u="1"/>
        <s v="39014 Genbrugge Kyllian" u="1"/>
        <s v="39929 Staneva Mariyana" u="1"/>
        <s v="27186 Neghli Farid" u="1"/>
        <s v="38648 Uckuyulu Muhammet Emin" u="1"/>
        <s v="39712 Repaj Ramazan" u="1"/>
        <s v="32951 De Bruyne Sonia" u="1"/>
        <s v="8394 Smet Antoon" u="1"/>
        <s v="39558 De Groote Cedric" u="1"/>
        <s v="39660 Lloyd Glenn" u="1"/>
        <s v="22240 Delahaye Karina" u="1"/>
        <s v="40200 Shahriyari Khalil" u="1"/>
        <s v="26198 Justé Steven" u="1"/>
        <s v="19088 Remmery David" u="1"/>
        <s v="32528 Benjilali Abdelhak" u="1"/>
        <s v="25993 De Wit Bruno" u="1"/>
        <s v="21809 Dejonghe Elisa" u="1"/>
        <s v="23880 Wyffels Jean-Pierre" u="1"/>
        <s v="26331 Van Semmertier Pascal" u="1"/>
        <s v="15320 Vandenberghe Filip" u="1"/>
        <s v="31231 Colaes Dylan" u="1"/>
        <s v="35107 Rotsaert Dominique" u="1"/>
        <s v="5559 Hoste Tania" u="1"/>
        <s v="26960 Toubadie Mossa" u="1"/>
        <s v="33450 Verroeye Chris" u="1"/>
        <s v="21382 De Volder Marc" u="1"/>
        <s v="34286 Ghani Mozamil" u="1"/>
        <s v="16282 Vandecasteele Ruth" u="1"/>
        <s v="39654 Camacho Encarnacion Lisandro Javier" u="1"/>
        <s v="33400 Petit Cynthia" u="1"/>
        <s v="12124 Van Vliet Tom" u="1"/>
        <s v="37439 Demirkazik Mustafa" u="1"/>
        <s v="31600 Mertens Tom" u="1"/>
        <s v="19848 Gevaert Patrick" u="1"/>
        <s v="38481 Sari Devrim" u="1"/>
        <s v="37216 Antoniewicz Stephan" u="1"/>
        <s v="29179 Verwee Dries" u="1"/>
        <s v="34385 Goosens Wesley" u="1"/>
        <s v="32620 Saey Elias" u="1"/>
        <s v="8708 Middernacht Andy" u="1"/>
        <s v="38807 Dossche Caroline" u="1"/>
        <s v="28717 Dejonckheere Els" u="1"/>
        <s v="39930 Mirazai Rahmatullah" u="1"/>
        <s v="36429 Ahlaloum Khalid" u="1"/>
        <s v="39829 Demirkaya Serkan" u="1"/>
        <s v="5599 Pretel Philippe" u="1"/>
        <s v="35450 Roos Hugo" u="1"/>
        <s v="34351 Callant Dieter" u="1"/>
        <s v="34044 Wieme Kevin" u="1"/>
        <s v="11866 Bolle Pascal" u="1"/>
        <s v="21124 De Ridder Danny" u="1"/>
        <s v="22625 Callebert Pieter Jan" u="1"/>
        <s v="39927 De Wilde Jordy" u="1"/>
        <s v="39899 Calinalti Abdil" u="1"/>
        <s v="37951 Van De Voorde Cindy" u="1"/>
        <s v="30901 vanden Bulcke Johan" u="1"/>
        <s v="30321 Unver Ismaïl" u="1"/>
        <s v="33551 Dekens Andy" u="1"/>
        <s v="9065 Dewispelaere Danny" u="1"/>
        <s v="37609 De Groote Dylan" u="1"/>
        <s v="40110 Vanlerberghe Sandra" u="1"/>
        <s v="15852 Petereyns Vanessa" u="1"/>
        <s v="15088 Laute Dirk" u="1"/>
        <s v="37950 De Naegel Bruno" u="1"/>
        <s v="40058 Sögüt Can" u="1"/>
        <s v="13088 De Geyter Claudine" u="1"/>
        <s v="40222 Van Iterson Sharon" u="1"/>
        <s v="25487 Devos Stefaan" u="1"/>
        <s v="38688 Basgurboga Selahattin" u="1"/>
        <s v="35246 De Meyer Karel" u="1"/>
        <s v="10150 Vandenbogaerde Tony" u="1"/>
        <s v="37345 Walleyn Renaat" u="1"/>
        <s v="11508 Beeckman Nico" u="1"/>
        <s v="36503 Callens Dimitri" u="1"/>
        <s v="35187 Bastiaen Eric" u="1"/>
        <s v="39528 Mihaylov Plamen" u="1"/>
        <s v="19087 Deschepper Peter" u="1"/>
        <s v="17931 Idrisi Hasana" u="1"/>
        <s v="23700 Byosière Christof" u="1"/>
        <s v="39907 Marian Birsanuc" u="1"/>
        <s v="36624 De Meulenaere Kurt" u="1"/>
        <s v="19249 Odaci Kadir" u="1"/>
        <s v="37936 Detaeye Alexander" u="1"/>
        <s v="37131 Saritag Mehmed" u="1"/>
        <s v="29478 Priwall Heike" u="1"/>
        <s v="31689 Van Achte Jay" u="1"/>
        <s v="40521 Mekdad Ali" u="1"/>
        <s v="37542 De Tandt Hans" u="1"/>
        <s v="40036 Karakaya Oguz" u="1"/>
        <s v="33986 Göktas Muharrem" u="1"/>
        <s v="14261 Vandaele Sofie" u="1"/>
        <s v="35493 van Turnhout Mariëlle" u="1"/>
        <s v="14665 De Mulder Philip" u="1"/>
        <s v="35395 Limbourg Heidi" u="1"/>
        <s v="22244 Kirdas Süleyman" u="1"/>
        <s v="32542 Vanderstock Kenny" u="1"/>
        <s v="35006 Van Hoe Youri" u="1"/>
        <s v="39532 Sahin Orhan" u="1"/>
        <s v="39529 Desmet Patricia" u="1"/>
        <s v="39379 Bensalah Mohammed" u="1"/>
        <s v="21581 Vanderstraeten Franky" u="1"/>
        <s v="37179 Bashir Muhammad Salman" u="1"/>
        <s v="21121 Laforce Mike" u="1"/>
        <s v="28830 Isiklar Okan" u="1"/>
        <s v="39610 Sayin Batuhan" u="1"/>
        <s v="28794 Van Malderghem Niels" u="1"/>
        <s v="40478 Hashimi Ali Mir" u="1"/>
        <s v="32387 Meersman Herman" u="1"/>
        <s v="36337 Desmadryl Daniel" u="1"/>
        <s v="20375 Verlaeckt Lincey" u="1"/>
        <s v="40403 Prové Michaël" u="1"/>
        <s v="26137 Hublau Roland" u="1"/>
        <s v="36428 Abdi Shaiye Rashid" u="1"/>
        <s v="36512 Van Herreweghe Branco" u="1"/>
        <s v="37662 Van den Meerssche Steven" u="1"/>
        <s v="39889 Stanikazi Roien Sadder" u="1"/>
        <s v="8016 Vinck Roland" u="1"/>
        <s v="31165 Govaerts Sandro" u="1"/>
        <s v="40744 Gözüküçük Ugur" u="1"/>
        <s v="39858 Jacobs Elos" u="1"/>
        <s v="31360 Simsek Fatih" u="1"/>
        <s v="38633 Stomphorst Mattanja" u="1"/>
        <s v="23790 Adiyil Attila" u="1"/>
        <s v="24472 Gök Davut" u="1"/>
        <s v="40266 Taibi Yassine" u="1"/>
        <s v="37496 Oosterlinck Willy" u="1"/>
        <s v="32168 Vranken Zulkifly" u="1"/>
        <s v="39651 Kallenbach Sunny" u="1"/>
        <s v="35588 Smesman Glenn" u="1"/>
        <s v="35434 Kaya Aytekin" u="1"/>
        <s v="37509 Abdulkader Sabah" u="1"/>
        <s v="31635 Vaeyens Midas" u="1"/>
        <s v="39728 Nohut Baki" u="1"/>
        <s v="27635 Petrovic Damir" u="1"/>
        <s v="36559 De Staercke Sandra" u="1"/>
        <s v="40486 De Souza Marcos Eduardo" u="1"/>
        <s v="40006 De Ridder Benjamin" u="1"/>
        <s v="8391 Lucq Joeri" u="1"/>
        <s v="40761 De Vijlder Wim" u="1"/>
        <s v="37683 De Boever Charlotte" u="1"/>
        <s v="26266 Gök Murat" u="1"/>
        <s v="38551 Alassad Ahmad" u="1"/>
        <s v="5718 Dejonckheere Inge" u="1"/>
        <s v="40608 Kurti Domeniko" u="1"/>
        <s v="23918 D'Haeyere Bernard" u="1"/>
        <s v="35598 Braeckman Wouter" u="1"/>
        <s v="40652 Van Damme Gilyann" u="1"/>
        <s v="37809 Sturtewagen Kenny" u="1"/>
        <s v="30623 Gassa Mustafa" u="1"/>
        <s v="40859 Yagoub Abdelali" u="1"/>
        <s v="21892 Dierick Steve" u="1"/>
        <s v="12173 De Feyter David" u="1"/>
        <s v="40278 Ates Firat" u="1"/>
        <s v="29540 De Keyzer Jan" u="1"/>
        <s v="33488 Holub Patrik" u="1"/>
        <s v="26102 Bral Jessica" u="1"/>
        <s v="20400 Allan Kenneth" u="1"/>
        <s v="16545 Toch Erwin" u="1"/>
        <s v="30119 Haerens Tom" u="1"/>
        <s v="35645 Jalili Yaseeb" u="1"/>
        <s v="15676 Mestdagh Tony" u="1"/>
        <s v="16895 Van Lauwe Freddy" u="1"/>
        <s v="35430 Vlaminck Dirk" u="1"/>
        <s v="36228 Kilinc Atilay" u="1"/>
        <s v="29821 Mehman Doust Farhad" u="1"/>
        <s v="30967 Taser Fatih" u="1"/>
        <s v="40138 Moerman Tjimmy" u="1"/>
        <s v="40134 Cardon Sharon" u="1"/>
        <s v="41092 De Keyser Dorien" u="1"/>
        <s v="12684 Van Den Bossche Martine" u="1"/>
        <s v="36438 Agil Birol" u="1"/>
        <s v="37254 Coulon Rayan" u="1"/>
        <s v="35379 Engels Sam" u="1"/>
        <s v="37794 Demirkaya Kâzim" u="1"/>
        <s v="40294 Khder Aram" u="1"/>
        <s v="17555 DeBisschop Wendy" u="1"/>
        <s v="22767 Osseel Johan" u="1"/>
        <s v="29477 De Vuyst Boyke" u="1"/>
        <s v="16897 VandenDaele Andy" u="1"/>
        <s v="18173 De Vos Günter" u="1"/>
        <s v="41296 Abulehia Oday" u="1"/>
        <s v="36513 Sogut Rauf" u="1"/>
        <s v="40005 Bernaerts Philip" u="1"/>
        <s v="26847 De Meester David" u="1"/>
        <s v="40414 Ennakaba Khaoula" u="1"/>
        <s v="36358 De Nys Elise" u="1"/>
        <s v="4419 Maelbrancke Eddy" u="1"/>
        <s v="16546 Baert Rosita" u="1"/>
        <s v="31490 De Weirdt Steph" u="1"/>
        <s v="36426 Mohamed Yassin Abdulhamid" u="1"/>
        <s v="36663 Cesmeli Achraf" u="1"/>
        <s v="41032 Rocabado Hinojosa Lukas" u="1"/>
        <s v="22052 Meyvaert Peter" u="1"/>
        <s v="40444 Van Damme Glenn" u="1"/>
        <s v="41162 Hoeckman Jeroen" u="1"/>
        <s v="13398 Kirdas Ramazan" u="1"/>
        <s v="35491 Toubadie Zakaria" u="1"/>
        <s v="33640 Verschraegen Patrick" u="1"/>
        <s v="21424 Verstichel Jethro" u="1"/>
        <s v="12514 De Smet Kenneth" u="1"/>
        <s v="40856 Neissi Sadegh" u="1"/>
        <s v="17951 Lega Claude" u="1"/>
        <s v="40055 Afara Ammar" u="1"/>
        <s v="28737 El-Mohamed Mohamed" u="1"/>
        <s v="25679 Vanrenterghem Serge" u="1"/>
        <s v="39267 Van Holsbeeck Jens" u="1"/>
        <s v="6229 De Meyer Antoon" u="1"/>
        <s v="41383 De Pauw Tony" u="1"/>
        <s v="41091 Yavas Talha" u="1"/>
        <s v="26199 Wauters Franky" u="1"/>
        <s v="35490 Nguetto Brisco Romeo" u="1"/>
        <s v="41012 Natad Younes" u="1"/>
        <s v="41246 Van Holsbeeck Yana" u="1"/>
        <s v="39972 Repaj Ramazav" u="1"/>
        <s v="39831 Dolgiev Mukhamed" u="1"/>
        <s v="9824 De Meulenaere Eric" u="1"/>
        <s v="35397 Minbari Ako" u="1"/>
        <s v="19520 Van Steenbergen Kris" u="1"/>
        <s v="34019 Hoste Tom" u="1"/>
        <s v="40591 Hiloui Mahmoud" u="1"/>
        <s v="32091 Köroglu Ercan" u="1"/>
        <s v="29674 Martens Geoffrey" u="1"/>
        <s v="28910 Gassa Osmane" u="1"/>
        <s v="40939 Cisse Sayon" u="1"/>
        <s v="35495 Razzaz Mahmoud" u="1"/>
        <s v="41064 Ardic Atilla" u="1"/>
        <s v="35216 Coban Mehmet" u="1"/>
        <s v="11120 De Vrieze Ludo" u="1"/>
        <s v="41520 Smets Avery" u="1"/>
        <s v="32611 Özer Özgur" u="1"/>
        <s v="38580 Smajla Samet" u="1"/>
        <s v="31118 De Sutter Michiel" u="1"/>
        <s v="39677 Tacq Joey" u="1"/>
        <s v="35619 El Mezroui Zouheir" u="1"/>
        <s v="38035 Simsek Isa" u="1"/>
        <s v="9158 De Weirdt Ronny" u="1"/>
        <s v="36820 Haché Philip" u="1"/>
        <s v="25733 Simsek Abdullah" u="1"/>
        <s v="40443 Fakash Mahmoud" u="1"/>
        <s v="37744 De Lange Frank" u="1"/>
        <s v="41230 De Witte Bart" u="1"/>
        <s v="32245 Verlinden Bianca" u="1"/>
        <s v="41588 Naessens Yves" u="1"/>
        <s v="37132 Dacic Esmir" u="1"/>
        <s v="33085 Van Hoe Ivo" u="1"/>
        <s v="32002 Hasni Helmi" u="1"/>
        <s v="24155 Luttens Koen" u="1"/>
        <s v="38740 Meskens Anthony" u="1"/>
        <s v="37908 Vandenberghe Michael" u="1"/>
        <s v="4608 Steenbrugge Johan" u="1"/>
        <s v="38731 Ben Sidhom Samir" u="1"/>
        <s v="40938 Hasnaoui Nejmeddine" u="1"/>
        <s v="27672 Criel Veronique" u="1"/>
        <s v="39856 Curukcu Bayram" u="1"/>
        <s v="29746 Huyse Annicke" u="1"/>
        <s v="40393 Salimova Eydzhan" u="1"/>
        <s v="41710 Ghani Fazal" u="1"/>
        <s v="41671 Hasan Salem" u="1"/>
        <s v="41482 Özdemir Osman" u="1"/>
        <s v="15412 Dhondt Frank" u="1"/>
        <s v="41619 Bachiri Ousama" u="1"/>
        <s v="41384 Hillaert Thimo" u="1"/>
        <s v="36154 De Clercq Sven" u="1"/>
        <s v="37208 Catar Gökhan" u="1"/>
        <s v="40645 Bytebier Jason" u="1"/>
        <s v="7746 Aelterman Didier" u="1"/>
        <s v="31150 Oueslati Mohamed Ali" u="1"/>
        <s v="26695 Lippens Miguel" u="1"/>
        <s v="14625 Rodrigue Vincent" u="1"/>
        <s v="41721 Nolf Philippe" u="1"/>
        <s v="41690 Van de Winckel Kelly" u="1"/>
        <s v="40362 Kuru Cetin" u="1"/>
        <s v="29646 Özer Mesut" u="1"/>
        <s v="39850 Helleputte William" u="1"/>
        <s v="40745 Ivanov Ivan" u="1"/>
        <s v="22416 Bicici Abdul Kadir" u="1"/>
        <s v="31776 Famelaer Steve" u="1"/>
        <s v="41859 Palit Ramazan" u="1"/>
        <s v="4720 De Roo Jo" u="1"/>
        <s v="22877 Goossens Gunther" u="1"/>
        <s v="36577 De Smet Martine" u="1"/>
        <s v="30271 Bracke Jeroen" u="1"/>
        <s v="41137 De smet Dirk" u="1"/>
        <s v="11213 De Plus Gunter" u="1"/>
        <s v="42002 Bogaert Kevin" u="1"/>
        <s v="18051 Van Wittenberge Filip" u="1"/>
        <s v="12819 Van Eenaeme David" u="1"/>
        <s v="41007 Sogut Cagri" u="1"/>
        <s v="10782 De Kee Ina" u="1"/>
        <s v="36021 Boelaert Frederik" u="1"/>
        <s v="41874 Dobbeleire Bruno" u="1"/>
        <s v="22202 Pluym Pascal" u="1"/>
        <s v="41348 Van Huffel Tim" u="1"/>
        <s v="41871 Karanfil Ibrahim" u="1"/>
        <s v="25829 Kayim Akin" u="1"/>
        <s v="41190 De Meyer Horst" u="1"/>
        <s v="42145 Gys Shayya" u="1"/>
        <s v="20656 Vonck Bart" u="1"/>
        <s v="42082 Ahmad Othman" u="1"/>
        <s v="41786 Diels Nick" u="1"/>
        <s v="9062 Westelinck Davy" u="1"/>
        <s v="31634 Kirsan Ömer" u="1"/>
        <s v="41101 Shah Sekandar" u="1"/>
        <s v="11021 Seeuws Marnic" u="1"/>
        <s v="37222 Blondeel Dominique" u="1"/>
        <s v="42146 Cichonski Kamil" u="1"/>
        <s v="42120 De Bruycker Dylan" u="1"/>
        <s v="41918 Babai Saber" u="1"/>
        <s v="41948 Vervaecke Wim" u="1"/>
        <s v="42252 Sular Abdullah" u="1"/>
        <s v="41888 De Rammelaere Bjorn" u="1"/>
        <s v="29271 Maes Filip" u="1"/>
        <s v="42044 El Gana Karim" u="1"/>
        <s v="38555 Almohammad Malek" u="1"/>
        <s v="42015 Crop Alexander" u="1"/>
        <s v="12024 De Cooman Kurt" u="1"/>
        <s v="20542 Kizilmese Emra" u="1"/>
        <s v="15219 De Mey Peter" u="1"/>
        <s v="16275 Devriendt Patrick" u="1"/>
        <s v="39928 Momand Abdullah" u="1"/>
        <s v="20543 Pekdemir Ilkmur" u="1"/>
        <s v="41870 Goossens Yannick" u="1"/>
        <s v="27673 Verbanck Koen" u="1"/>
        <s v="15220 Dejonghe Katleen" u="1"/>
        <s v="25873 Kazakbiyev Osman" u="1"/>
        <s v="14072 Vervoort Koen" u="1"/>
        <s v="26639 Engels Wendy" u="1"/>
        <s v="11023 Goethals Jeffrey" u="1"/>
        <s v="42143 Rahoens Christ" u="1"/>
        <s v="42277 Güler Ender" u="1"/>
        <s v="13089 Oosterlinck Jan" u="1"/>
        <s v="42249 Bontinck Stephan" u="1"/>
        <s v="39901 Basha Izmir" u="1"/>
        <s v="26524 Bolle Cynthia" u="1"/>
        <s v="36505 De Lange Ruben" u="1"/>
        <s v="42218 Özer Metehan" u="1"/>
        <s v="8918 De Graeve Marc" u="1"/>
        <s v="42336 Camgöz Furkan" u="1"/>
        <s v="27865 Olenski Leonard" u="1"/>
        <s v="25486 Goethals Bart" u="1"/>
        <s v="36336 Haenebalcke Peter" u="1"/>
        <s v="17954 Vanlerberghe Rudy" u="1"/>
        <s v="33049 Depaepe Dirk" u="1"/>
        <s v="23924 Planckaert Jurgen" u="1"/>
        <s v="16280 Bouckhout Ingeborg" u="1"/>
        <s v="31891 De Wilde Dimitry" u="1"/>
        <s v="42022 Safi Amrullah" u="1"/>
        <s v="26521 Siderov Miroslav" u="1"/>
        <s v="41685 Zjarmi Hylgis" u="1"/>
        <s v="36543 Babaian Sammy" u="1"/>
        <s v="42393 AL-Haddad Rashid" u="1"/>
        <s v="38346 Van Cleemputte Thibeaux" u="1"/>
        <s v="39633 Duyck Kimberly" u="1"/>
        <s v="33965 Van de Gehuchte Gilles" u="1"/>
        <s v="40223 Teetaert Billy" u="1"/>
        <s v="6310 De Craene Peter" u="1"/>
        <s v="13020 Boutiebi Ahmed" u="1"/>
        <s v="21812 Ettaibi Moulay Abdenâzih" u="1"/>
        <s v="40969 Kerman Melisa" u="1"/>
        <s v="37258 Ouchir Louay" u="1"/>
        <s v="34890 Sturtewagen Tom" u="1"/>
        <s v="42307 Helleputte Jens" u="1"/>
        <s v="42105 Van den Bossche Jarne" u="1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De Rick Kenneth"/>
        <s v="Dewulf Els"/>
        <s v="Vanhoe Els"/>
        <s v="Van Der Beken Bart"/>
        <s v="Rotty Christoff"/>
        <s v="Van De Velde Lucie"/>
        <s v="De Clercq Dominique"/>
        <s v="Storm Steven"/>
        <s v="Jarne Stubbe"/>
        <e v="#N/A"/>
        <n v="0" u="1"/>
      </sharedItems>
    </cacheField>
    <cacheField name="Datum" numFmtId="14">
      <sharedItems containsNonDate="0" containsDate="1" containsString="0" containsBlank="1" minDate="2024-01-05T00:00:00" maxDate="2025-12-27T00:00:00" count="527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22T00:00:00"/>
        <d v="2025-12-24T00:00:00"/>
        <d v="2025-12-26T00:00:00"/>
        <d v="2025-12-19T00:00:00"/>
        <m/>
      </sharedItems>
      <fieldGroup par="15"/>
    </cacheField>
    <cacheField name="Link" numFmtId="0">
      <sharedItems containsBlank="1" longText="1"/>
    </cacheField>
    <cacheField name="Locatie" numFmtId="0">
      <sharedItems containsBlank="1" count="27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Onbekend"/>
        <s v="Muide"/>
        <s v="Brusselsepoort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Nazareth"/>
        <s v="Doornzelesteenweg"/>
        <s v="Doornzelestraat"/>
        <s v="Stapelplein "/>
        <s v="Sint pieters nieuwstraat"/>
        <s v="Van Beverenplein"/>
        <s v="Burggravenlaan"/>
        <s v="Overzet"/>
        <s v="Sint Amandsstraat"/>
        <s v="Corneel Heymanslaan"/>
        <s v="Liefkensstraat"/>
        <s v="Temse"/>
        <s v="Kortrijksepoortstraat"/>
        <s v="Koninging Elisabethlaan"/>
        <s v="P+R Ledeberg"/>
        <s v="Noordstraat"/>
        <s v="Baarledorp"/>
        <s v="Wiedo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UZ Gent"/>
        <s v="Stelplaats Destelbergen"/>
        <s v="Palinghuizen"/>
        <s v="Karekietlaan"/>
        <s v="Van Rijhovelaan"/>
        <s v="Koning Albertbrug"/>
        <s v="Malem"/>
        <s v="Gasmeterlaan"/>
        <s v="Blaarmeersen"/>
        <s v="Oude houtlei"/>
        <s v="Sint Lievenspoort"/>
        <s v="Hofbouwlaan"/>
        <s v="Drongen plein"/>
        <s v="Meulestede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Sint-Denijslaan"/>
        <s v="Vijfwindgatenstraat"/>
        <s v="Deinze station"/>
        <s v="Stelplaats"/>
        <s v="Sint-bernadettestraat"/>
        <s v="Voorhavenlaan"/>
        <s v="frans van ryhovelaan"/>
        <s v="Gentbruggebrug"/>
        <s v="Widauwkaai" u="1"/>
        <s v="Oostakker Dorp" u="1"/>
        <s v="-" u="1"/>
      </sharedItems>
    </cacheField>
    <cacheField name="voertuig" numFmtId="0">
      <sharedItems containsBlank="1" containsMixedTypes="1" containsNumber="1" containsInteger="1" minValue="2047" maxValue="550822"/>
    </cacheField>
    <cacheField name="actief" numFmtId="0">
      <sharedItems containsBlank="1"/>
    </cacheField>
    <cacheField name="Bus/tram" numFmtId="0">
      <sharedItems containsMixedTypes="1" containsNumber="1" containsInteger="1" minValue="0" maxValue="0"/>
    </cacheField>
    <cacheField name="Type" numFmtId="0">
      <sharedItems/>
    </cacheField>
    <cacheField name="totaal" numFmtId="0">
      <sharedItems containsSemiMixedTypes="0" containsString="0" containsNumber="1" containsInteger="1" minValue="0" maxValue="59"/>
    </cacheField>
    <cacheField name="Maanden (Datum)" numFmtId="0" databaseField="0">
      <fieldGroup base="5">
        <rangePr groupBy="months" startDate="2024-01-05T00:00:00" endDate="2025-12-27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7/12/2025"/>
        </groupItems>
      </fieldGroup>
    </cacheField>
    <cacheField name="Kwartalen (Datum)" numFmtId="0" databaseField="0">
      <fieldGroup base="5">
        <rangePr groupBy="quarters" startDate="2024-01-05T00:00:00" endDate="2025-12-27T00:00:00"/>
        <groupItems count="6">
          <s v="&lt;5/01/2024"/>
          <s v="Kwrt1"/>
          <s v="Kwrt2"/>
          <s v="Kwrt3"/>
          <s v="Kwrt4"/>
          <s v="&gt;27/12/2025"/>
        </groupItems>
      </fieldGroup>
    </cacheField>
    <cacheField name="Jaren (Datum)" numFmtId="0" databaseField="0">
      <fieldGroup base="5">
        <rangePr groupBy="years" startDate="2024-01-05T00:00:00" endDate="2025-12-27T00:00:00"/>
        <groupItems count="4">
          <s v="&lt;5/01/2024"/>
          <s v="2024"/>
          <s v="2025"/>
          <s v="&gt;27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8.40934687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20" maxValue="76" count="50">
        <n v="60"/>
        <n v="57"/>
        <n v="50"/>
        <n v="52"/>
        <n v="61"/>
        <n v="53"/>
        <n v="63"/>
        <n v="48"/>
        <n v="56"/>
        <n v="62"/>
        <n v="51"/>
        <n v="49"/>
        <n v="47"/>
        <n v="54"/>
        <n v="45"/>
        <n v="46"/>
        <n v="58"/>
        <n v="55"/>
        <n v="59"/>
        <n v="65"/>
        <n v="43"/>
        <n v="64"/>
        <n v="66"/>
        <n v="42"/>
        <n v="44"/>
        <n v="41"/>
        <n v="40"/>
        <n v="38"/>
        <n v="39"/>
        <n v="37"/>
        <n v="36"/>
        <n v="67"/>
        <n v="34"/>
        <n v="33"/>
        <n v="31"/>
        <n v="32"/>
        <n v="35"/>
        <n v="30"/>
        <n v="27"/>
        <n v="73"/>
        <n v="76"/>
        <n v="29"/>
        <n v="28"/>
        <n v="26"/>
        <n v="25"/>
        <n v="24"/>
        <n v="22"/>
        <n v="23"/>
        <n v="70"/>
        <n v="20"/>
      </sharedItems>
      <fieldGroup base="5">
        <rangePr startNum="20" endNum="76" groupInterval="5"/>
        <groupItems count="14">
          <s v="&lt;20"/>
          <s v="20-24"/>
          <s v="25-29"/>
          <s v="30-34"/>
          <s v="35-39"/>
          <s v="40-44"/>
          <s v="45-49"/>
          <s v="50-54"/>
          <s v="55-59"/>
          <s v="60-64"/>
          <s v="65-69"/>
          <s v="70-74"/>
          <s v="75-79"/>
          <s v="&gt;80"/>
        </groupItems>
      </fieldGroup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8.4094123842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  <fieldGroup base="6">
        <rangePr startNum="0" endNum="44" groupInterval="5"/>
        <groupItems count="11">
          <s v="&lt;0"/>
          <s v="0-4"/>
          <s v="5-9"/>
          <s v="10-14"/>
          <s v="15-19"/>
          <s v="20-24"/>
          <s v="25-29"/>
          <s v="30-34"/>
          <s v="35-39"/>
          <s v="40-44"/>
          <s v="&gt;45"/>
        </groupItems>
      </fieldGroup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9">
  <r>
    <n v="9999"/>
    <x v="0"/>
    <e v="#N/A"/>
    <e v="#N/A"/>
    <x v="0"/>
    <x v="0"/>
    <s v="EAF 5376 E17 05012024.pdf"/>
    <x v="0"/>
    <m/>
    <s v="ja"/>
    <e v="#N/A"/>
    <e v="#N/A"/>
    <n v="59"/>
  </r>
  <r>
    <n v="34328"/>
    <x v="1"/>
    <s v="Kerremans"/>
    <s v="Jürgen"/>
    <x v="1"/>
    <x v="0"/>
    <s v="EAF 6322 Hovenierstraat Ledeberg 05012024.pdf"/>
    <x v="1"/>
    <m/>
    <s v="ja"/>
    <e v="#N/A"/>
    <e v="#N/A"/>
    <n v="4"/>
  </r>
  <r>
    <n v="39581"/>
    <x v="2"/>
    <s v="Vandenhaute"/>
    <s v="Linus"/>
    <x v="2"/>
    <x v="0"/>
    <s v="EAF Gent 5935 05012024.pdf"/>
    <x v="2"/>
    <m/>
    <s v="ja"/>
    <e v="#N/A"/>
    <e v="#N/A"/>
    <n v="5"/>
  </r>
  <r>
    <n v="38346"/>
    <x v="0"/>
    <e v="#N/A"/>
    <e v="#N/A"/>
    <x v="0"/>
    <x v="1"/>
    <s v="EAF Gent 5367 06012024.pdf"/>
    <x v="2"/>
    <m/>
    <s v="ja"/>
    <e v="#N/A"/>
    <e v="#N/A"/>
    <n v="3"/>
  </r>
  <r>
    <n v="31111"/>
    <x v="3"/>
    <s v="Bonne"/>
    <s v="Niko"/>
    <x v="3"/>
    <x v="2"/>
    <s v="EAF 2205 Gent 08012024.pdf"/>
    <x v="2"/>
    <m/>
    <s v="ja"/>
    <e v="#N/A"/>
    <e v="#N/A"/>
    <n v="2"/>
  </r>
  <r>
    <n v="37313"/>
    <x v="4"/>
    <s v="Dedeci"/>
    <s v="Mecit"/>
    <x v="4"/>
    <x v="2"/>
    <s v="EAF 6309 Gentbrugge 08012024.pdf"/>
    <x v="2"/>
    <m/>
    <s v="ja"/>
    <e v="#N/A"/>
    <e v="#N/A"/>
    <n v="1"/>
  </r>
  <r>
    <n v="37808"/>
    <x v="5"/>
    <s v="Gök"/>
    <s v="Mustafa"/>
    <x v="3"/>
    <x v="3"/>
    <s v="EAF 5048 Brugsepoort 10012024.pdf"/>
    <x v="3"/>
    <m/>
    <s v="ja"/>
    <e v="#N/A"/>
    <e v="#N/A"/>
    <n v="1"/>
  </r>
  <r>
    <n v="39183"/>
    <x v="6"/>
    <s v="Al Masri"/>
    <s v="Anas"/>
    <x v="5"/>
    <x v="3"/>
    <s v="EAF 5267 Gent 10012024.pdf"/>
    <x v="3"/>
    <m/>
    <s v="ja"/>
    <e v="#N/A"/>
    <e v="#N/A"/>
    <n v="5"/>
  </r>
  <r>
    <n v="39145"/>
    <x v="7"/>
    <s v="Landoulsi"/>
    <s v="Sabeur"/>
    <x v="5"/>
    <x v="4"/>
    <s v="EAF 5049 Opgeeistlaan 11012024.pdf"/>
    <x v="4"/>
    <m/>
    <s v="ja"/>
    <e v="#N/A"/>
    <e v="#N/A"/>
    <n v="1"/>
  </r>
  <r>
    <n v="17566"/>
    <x v="8"/>
    <s v="Praet"/>
    <s v="Reginald"/>
    <x v="4"/>
    <x v="4"/>
    <s v="EAF 6369 Gent 11012024.pdf"/>
    <x v="5"/>
    <m/>
    <s v="ja"/>
    <e v="#N/A"/>
    <e v="#N/A"/>
    <n v="2"/>
  </r>
  <r>
    <n v="38634"/>
    <x v="9"/>
    <s v="Asskale"/>
    <s v="Zouhir"/>
    <x v="4"/>
    <x v="4"/>
    <s v="EAF Gent Brugsepoort 5237 11.01.2024.pdf"/>
    <x v="3"/>
    <m/>
    <s v="ja"/>
    <e v="#N/A"/>
    <e v="#N/A"/>
    <n v="3"/>
  </r>
  <r>
    <n v="15282"/>
    <x v="10"/>
    <s v="Marinx"/>
    <s v="Kristoff"/>
    <x v="1"/>
    <x v="5"/>
    <s v="EAF 5045 Gent 12012024.pdf"/>
    <x v="2"/>
    <m/>
    <s v="ja"/>
    <e v="#N/A"/>
    <e v="#N/A"/>
    <n v="2"/>
  </r>
  <r>
    <n v="9999"/>
    <x v="0"/>
    <e v="#N/A"/>
    <e v="#N/A"/>
    <x v="0"/>
    <x v="5"/>
    <s v="EAF 5937 Gentburgge 12012024.pdf"/>
    <x v="6"/>
    <m/>
    <s v="ja"/>
    <e v="#N/A"/>
    <e v="#N/A"/>
    <n v="59"/>
  </r>
  <r>
    <n v="9999"/>
    <x v="0"/>
    <e v="#N/A"/>
    <e v="#N/A"/>
    <x v="0"/>
    <x v="5"/>
    <s v="EAF 6326 De Pintelaan 12012024.pdf"/>
    <x v="7"/>
    <m/>
    <s v="ja"/>
    <e v="#N/A"/>
    <e v="#N/A"/>
    <n v="59"/>
  </r>
  <r>
    <n v="19917"/>
    <x v="11"/>
    <s v="Vandevyvere"/>
    <s v="Frank"/>
    <x v="4"/>
    <x v="5"/>
    <s v="EAF Gent Sint-Pietersstation 2197 12.01.2024.pdf"/>
    <x v="8"/>
    <m/>
    <s v="ja"/>
    <e v="#N/A"/>
    <e v="#N/A"/>
    <n v="10"/>
  </r>
  <r>
    <n v="36626"/>
    <x v="12"/>
    <s v="Kartal"/>
    <s v="Kadir"/>
    <x v="2"/>
    <x v="6"/>
    <s v="EAF 5768 GEnt 15012024.pdf"/>
    <x v="2"/>
    <m/>
    <s v="ja"/>
    <e v="#N/A"/>
    <e v="#N/A"/>
    <n v="10"/>
  </r>
  <r>
    <n v="39859"/>
    <x v="13"/>
    <s v="Costers"/>
    <s v="Kelly"/>
    <x v="4"/>
    <x v="6"/>
    <s v="EAF Dendermondesteenweg 5767 15.01.2024.pdf"/>
    <x v="9"/>
    <m/>
    <s v="ja"/>
    <e v="#N/A"/>
    <e v="#N/A"/>
    <n v="4"/>
  </r>
  <r>
    <n v="38931"/>
    <x v="14"/>
    <s v="Sancak"/>
    <s v="Eyuphan"/>
    <x v="4"/>
    <x v="6"/>
    <s v="EAF Gentsesteenweg Deinze 5042 15012024.pdf"/>
    <x v="10"/>
    <m/>
    <s v="ja"/>
    <e v="#N/A"/>
    <e v="#N/A"/>
    <n v="4"/>
  </r>
  <r>
    <n v="38579"/>
    <x v="15"/>
    <s v="Haaze"/>
    <s v="Sven"/>
    <x v="2"/>
    <x v="7"/>
    <s v="EAF 2207 Gent 17012024.pdf"/>
    <x v="5"/>
    <m/>
    <s v="ja"/>
    <e v="#N/A"/>
    <e v="#N/A"/>
    <n v="1"/>
  </r>
  <r>
    <n v="39019"/>
    <x v="16"/>
    <s v="De taeye"/>
    <s v="Kelly"/>
    <x v="6"/>
    <x v="7"/>
    <s v="EAF 5360 Hoogstraat Gent 17012024.pdf"/>
    <x v="11"/>
    <m/>
    <s v="ja"/>
    <e v="#N/A"/>
    <e v="#N/A"/>
    <n v="2"/>
  </r>
  <r>
    <n v="39673"/>
    <x v="17"/>
    <s v="Steurbaut"/>
    <s v="Henri"/>
    <x v="3"/>
    <x v="7"/>
    <s v="EAF 5920 Gent 17012024.pdf"/>
    <x v="12"/>
    <m/>
    <s v="ja"/>
    <e v="#N/A"/>
    <e v="#N/A"/>
    <n v="5"/>
  </r>
  <r>
    <n v="36627"/>
    <x v="18"/>
    <s v="Dobbelaere"/>
    <s v="David"/>
    <x v="2"/>
    <x v="8"/>
    <s v="EAF 110965 Gent 18012024.pdf"/>
    <x v="13"/>
    <m/>
    <s v="ja"/>
    <e v="#N/A"/>
    <e v="#N/A"/>
    <n v="5"/>
  </r>
  <r>
    <n v="31668"/>
    <x v="19"/>
    <s v="Weemhof"/>
    <s v="Maurice"/>
    <x v="7"/>
    <x v="9"/>
    <s v="EAF 5926 Gent Tolhuislaan 19012024.pdf"/>
    <x v="14"/>
    <m/>
    <s v="ja"/>
    <e v="#N/A"/>
    <e v="#N/A"/>
    <n v="5"/>
  </r>
  <r>
    <n v="9999"/>
    <x v="0"/>
    <e v="#N/A"/>
    <e v="#N/A"/>
    <x v="0"/>
    <x v="10"/>
    <s v="EAF 5265 Drongen 20012024.pdf"/>
    <x v="15"/>
    <m/>
    <s v="ja"/>
    <e v="#N/A"/>
    <e v="#N/A"/>
    <n v="59"/>
  </r>
  <r>
    <n v="9999"/>
    <x v="0"/>
    <e v="#N/A"/>
    <e v="#N/A"/>
    <x v="0"/>
    <x v="10"/>
    <s v="EAF 5327 Wondelgem 20012024.pdf"/>
    <x v="16"/>
    <m/>
    <s v="ja"/>
    <e v="#N/A"/>
    <e v="#N/A"/>
    <n v="59"/>
  </r>
  <r>
    <n v="5063"/>
    <x v="20"/>
    <s v="Merre"/>
    <s v="Bart"/>
    <x v="6"/>
    <x v="11"/>
    <s v="EAF 6340 Gent 23012024.pdf"/>
    <x v="17"/>
    <m/>
    <s v="ja"/>
    <e v="#N/A"/>
    <e v="#N/A"/>
    <n v="1"/>
  </r>
  <r>
    <n v="9999"/>
    <x v="0"/>
    <e v="#N/A"/>
    <e v="#N/A"/>
    <x v="0"/>
    <x v="12"/>
    <s v="EAF 5917 Melle 22012024.pdf"/>
    <x v="18"/>
    <m/>
    <s v="ja"/>
    <e v="#N/A"/>
    <e v="#N/A"/>
    <n v="59"/>
  </r>
  <r>
    <n v="36626"/>
    <x v="12"/>
    <s v="Kartal"/>
    <s v="Kadir"/>
    <x v="2"/>
    <x v="13"/>
    <s v="EAF 5273 Gent 23012024.pdf"/>
    <x v="2"/>
    <m/>
    <s v="ja"/>
    <e v="#N/A"/>
    <e v="#N/A"/>
    <n v="10"/>
  </r>
  <r>
    <n v="34445"/>
    <x v="21"/>
    <s v="Wulleput"/>
    <s v="Illya"/>
    <x v="7"/>
    <x v="13"/>
    <s v="EAF 5937 Gent 23012024.pdf"/>
    <x v="19"/>
    <m/>
    <s v="ja"/>
    <e v="#N/A"/>
    <e v="#N/A"/>
    <n v="6"/>
  </r>
  <r>
    <n v="20404"/>
    <x v="22"/>
    <s v="Vranken"/>
    <s v="Kenneth"/>
    <x v="5"/>
    <x v="14"/>
    <s v="EAF 5926 Gent Zuid 24012024.pdf"/>
    <x v="20"/>
    <m/>
    <s v="ja"/>
    <e v="#N/A"/>
    <e v="#N/A"/>
    <n v="2"/>
  </r>
  <r>
    <n v="31731"/>
    <x v="23"/>
    <s v="Dedapper"/>
    <s v="Marijke"/>
    <x v="3"/>
    <x v="15"/>
    <s v="EAF 5046 Oostakker 25012024.pdf"/>
    <x v="21"/>
    <m/>
    <s v="ja"/>
    <e v="#N/A"/>
    <e v="#N/A"/>
    <n v="3"/>
  </r>
  <r>
    <n v="37543"/>
    <x v="24"/>
    <s v="Öztürk"/>
    <s v="Bilgehan"/>
    <x v="1"/>
    <x v="15"/>
    <s v="EAF 5048 Zwijnaarde 25012024.pdf"/>
    <x v="22"/>
    <m/>
    <s v="ja"/>
    <e v="#N/A"/>
    <e v="#N/A"/>
    <n v="6"/>
  </r>
  <r>
    <n v="15628"/>
    <x v="25"/>
    <s v="Wulfranck"/>
    <s v="Dominique"/>
    <x v="1"/>
    <x v="16"/>
    <s v="EAF 5365 Gent 26012024.pdf"/>
    <x v="23"/>
    <m/>
    <s v="ja"/>
    <e v="#N/A"/>
    <e v="#N/A"/>
    <n v="3"/>
  </r>
  <r>
    <n v="31733"/>
    <x v="26"/>
    <s v="Sonck"/>
    <s v="Kristof"/>
    <x v="7"/>
    <x v="17"/>
    <s v="EAF 5260 Gent 28012024.pdf"/>
    <x v="2"/>
    <m/>
    <s v="ja"/>
    <e v="#N/A"/>
    <e v="#N/A"/>
    <n v="2"/>
  </r>
  <r>
    <n v="30121"/>
    <x v="27"/>
    <s v="Simons"/>
    <s v="Andreas"/>
    <x v="5"/>
    <x v="18"/>
    <s v="EAF 5264 Gent 29012024.pdf"/>
    <x v="24"/>
    <m/>
    <s v="ja"/>
    <e v="#N/A"/>
    <e v="#N/A"/>
    <n v="3"/>
  </r>
  <r>
    <n v="38938"/>
    <x v="28"/>
    <s v="Sedighi"/>
    <s v="Hamid"/>
    <x v="6"/>
    <x v="19"/>
    <s v="EAF 5232 Gent 30012024.pdf"/>
    <x v="3"/>
    <m/>
    <s v="ja"/>
    <e v="#N/A"/>
    <e v="#N/A"/>
    <n v="7"/>
  </r>
  <r>
    <n v="31092"/>
    <x v="29"/>
    <s v="De Jaeger"/>
    <s v="Kevin"/>
    <x v="6"/>
    <x v="20"/>
    <s v="EAF 2196 Gentbrugge 31012024.pdf"/>
    <x v="6"/>
    <m/>
    <s v="ja"/>
    <e v="#N/A"/>
    <e v="#N/A"/>
    <n v="2"/>
  </r>
  <r>
    <n v="38013"/>
    <x v="30"/>
    <s v="Mine"/>
    <s v="Akin"/>
    <x v="6"/>
    <x v="20"/>
    <s v="EAF 2208 Blaisantvest 31012024.pdf"/>
    <x v="2"/>
    <m/>
    <s v="ja"/>
    <e v="#N/A"/>
    <e v="#N/A"/>
    <n v="2"/>
  </r>
  <r>
    <n v="27153"/>
    <x v="31"/>
    <s v="Oben"/>
    <s v="Thibaud"/>
    <x v="5"/>
    <x v="20"/>
    <s v="EAF 5326 Gent 31012024.pdf"/>
    <x v="2"/>
    <m/>
    <s v="ja"/>
    <e v="#N/A"/>
    <e v="#N/A"/>
    <n v="3"/>
  </r>
  <r>
    <n v="26384"/>
    <x v="32"/>
    <s v="Van Cauwenberg"/>
    <s v="Steven"/>
    <x v="2"/>
    <x v="20"/>
    <s v="EAF 5359 Mariakerke 31012024.pdf"/>
    <x v="2"/>
    <m/>
    <s v="ja"/>
    <e v="#N/A"/>
    <e v="#N/A"/>
    <n v="1"/>
  </r>
  <r>
    <n v="19219"/>
    <x v="33"/>
    <s v="Aspeslagh"/>
    <s v="Geert"/>
    <x v="6"/>
    <x v="21"/>
    <s v="EAF 5044 Gent deel 1.pdf"/>
    <x v="25"/>
    <m/>
    <s v="ja"/>
    <e v="#N/A"/>
    <e v="#N/A"/>
    <n v="1"/>
  </r>
  <r>
    <n v="39146"/>
    <x v="34"/>
    <s v="Burrick"/>
    <s v="Alex"/>
    <x v="2"/>
    <x v="22"/>
    <s v="EAF 5261 Gent 02022024.pdf"/>
    <x v="3"/>
    <m/>
    <s v="ja"/>
    <e v="#N/A"/>
    <e v="#N/A"/>
    <n v="3"/>
  </r>
  <r>
    <n v="39146"/>
    <x v="34"/>
    <s v="Burrick"/>
    <s v="Alex"/>
    <x v="2"/>
    <x v="22"/>
    <s v="EAF 5369 Gent 02022024.pdf"/>
    <x v="3"/>
    <m/>
    <s v="ja"/>
    <e v="#N/A"/>
    <e v="#N/A"/>
    <n v="3"/>
  </r>
  <r>
    <n v="35463"/>
    <x v="35"/>
    <s v="Vandaele"/>
    <s v="Tom"/>
    <x v="7"/>
    <x v="23"/>
    <s v="EAF 5326 Gent Dampoort 03022024.pdf"/>
    <x v="26"/>
    <m/>
    <s v="ja"/>
    <e v="#N/A"/>
    <e v="#N/A"/>
    <n v="4"/>
  </r>
  <r>
    <n v="38808"/>
    <x v="36"/>
    <s v="Wasen"/>
    <s v="Jens"/>
    <x v="2"/>
    <x v="23"/>
    <s v="EAF 5376 Koremarkt 03022024.pdf"/>
    <x v="27"/>
    <m/>
    <s v="ja"/>
    <e v="#N/A"/>
    <e v="#N/A"/>
    <n v="5"/>
  </r>
  <r>
    <n v="38529"/>
    <x v="37"/>
    <s v="Huyghe"/>
    <s v="Jan"/>
    <x v="2"/>
    <x v="24"/>
    <s v="EAF 2200 Gent 04022024.pdf"/>
    <x v="5"/>
    <m/>
    <s v="ja"/>
    <e v="#N/A"/>
    <e v="#N/A"/>
    <n v="5"/>
  </r>
  <r>
    <n v="37564"/>
    <x v="38"/>
    <s v="Damlakhi"/>
    <s v="Nawras"/>
    <x v="3"/>
    <x v="24"/>
    <s v="EAF 5919 Gent 04022024.pdf"/>
    <x v="14"/>
    <m/>
    <s v="ja"/>
    <e v="#N/A"/>
    <e v="#N/A"/>
    <n v="1"/>
  </r>
  <r>
    <n v="38529"/>
    <x v="37"/>
    <s v="Huyghe"/>
    <s v="Jan"/>
    <x v="2"/>
    <x v="24"/>
    <s v="EAF 5929 Glasgowstraat Gent 23102024 Vonck Freddy.pdf"/>
    <x v="28"/>
    <m/>
    <s v="ja"/>
    <e v="#N/A"/>
    <e v="#N/A"/>
    <n v="5"/>
  </r>
  <r>
    <n v="27209"/>
    <x v="39"/>
    <s v="Meyvaert"/>
    <s v="Steven"/>
    <x v="2"/>
    <x v="24"/>
    <s v="EAF 6357 Gent 04022024.pdf"/>
    <x v="5"/>
    <m/>
    <s v="ja"/>
    <e v="#N/A"/>
    <e v="#N/A"/>
    <n v="3"/>
  </r>
  <r>
    <n v="39358"/>
    <x v="40"/>
    <s v="Weeks Aracena"/>
    <s v="Jimmy Alexander"/>
    <x v="5"/>
    <x v="25"/>
    <s v="EAF 5044 Gent 05022024.pdf"/>
    <x v="29"/>
    <m/>
    <s v="ja"/>
    <e v="#N/A"/>
    <e v="#N/A"/>
    <n v="5"/>
  </r>
  <r>
    <n v="34198"/>
    <x v="41"/>
    <s v="Pelfrene"/>
    <s v="Toby"/>
    <x v="3"/>
    <x v="26"/>
    <s v="EAF 06022024 Toby Pelrene.pdf"/>
    <x v="2"/>
    <m/>
    <s v="ja"/>
    <e v="#N/A"/>
    <e v="#N/A"/>
    <n v="2"/>
  </r>
  <r>
    <n v="18987"/>
    <x v="0"/>
    <e v="#N/A"/>
    <e v="#N/A"/>
    <x v="0"/>
    <x v="27"/>
    <s v="EAF 5237 Begijnhoflaan 07022024.pdf"/>
    <x v="30"/>
    <m/>
    <s v="ja"/>
    <e v="#N/A"/>
    <e v="#N/A"/>
    <n v="3"/>
  </r>
  <r>
    <n v="5813"/>
    <x v="42"/>
    <s v="Binard"/>
    <s v="Sabine"/>
    <x v="6"/>
    <x v="27"/>
    <s v="EAF 6323 Wondelgem 07022024.pdf"/>
    <x v="31"/>
    <m/>
    <s v="ja"/>
    <e v="#N/A"/>
    <e v="#N/A"/>
    <n v="1"/>
  </r>
  <r>
    <n v="38529"/>
    <x v="37"/>
    <s v="Huyghe"/>
    <s v="Jan"/>
    <x v="2"/>
    <x v="28"/>
    <s v="EAF 2549 Gent 08022024.pdf"/>
    <x v="2"/>
    <m/>
    <s v="ja"/>
    <e v="#N/A"/>
    <e v="#N/A"/>
    <n v="5"/>
  </r>
  <r>
    <n v="10324"/>
    <x v="43"/>
    <s v="Eggermont"/>
    <s v="Wim"/>
    <x v="4"/>
    <x v="28"/>
    <s v="EAF Gebroeders Vandeveldestraat Gent 6330 08.02.2024.pdf"/>
    <x v="2"/>
    <m/>
    <s v="ja"/>
    <e v="#N/A"/>
    <e v="#N/A"/>
    <n v="1"/>
  </r>
  <r>
    <n v="36289"/>
    <x v="44"/>
    <s v="Van Rentergem"/>
    <s v="Steve"/>
    <x v="3"/>
    <x v="29"/>
    <s v="EAF 5936 Gentburgge stelplaats 03022024.pdf"/>
    <x v="32"/>
    <m/>
    <s v="ja"/>
    <e v="#N/A"/>
    <e v="#N/A"/>
    <n v="3"/>
  </r>
  <r>
    <n v="39779"/>
    <x v="45"/>
    <s v="Avci"/>
    <s v="Muhammet Abdullah"/>
    <x v="4"/>
    <x v="30"/>
    <s v="EAF Zwijnaardsesteenweg Gent 5926 13.02.2024.pdf"/>
    <x v="2"/>
    <m/>
    <s v="ja"/>
    <e v="#N/A"/>
    <e v="#N/A"/>
    <n v="7"/>
  </r>
  <r>
    <n v="9999"/>
    <x v="0"/>
    <e v="#N/A"/>
    <e v="#N/A"/>
    <x v="0"/>
    <x v="31"/>
    <s v="EAF 5919 Gent 14022024 tweede ongeval .pdf"/>
    <x v="33"/>
    <m/>
    <s v="ja"/>
    <e v="#N/A"/>
    <e v="#N/A"/>
    <n v="59"/>
  </r>
  <r>
    <n v="36635"/>
    <x v="46"/>
    <s v="Fadel"/>
    <s v="Husam"/>
    <x v="1"/>
    <x v="32"/>
    <s v="EAF 5040 Gent 15022024.pdf"/>
    <x v="34"/>
    <m/>
    <s v="ja"/>
    <e v="#N/A"/>
    <e v="#N/A"/>
    <n v="4"/>
  </r>
  <r>
    <n v="35055"/>
    <x v="47"/>
    <s v="Kocabas"/>
    <s v="Abdülkadir"/>
    <x v="3"/>
    <x v="32"/>
    <s v="EAF 5361 Gent 15022024.pdf"/>
    <x v="35"/>
    <m/>
    <s v="ja"/>
    <e v="#N/A"/>
    <e v="#N/A"/>
    <n v="2"/>
  </r>
  <r>
    <n v="31668"/>
    <x v="19"/>
    <s v="Weemhof"/>
    <s v="Maurice"/>
    <x v="7"/>
    <x v="33"/>
    <s v="EAF 5326 Gent 16022024.pdf"/>
    <x v="2"/>
    <m/>
    <s v="ja"/>
    <e v="#N/A"/>
    <e v="#N/A"/>
    <n v="5"/>
  </r>
  <r>
    <n v="36275"/>
    <x v="48"/>
    <s v="Acosta Salinas"/>
    <s v="Benigna"/>
    <x v="7"/>
    <x v="34"/>
    <s v="EAF 5229 Rabot 17022024.pdf"/>
    <x v="36"/>
    <m/>
    <s v="ja"/>
    <e v="#N/A"/>
    <e v="#N/A"/>
    <n v="2"/>
  </r>
  <r>
    <n v="37261"/>
    <x v="49"/>
    <s v="Van Wayenbergh"/>
    <s v="Yordi"/>
    <x v="7"/>
    <x v="34"/>
    <s v="EAF 5240 Verenigde Natieslaan 17-02-2024 Van Waeyenbergh Yordi.pdf"/>
    <x v="37"/>
    <m/>
    <s v="ja"/>
    <e v="#N/A"/>
    <e v="#N/A"/>
    <n v="4"/>
  </r>
  <r>
    <n v="39358"/>
    <x v="40"/>
    <s v="Weeks Aracena"/>
    <s v="Jimmy Alexander"/>
    <x v="5"/>
    <x v="34"/>
    <s v="EAF 5263 Verenigde Natieslaan 17-02-2024 Weeks Aracena Jimmy Alexander.pdf"/>
    <x v="38"/>
    <m/>
    <s v="ja"/>
    <e v="#N/A"/>
    <e v="#N/A"/>
    <n v="5"/>
  </r>
  <r>
    <n v="21582"/>
    <x v="0"/>
    <e v="#N/A"/>
    <e v="#N/A"/>
    <x v="0"/>
    <x v="35"/>
    <s v="EAF 6326 Sint Pietersaalstraat 19022024.pdf"/>
    <x v="39"/>
    <m/>
    <s v="ja"/>
    <e v="#N/A"/>
    <e v="#N/A"/>
    <n v="3"/>
  </r>
  <r>
    <n v="34325"/>
    <x v="50"/>
    <s v="Eid"/>
    <s v="Mathyn"/>
    <x v="8"/>
    <x v="35"/>
    <s v="EAF 19022024 6320 Gent Mathyn Eid.pdf"/>
    <x v="40"/>
    <m/>
    <s v="ja"/>
    <e v="#N/A"/>
    <e v="#N/A"/>
    <n v="5"/>
  </r>
  <r>
    <n v="13345"/>
    <x v="51"/>
    <s v="Schijvens"/>
    <s v="Ronny"/>
    <x v="1"/>
    <x v="36"/>
    <s v="EAF 2198 Gent 20022024.pdf"/>
    <x v="11"/>
    <m/>
    <s v="ja"/>
    <e v="#N/A"/>
    <e v="#N/A"/>
    <n v="1"/>
  </r>
  <r>
    <n v="39779"/>
    <x v="45"/>
    <s v="Avci"/>
    <s v="Muhammet Abdullah"/>
    <x v="4"/>
    <x v="36"/>
    <s v="EAF Dendermondsesteenweg Gent AB 5767 20.02.2024.pdf"/>
    <x v="9"/>
    <m/>
    <s v="ja"/>
    <e v="#N/A"/>
    <e v="#N/A"/>
    <n v="7"/>
  </r>
  <r>
    <n v="25994"/>
    <x v="52"/>
    <s v="Peers"/>
    <s v="Mario"/>
    <x v="2"/>
    <x v="37"/>
    <s v="EAF 5927 Gent 21022024.pdf"/>
    <x v="33"/>
    <m/>
    <s v="ja"/>
    <e v="#N/A"/>
    <e v="#N/A"/>
    <n v="1"/>
  </r>
  <r>
    <n v="36569"/>
    <x v="0"/>
    <e v="#N/A"/>
    <e v="#N/A"/>
    <x v="0"/>
    <x v="38"/>
    <s v="EAF 2207 Gent Kortrijksesteenweg 22012024.pdf"/>
    <x v="5"/>
    <m/>
    <s v="ja"/>
    <e v="#N/A"/>
    <e v="#N/A"/>
    <n v="6"/>
  </r>
  <r>
    <n v="32369"/>
    <x v="53"/>
    <s v="Vandenborre"/>
    <s v="Patrick"/>
    <x v="3"/>
    <x v="38"/>
    <s v="EAF 5376 E17 22022024.pdf"/>
    <x v="0"/>
    <m/>
    <s v="ja"/>
    <e v="#N/A"/>
    <e v="#N/A"/>
    <n v="1"/>
  </r>
  <r>
    <n v="27713"/>
    <x v="54"/>
    <s v="Parmentier"/>
    <s v="Bart"/>
    <x v="2"/>
    <x v="38"/>
    <s v="EAF 6356 Gent 22022024.pdf"/>
    <x v="7"/>
    <m/>
    <s v="ja"/>
    <e v="#N/A"/>
    <e v="#N/A"/>
    <n v="1"/>
  </r>
  <r>
    <n v="38475"/>
    <x v="55"/>
    <s v="Verschraegen"/>
    <s v="Katleen"/>
    <x v="2"/>
    <x v="39"/>
    <s v="EAF 2199 Brugsepoort 23022024.pdf"/>
    <x v="3"/>
    <m/>
    <s v="ja"/>
    <e v="#N/A"/>
    <e v="#N/A"/>
    <n v="4"/>
  </r>
  <r>
    <n v="35120"/>
    <x v="56"/>
    <s v="Delcourt"/>
    <s v="Daniel"/>
    <x v="2"/>
    <x v="40"/>
    <s v="EAF 5233 Wondelgem 27022024.pdf"/>
    <x v="2"/>
    <m/>
    <s v="ja"/>
    <e v="#N/A"/>
    <e v="#N/A"/>
    <n v="1"/>
  </r>
  <r>
    <n v="9999"/>
    <x v="0"/>
    <e v="#N/A"/>
    <e v="#N/A"/>
    <x v="0"/>
    <x v="41"/>
    <s v="EAF 5045 Gent 28022024.pdf"/>
    <x v="41"/>
    <m/>
    <s v="ja"/>
    <e v="#N/A"/>
    <e v="#N/A"/>
    <n v="59"/>
  </r>
  <r>
    <n v="39184"/>
    <x v="57"/>
    <s v="Shinwari"/>
    <s v="Yasin"/>
    <x v="5"/>
    <x v="41"/>
    <s v="EAF 5230 Gent 28022024.pdf"/>
    <x v="21"/>
    <m/>
    <s v="ja"/>
    <e v="#N/A"/>
    <e v="#N/A"/>
    <n v="3"/>
  </r>
  <r>
    <n v="24367"/>
    <x v="58"/>
    <s v="Tayefeh Arbab"/>
    <s v="Ali"/>
    <x v="4"/>
    <x v="41"/>
    <s v="EAF Rooigemlaan - Nieuwe Wandeling Gent AB5229 28.02.2024.pdf"/>
    <x v="42"/>
    <m/>
    <s v="ja"/>
    <e v="#N/A"/>
    <e v="#N/A"/>
    <n v="3"/>
  </r>
  <r>
    <n v="11236"/>
    <x v="59"/>
    <s v="Baert"/>
    <s v="Freddy"/>
    <x v="4"/>
    <x v="42"/>
    <s v="EAF 2196 Gent 29022024.pdf"/>
    <x v="43"/>
    <m/>
    <s v="ja"/>
    <e v="#N/A"/>
    <e v="#N/A"/>
    <n v="4"/>
  </r>
  <r>
    <n v="38475"/>
    <x v="55"/>
    <s v="Verschraegen"/>
    <s v="Katleen"/>
    <x v="2"/>
    <x v="42"/>
    <s v="EAF 5235 Kouter Gent 29022024.pdf"/>
    <x v="44"/>
    <m/>
    <s v="ja"/>
    <e v="#N/A"/>
    <e v="#N/A"/>
    <n v="4"/>
  </r>
  <r>
    <n v="35709"/>
    <x v="60"/>
    <s v="El Gasmi"/>
    <s v="Sami"/>
    <x v="3"/>
    <x v="42"/>
    <s v="EAF 5273 Drongen 29022024.pdf"/>
    <x v="45"/>
    <m/>
    <s v="ja"/>
    <e v="#N/A"/>
    <e v="#N/A"/>
    <n v="1"/>
  </r>
  <r>
    <n v="21509"/>
    <x v="61"/>
    <s v="De Craemer"/>
    <s v="Kris"/>
    <x v="7"/>
    <x v="42"/>
    <s v="EAF 6371 Albertlaan 29022024.pdf"/>
    <x v="46"/>
    <m/>
    <s v="ja"/>
    <e v="#N/A"/>
    <e v="#N/A"/>
    <n v="6"/>
  </r>
  <r>
    <n v="36626"/>
    <x v="12"/>
    <s v="Kartal"/>
    <s v="Kadir"/>
    <x v="2"/>
    <x v="43"/>
    <s v="EAF 2200 Brugsepoortstraat 01032024.pdf"/>
    <x v="3"/>
    <m/>
    <s v="ja"/>
    <e v="#N/A"/>
    <e v="#N/A"/>
    <n v="10"/>
  </r>
  <r>
    <n v="36627"/>
    <x v="18"/>
    <s v="Dobbelaere"/>
    <s v="David"/>
    <x v="2"/>
    <x v="43"/>
    <s v="EAF 5233 Drongsesteenweg 01032024.pdf"/>
    <x v="47"/>
    <m/>
    <s v="ja"/>
    <e v="#N/A"/>
    <e v="#N/A"/>
    <n v="5"/>
  </r>
  <r>
    <n v="36275"/>
    <x v="48"/>
    <s v="Acosta Salinas"/>
    <s v="Benigna"/>
    <x v="7"/>
    <x v="43"/>
    <s v="EAF 112214 Gent 01032024.pdf"/>
    <x v="2"/>
    <m/>
    <s v="ja"/>
    <e v="#N/A"/>
    <e v="#N/A"/>
    <n v="2"/>
  </r>
  <r>
    <n v="39013"/>
    <x v="62"/>
    <s v="Asrih"/>
    <s v="Habib"/>
    <x v="2"/>
    <x v="43"/>
    <s v="EAF 112216 Gent Kouter 01032024.pdf"/>
    <x v="44"/>
    <m/>
    <s v="ja"/>
    <e v="#N/A"/>
    <e v="#N/A"/>
    <n v="3"/>
  </r>
  <r>
    <n v="20653"/>
    <x v="63"/>
    <s v="Mestdag"/>
    <s v="Marius"/>
    <x v="4"/>
    <x v="43"/>
    <s v="EAF Heerweg-Noord Zwijnaarde 6357 01.03.2024.pdf"/>
    <x v="48"/>
    <m/>
    <s v="ja"/>
    <e v="#N/A"/>
    <e v="#N/A"/>
    <n v="3"/>
  </r>
  <r>
    <n v="39014"/>
    <x v="64"/>
    <s v="Genbrugge"/>
    <s v="Kyllian"/>
    <x v="4"/>
    <x v="44"/>
    <s v="EAF 2201 Korenmarkt 02032024.pdf"/>
    <x v="27"/>
    <m/>
    <s v="ja"/>
    <e v="#N/A"/>
    <e v="#N/A"/>
    <n v="3"/>
  </r>
  <r>
    <n v="39929"/>
    <x v="65"/>
    <s v="Staneva"/>
    <s v="Mariyana"/>
    <x v="5"/>
    <x v="44"/>
    <s v="EAF 5910 Gent 02032024.pdf"/>
    <x v="2"/>
    <m/>
    <s v="ja"/>
    <e v="#N/A"/>
    <e v="#N/A"/>
    <n v="9"/>
  </r>
  <r>
    <n v="27186"/>
    <x v="66"/>
    <s v="Neghli"/>
    <s v="Farid"/>
    <x v="5"/>
    <x v="45"/>
    <s v="EAF 2196 Gent 05032024.pdf"/>
    <x v="27"/>
    <m/>
    <s v="ja"/>
    <e v="#N/A"/>
    <e v="#N/A"/>
    <n v="2"/>
  </r>
  <r>
    <n v="39633"/>
    <x v="0"/>
    <e v="#N/A"/>
    <e v="#N/A"/>
    <x v="0"/>
    <x v="45"/>
    <s v="EAF 4666 De Pintelaan 05032024 Duyck Kimberley.pdf"/>
    <x v="7"/>
    <m/>
    <s v="ja"/>
    <e v="#N/A"/>
    <e v="#N/A"/>
    <n v="2"/>
  </r>
  <r>
    <n v="38648"/>
    <x v="67"/>
    <s v="Uckuyulu"/>
    <s v="Muhammet Emin"/>
    <x v="6"/>
    <x v="45"/>
    <s v="EAF 5262 Rooigemlaan 05032024 Uckuyulu Muhammet Emin.pdf"/>
    <x v="42"/>
    <m/>
    <s v="ja"/>
    <e v="#N/A"/>
    <e v="#N/A"/>
    <n v="4"/>
  </r>
  <r>
    <n v="33965"/>
    <x v="0"/>
    <e v="#N/A"/>
    <e v="#N/A"/>
    <x v="0"/>
    <x v="45"/>
    <s v="EAF 5266 Ledebergplein 05032024 Gilles vdGehuchte 33965.pdf"/>
    <x v="49"/>
    <m/>
    <s v="ja"/>
    <e v="#N/A"/>
    <e v="#N/A"/>
    <n v="10"/>
  </r>
  <r>
    <n v="37543"/>
    <x v="24"/>
    <s v="Öztürk"/>
    <s v="Bilgehan"/>
    <x v="1"/>
    <x v="45"/>
    <s v="EAF 5765 Gentbrugge 05032024.pdf"/>
    <x v="6"/>
    <m/>
    <s v="ja"/>
    <e v="#N/A"/>
    <e v="#N/A"/>
    <n v="6"/>
  </r>
  <r>
    <n v="39712"/>
    <x v="68"/>
    <s v="Repaj"/>
    <s v="Ramazan"/>
    <x v="4"/>
    <x v="45"/>
    <s v="EAF Bremstraat Wondelgem AB 5922 05.03.2024.pdf"/>
    <x v="50"/>
    <m/>
    <s v="ja"/>
    <e v="#N/A"/>
    <e v="#N/A"/>
    <n v="4"/>
  </r>
  <r>
    <n v="35463"/>
    <x v="35"/>
    <s v="Vandaele"/>
    <s v="Tom"/>
    <x v="7"/>
    <x v="46"/>
    <s v="EAF 6355 Hovenierstraat 06-03-2024 Vandaele Tom.pdf"/>
    <x v="1"/>
    <m/>
    <s v="ja"/>
    <e v="#N/A"/>
    <e v="#N/A"/>
    <n v="4"/>
  </r>
  <r>
    <n v="9999"/>
    <x v="0"/>
    <e v="#N/A"/>
    <e v="#N/A"/>
    <x v="0"/>
    <x v="46"/>
    <s v="EAF Brusselsesteenweg - Hoveniersstraat Gentbrugge 6374 06.03.2024 voor en achterkant EAF.pdf"/>
    <x v="1"/>
    <m/>
    <s v="ja"/>
    <e v="#N/A"/>
    <e v="#N/A"/>
    <n v="59"/>
  </r>
  <r>
    <n v="37543"/>
    <x v="24"/>
    <s v="Öztürk"/>
    <s v="Bilgehan"/>
    <x v="1"/>
    <x v="47"/>
    <s v="EAF 2207 Dampoort 08032024.pdf"/>
    <x v="51"/>
    <m/>
    <s v="ja"/>
    <e v="#N/A"/>
    <e v="#N/A"/>
    <n v="6"/>
  </r>
  <r>
    <n v="39929"/>
    <x v="65"/>
    <s v="Staneva"/>
    <s v="Mariyana"/>
    <x v="5"/>
    <x v="47"/>
    <s v="EAF 2549 08022024.pdf"/>
    <x v="52"/>
    <m/>
    <s v="ja"/>
    <e v="#N/A"/>
    <e v="#N/A"/>
    <n v="9"/>
  </r>
  <r>
    <n v="32951"/>
    <x v="69"/>
    <s v="De Bruyne"/>
    <s v="Sonia"/>
    <x v="6"/>
    <x v="47"/>
    <s v="EAF 5043 GSP 08032024 De Bruyne Sonia.pdf"/>
    <x v="8"/>
    <m/>
    <s v="ja"/>
    <e v="#N/A"/>
    <e v="#N/A"/>
    <n v="6"/>
  </r>
  <r>
    <n v="8394"/>
    <x v="70"/>
    <s v="Smet"/>
    <s v="Antoon"/>
    <x v="6"/>
    <x v="48"/>
    <s v="EAF 5050 Land van Waaslaan 09032024 Smet Antoon.pdf"/>
    <x v="53"/>
    <m/>
    <s v="ja"/>
    <e v="#N/A"/>
    <e v="#N/A"/>
    <n v="4"/>
  </r>
  <r>
    <n v="15628"/>
    <x v="25"/>
    <s v="Wulfranck"/>
    <s v="Dominique"/>
    <x v="1"/>
    <x v="49"/>
    <s v="EAF 2196 Gent 12032024.pdf"/>
    <x v="23"/>
    <m/>
    <s v="ja"/>
    <e v="#N/A"/>
    <e v="#N/A"/>
    <n v="3"/>
  </r>
  <r>
    <n v="9999"/>
    <x v="0"/>
    <e v="#N/A"/>
    <e v="#N/A"/>
    <x v="0"/>
    <x v="49"/>
    <s v="EAF 5327 Gent 12032024.pdf"/>
    <x v="54"/>
    <m/>
    <s v="ja"/>
    <e v="#N/A"/>
    <e v="#N/A"/>
    <n v="59"/>
  </r>
  <r>
    <n v="39558"/>
    <x v="71"/>
    <s v="De Groote"/>
    <s v="Cedric"/>
    <x v="8"/>
    <x v="50"/>
    <s v="EAF 5040 Dampoort 13032024.pdf"/>
    <x v="26"/>
    <m/>
    <s v="ja"/>
    <e v="#N/A"/>
    <e v="#N/A"/>
    <n v="2"/>
  </r>
  <r>
    <n v="39660"/>
    <x v="0"/>
    <e v="#N/A"/>
    <e v="#N/A"/>
    <x v="0"/>
    <x v="50"/>
    <s v="EAF 5917 Wondelgem 13032024.pdf"/>
    <x v="55"/>
    <m/>
    <s v="ja"/>
    <e v="#N/A"/>
    <e v="#N/A"/>
    <n v="6"/>
  </r>
  <r>
    <n v="36626"/>
    <x v="12"/>
    <s v="Kartal"/>
    <s v="Kadir"/>
    <x v="2"/>
    <x v="50"/>
    <s v="EAF 6314 Kortrijksesteenweg Gent 13032024 Kadir Kartal 36626.pdf"/>
    <x v="5"/>
    <m/>
    <s v="ja"/>
    <e v="#N/A"/>
    <e v="#N/A"/>
    <n v="10"/>
  </r>
  <r>
    <n v="22240"/>
    <x v="72"/>
    <s v="Delahaye"/>
    <s v="Karina"/>
    <x v="2"/>
    <x v="50"/>
    <s v="EAF 6370 Gentbrugge 13032024.pdf"/>
    <x v="56"/>
    <m/>
    <s v="ja"/>
    <e v="#N/A"/>
    <e v="#N/A"/>
    <n v="2"/>
  </r>
  <r>
    <n v="40200"/>
    <x v="73"/>
    <s v="Shahriyari"/>
    <s v="Khalil"/>
    <x v="7"/>
    <x v="50"/>
    <s v="EAF 13032024 4678 Gent Yasin Doolaege.pdf"/>
    <x v="57"/>
    <m/>
    <s v="ja"/>
    <e v="#N/A"/>
    <e v="#N/A"/>
    <n v="2"/>
  </r>
  <r>
    <n v="26198"/>
    <x v="74"/>
    <s v="Justé"/>
    <s v="Steven"/>
    <x v="1"/>
    <x v="51"/>
    <s v="EAF 5372 Gent 14032024.pdf"/>
    <x v="58"/>
    <m/>
    <s v="ja"/>
    <e v="#N/A"/>
    <e v="#N/A"/>
    <n v="3"/>
  </r>
  <r>
    <n v="39146"/>
    <x v="34"/>
    <s v="Burrick"/>
    <s v="Alex"/>
    <x v="2"/>
    <x v="52"/>
    <s v="EAF 5235 Gent 18032024.pdf"/>
    <x v="0"/>
    <m/>
    <s v="ja"/>
    <e v="#N/A"/>
    <e v="#N/A"/>
    <n v="3"/>
  </r>
  <r>
    <n v="19088"/>
    <x v="75"/>
    <s v="Remmery"/>
    <s v="David"/>
    <x v="1"/>
    <x v="53"/>
    <s v="EAF 5240 Gent 18032024.pdf"/>
    <x v="59"/>
    <m/>
    <s v="ja"/>
    <e v="#N/A"/>
    <e v="#N/A"/>
    <n v="1"/>
  </r>
  <r>
    <n v="39779"/>
    <x v="45"/>
    <s v="Avci"/>
    <s v="Muhammet Abdullah"/>
    <x v="4"/>
    <x v="53"/>
    <s v="EAF Gent halte Opvoedingsstraat AB 5919 18.03.2024.pdf"/>
    <x v="2"/>
    <m/>
    <s v="ja"/>
    <e v="#N/A"/>
    <e v="#N/A"/>
    <n v="7"/>
  </r>
  <r>
    <n v="32528"/>
    <x v="76"/>
    <s v="Benjilali"/>
    <s v="Abdelhak"/>
    <x v="8"/>
    <x v="54"/>
    <s v="EAF 5272 Gent 19032024.pdf"/>
    <x v="35"/>
    <m/>
    <s v="ja"/>
    <e v="#N/A"/>
    <e v="#N/A"/>
    <n v="2"/>
  </r>
  <r>
    <n v="25993"/>
    <x v="77"/>
    <s v="De Wit"/>
    <s v="Bruno"/>
    <x v="5"/>
    <x v="54"/>
    <s v="EAF 6374 Gent 19032024 De Wit Bruno 25993.pdf"/>
    <x v="46"/>
    <m/>
    <s v="ja"/>
    <e v="#N/A"/>
    <e v="#N/A"/>
    <n v="1"/>
  </r>
  <r>
    <n v="38648"/>
    <x v="67"/>
    <s v="Uckuyulu"/>
    <s v="Muhammet Emin"/>
    <x v="6"/>
    <x v="55"/>
    <s v="EAF 2204 Gent Ijzerlaan 20032024 Uckuyulu Muhammed Emin 38648.pdf"/>
    <x v="60"/>
    <m/>
    <s v="ja"/>
    <e v="#N/A"/>
    <e v="#N/A"/>
    <n v="4"/>
  </r>
  <r>
    <n v="21809"/>
    <x v="78"/>
    <s v="Dejonghe"/>
    <s v="Elisa"/>
    <x v="2"/>
    <x v="55"/>
    <s v="EAF 6367 Wondelgem 20032024.pdf"/>
    <x v="61"/>
    <m/>
    <s v="ja"/>
    <e v="#N/A"/>
    <e v="#N/A"/>
    <n v="1"/>
  </r>
  <r>
    <n v="23880"/>
    <x v="79"/>
    <s v="Wyffels"/>
    <s v="Jean-Pierre"/>
    <x v="7"/>
    <x v="55"/>
    <s v="EAF 6369 Frereobanlaan 20032024.pdf"/>
    <x v="62"/>
    <m/>
    <s v="ja"/>
    <e v="#N/A"/>
    <e v="#N/A"/>
    <n v="1"/>
  </r>
  <r>
    <n v="26331"/>
    <x v="80"/>
    <s v="Van Semmertier"/>
    <s v="Pascal"/>
    <x v="4"/>
    <x v="55"/>
    <s v="EAF Oktrooiplein Gent AB5233 20.03.2024.pdf"/>
    <x v="26"/>
    <m/>
    <s v="ja"/>
    <e v="#N/A"/>
    <e v="#N/A"/>
    <n v="3"/>
  </r>
  <r>
    <n v="15320"/>
    <x v="81"/>
    <s v="Vandenberghe"/>
    <s v="Filip"/>
    <x v="3"/>
    <x v="56"/>
    <s v="EAF 2204 Gent 21032024.pdf"/>
    <x v="5"/>
    <m/>
    <s v="ja"/>
    <e v="#N/A"/>
    <e v="#N/A"/>
    <n v="2"/>
  </r>
  <r>
    <n v="34445"/>
    <x v="21"/>
    <s v="Wulleput"/>
    <s v="Illya"/>
    <x v="7"/>
    <x v="57"/>
    <s v="EAF 2198 Destelbergen 22032024.pdf"/>
    <x v="35"/>
    <m/>
    <s v="ja"/>
    <e v="#N/A"/>
    <e v="#N/A"/>
    <n v="6"/>
  </r>
  <r>
    <n v="38931"/>
    <x v="14"/>
    <s v="Sancak"/>
    <s v="Eyuphan"/>
    <x v="4"/>
    <x v="57"/>
    <s v="EAF 2201 Gent 22032024.pdf"/>
    <x v="59"/>
    <m/>
    <s v="ja"/>
    <e v="#N/A"/>
    <e v="#N/A"/>
    <n v="4"/>
  </r>
  <r>
    <n v="31231"/>
    <x v="82"/>
    <s v="Colaes"/>
    <s v="Dylan"/>
    <x v="3"/>
    <x v="57"/>
    <s v="EAF 6376 Botermarkt 22032024.pdf"/>
    <x v="63"/>
    <m/>
    <s v="ja"/>
    <e v="#N/A"/>
    <e v="#N/A"/>
    <n v="3"/>
  </r>
  <r>
    <n v="36626"/>
    <x v="12"/>
    <s v="Kartal"/>
    <s v="Kadir"/>
    <x v="2"/>
    <x v="57"/>
    <s v="EAF 6376 Galglaan 22032024 kaidr Kartal 36626 T3.pdf"/>
    <x v="2"/>
    <m/>
    <s v="ja"/>
    <e v="#N/A"/>
    <e v="#N/A"/>
    <n v="10"/>
  </r>
  <r>
    <n v="40223"/>
    <x v="0"/>
    <e v="#N/A"/>
    <e v="#N/A"/>
    <x v="0"/>
    <x v="57"/>
    <s v="EAF 8101 Gent 22032024.pdf"/>
    <x v="59"/>
    <m/>
    <s v="ja"/>
    <e v="#N/A"/>
    <e v="#N/A"/>
    <n v="8"/>
  </r>
  <r>
    <n v="9999"/>
    <x v="0"/>
    <e v="#N/A"/>
    <e v="#N/A"/>
    <x v="0"/>
    <x v="57"/>
    <s v="EAF 22032024 6328 Gent Sabri Toumi.pdf"/>
    <x v="12"/>
    <m/>
    <s v="ja"/>
    <e v="#N/A"/>
    <e v="#N/A"/>
    <n v="59"/>
  </r>
  <r>
    <n v="35107"/>
    <x v="83"/>
    <s v="Rotsaert"/>
    <s v="Dominique"/>
    <x v="4"/>
    <x v="57"/>
    <s v="EAF Nazarethsesteenweg Deinze 5047 22.03.2024.pdf"/>
    <x v="10"/>
    <m/>
    <s v="ja"/>
    <e v="#N/A"/>
    <e v="#N/A"/>
    <n v="1"/>
  </r>
  <r>
    <n v="5559"/>
    <x v="84"/>
    <s v="Hoste"/>
    <s v="Tania"/>
    <x v="8"/>
    <x v="58"/>
    <s v="EAF 6303 Gent 23032024.pdf"/>
    <x v="64"/>
    <m/>
    <s v="ja"/>
    <e v="#N/A"/>
    <e v="#N/A"/>
    <n v="2"/>
  </r>
  <r>
    <n v="26960"/>
    <x v="85"/>
    <s v="Toubadie"/>
    <s v="Mossa"/>
    <x v="3"/>
    <x v="59"/>
    <s v="EAF Gent 24032024 Mossa Toubadie.pdf"/>
    <x v="65"/>
    <m/>
    <s v="ja"/>
    <e v="#N/A"/>
    <e v="#N/A"/>
    <n v="3"/>
  </r>
  <r>
    <n v="33450"/>
    <x v="86"/>
    <s v="Verroeye"/>
    <s v="Chris"/>
    <x v="1"/>
    <x v="60"/>
    <s v="EAF 6371 Gent 25032024.pdf"/>
    <x v="2"/>
    <m/>
    <s v="ja"/>
    <e v="#N/A"/>
    <e v="#N/A"/>
    <n v="2"/>
  </r>
  <r>
    <n v="32951"/>
    <x v="69"/>
    <s v="De Bruyne"/>
    <s v="Sonia"/>
    <x v="6"/>
    <x v="61"/>
    <s v="EAF 2207 E17 26032024 De Bruyne Sonia.pdf"/>
    <x v="0"/>
    <m/>
    <s v="ja"/>
    <e v="#N/A"/>
    <e v="#N/A"/>
    <n v="6"/>
  </r>
  <r>
    <n v="21382"/>
    <x v="87"/>
    <s v="De Volder"/>
    <s v="Marc"/>
    <x v="2"/>
    <x v="62"/>
    <s v="EAF 6376 Ledeberg 28032024.pdf"/>
    <x v="49"/>
    <m/>
    <s v="ja"/>
    <e v="#N/A"/>
    <e v="#N/A"/>
    <n v="1"/>
  </r>
  <r>
    <n v="34286"/>
    <x v="88"/>
    <s v="Ghani"/>
    <s v="Mozamil"/>
    <x v="8"/>
    <x v="62"/>
    <s v="EAF 28032024 6358 Gent Ghani Mozamil.pdf"/>
    <x v="56"/>
    <m/>
    <s v="ja"/>
    <e v="#N/A"/>
    <e v="#N/A"/>
    <n v="2"/>
  </r>
  <r>
    <n v="16282"/>
    <x v="89"/>
    <s v="Vandecasteele"/>
    <s v="Ruth"/>
    <x v="1"/>
    <x v="63"/>
    <s v="EAF 6317 Wondelgem 29032024.pdf"/>
    <x v="16"/>
    <m/>
    <s v="ja"/>
    <e v="#N/A"/>
    <e v="#N/A"/>
    <n v="1"/>
  </r>
  <r>
    <n v="9999"/>
    <x v="0"/>
    <e v="#N/A"/>
    <e v="#N/A"/>
    <x v="0"/>
    <x v="63"/>
    <s v="EAF 6332 Gent 29032024.pdf"/>
    <x v="66"/>
    <m/>
    <s v="ja"/>
    <e v="#N/A"/>
    <e v="#N/A"/>
    <n v="59"/>
  </r>
  <r>
    <n v="39654"/>
    <x v="90"/>
    <s v="Camacho Encarnacion"/>
    <s v="Lisandro Javier"/>
    <x v="1"/>
    <x v="64"/>
    <s v="EAF 5376 Gent 31032024.pdf"/>
    <x v="59"/>
    <m/>
    <s v="ja"/>
    <e v="#N/A"/>
    <e v="#N/A"/>
    <n v="2"/>
  </r>
  <r>
    <n v="33400"/>
    <x v="91"/>
    <s v="Petit"/>
    <s v="Cynthia"/>
    <x v="5"/>
    <x v="64"/>
    <s v="EAF 5765 Gent 31032024.pdf"/>
    <x v="67"/>
    <m/>
    <s v="ja"/>
    <e v="#N/A"/>
    <e v="#N/A"/>
    <n v="3"/>
  </r>
  <r>
    <n v="12124"/>
    <x v="92"/>
    <s v="Van Vliet"/>
    <s v="Tom"/>
    <x v="8"/>
    <x v="64"/>
    <s v="EAF 31032024 6376 Gent Tom Van Vliet.pdf"/>
    <x v="63"/>
    <m/>
    <s v="ja"/>
    <e v="#N/A"/>
    <e v="#N/A"/>
    <n v="5"/>
  </r>
  <r>
    <n v="37439"/>
    <x v="93"/>
    <s v="Demirkazik"/>
    <s v="Mustafa"/>
    <x v="1"/>
    <x v="65"/>
    <s v="EAF 5369 Gent 01042024.pdf"/>
    <x v="68"/>
    <m/>
    <s v="ja"/>
    <e v="#N/A"/>
    <e v="#N/A"/>
    <n v="4"/>
  </r>
  <r>
    <n v="31600"/>
    <x v="94"/>
    <s v="Mertens"/>
    <s v="Tom"/>
    <x v="2"/>
    <x v="66"/>
    <s v="EAF 2202 Kleine Schuurstraat 04042024.pdf"/>
    <x v="69"/>
    <m/>
    <s v="ja"/>
    <e v="#N/A"/>
    <e v="#N/A"/>
    <n v="2"/>
  </r>
  <r>
    <n v="19848"/>
    <x v="95"/>
    <s v="Gevaert"/>
    <s v="Patrick"/>
    <x v="8"/>
    <x v="67"/>
    <s v="EAF 05042024 Gent 6368 Patrick Gevaert.pdf"/>
    <x v="61"/>
    <m/>
    <s v="ja"/>
    <e v="#N/A"/>
    <e v="#N/A"/>
    <n v="1"/>
  </r>
  <r>
    <n v="9999"/>
    <x v="0"/>
    <e v="#N/A"/>
    <e v="#N/A"/>
    <x v="0"/>
    <x v="68"/>
    <s v="EAF 5048 Trollyloods Gentburgge 27042024.pdf"/>
    <x v="70"/>
    <m/>
    <s v="ja"/>
    <e v="#N/A"/>
    <e v="#N/A"/>
    <n v="59"/>
  </r>
  <r>
    <n v="38481"/>
    <x v="96"/>
    <s v="Sari"/>
    <s v="Devrim"/>
    <x v="1"/>
    <x v="68"/>
    <s v="EAF 5053 Gent 07042024.pdf"/>
    <x v="34"/>
    <m/>
    <s v="ja"/>
    <e v="#N/A"/>
    <e v="#N/A"/>
    <n v="4"/>
  </r>
  <r>
    <n v="37216"/>
    <x v="97"/>
    <s v="Antoniewicz"/>
    <s v="Stephan"/>
    <x v="1"/>
    <x v="68"/>
    <s v="EAF 5219 Gent 07042024.pdf"/>
    <x v="14"/>
    <m/>
    <s v="ja"/>
    <e v="#N/A"/>
    <e v="#N/A"/>
    <n v="1"/>
  </r>
  <r>
    <n v="9999"/>
    <x v="0"/>
    <e v="#N/A"/>
    <e v="#N/A"/>
    <x v="0"/>
    <x v="69"/>
    <s v="EAF 5236 Gent 08042024.pdf"/>
    <x v="56"/>
    <m/>
    <s v="ja"/>
    <e v="#N/A"/>
    <e v="#N/A"/>
    <n v="59"/>
  </r>
  <r>
    <n v="29179"/>
    <x v="98"/>
    <s v="Verwee"/>
    <s v="Dries"/>
    <x v="2"/>
    <x v="69"/>
    <s v="EAF 5238 Brugsepoort Gent 08042024.pdf"/>
    <x v="3"/>
    <m/>
    <s v="ja"/>
    <e v="#N/A"/>
    <e v="#N/A"/>
    <n v="6"/>
  </r>
  <r>
    <n v="34385"/>
    <x v="0"/>
    <e v="#N/A"/>
    <e v="#N/A"/>
    <x v="0"/>
    <x v="69"/>
    <s v="EAF 5764 Driebeek 08042024.pdf"/>
    <x v="0"/>
    <m/>
    <s v="ja"/>
    <e v="#N/A"/>
    <e v="#N/A"/>
    <n v="1"/>
  </r>
  <r>
    <n v="32620"/>
    <x v="99"/>
    <s v="Saey"/>
    <s v="Elias"/>
    <x v="3"/>
    <x v="70"/>
    <s v="EAF 5237 Gent 09042024.pdf"/>
    <x v="2"/>
    <m/>
    <s v="ja"/>
    <e v="#N/A"/>
    <e v="#N/A"/>
    <n v="3"/>
  </r>
  <r>
    <n v="9999"/>
    <x v="0"/>
    <e v="#N/A"/>
    <e v="#N/A"/>
    <x v="0"/>
    <x v="71"/>
    <s v="EAF 6326 Gent 10042024.pdf"/>
    <x v="71"/>
    <m/>
    <s v="ja"/>
    <e v="#N/A"/>
    <e v="#N/A"/>
    <n v="59"/>
  </r>
  <r>
    <n v="8708"/>
    <x v="100"/>
    <s v="Middernacht"/>
    <s v="Andy"/>
    <x v="6"/>
    <x v="72"/>
    <s v="EAF 5040 Heuvelpoort 11042024 Middernacht Andy.pdf"/>
    <x v="72"/>
    <m/>
    <s v="ja"/>
    <e v="#N/A"/>
    <e v="#N/A"/>
    <n v="1"/>
  </r>
  <r>
    <n v="9999"/>
    <x v="0"/>
    <e v="#N/A"/>
    <e v="#N/A"/>
    <x v="0"/>
    <x v="72"/>
    <s v="EAF 11042024 6357 Gent Kenan Kocabas.pdf"/>
    <x v="71"/>
    <m/>
    <s v="ja"/>
    <e v="#N/A"/>
    <e v="#N/A"/>
    <n v="59"/>
  </r>
  <r>
    <n v="38807"/>
    <x v="101"/>
    <s v="Dossche"/>
    <s v="Caroline"/>
    <x v="5"/>
    <x v="73"/>
    <s v="EAF 5239 Gent Brugsepoortstraat 12042024.pdf"/>
    <x v="73"/>
    <m/>
    <s v="ja"/>
    <e v="#N/A"/>
    <e v="#N/A"/>
    <n v="4"/>
  </r>
  <r>
    <n v="28717"/>
    <x v="102"/>
    <s v="Dejonckheere"/>
    <s v="Els"/>
    <x v="6"/>
    <x v="73"/>
    <s v="EAF 5927 Gent 12042024 Dejonckheere Els.pdf"/>
    <x v="2"/>
    <m/>
    <s v="ja"/>
    <e v="#N/A"/>
    <e v="#N/A"/>
    <n v="1"/>
  </r>
  <r>
    <n v="39930"/>
    <x v="103"/>
    <s v="Mirazai"/>
    <s v="Rahmatullah"/>
    <x v="5"/>
    <x v="74"/>
    <s v="EAF 5928 Gent 13042024.pdf"/>
    <x v="74"/>
    <m/>
    <s v="ja"/>
    <e v="#N/A"/>
    <e v="#N/A"/>
    <n v="3"/>
  </r>
  <r>
    <n v="36429"/>
    <x v="104"/>
    <s v="Ahlaloum"/>
    <s v="Khalid"/>
    <x v="1"/>
    <x v="75"/>
    <s v="EAF 5928 Tolhuislaan Gent 14042024.pdf"/>
    <x v="14"/>
    <m/>
    <s v="ja"/>
    <e v="#N/A"/>
    <e v="#N/A"/>
    <n v="1"/>
  </r>
  <r>
    <n v="38634"/>
    <x v="9"/>
    <s v="Asskale"/>
    <s v="Zouhir"/>
    <x v="4"/>
    <x v="76"/>
    <s v="EAF Kouter Gent 5932 15.04.2024.pdf"/>
    <x v="44"/>
    <m/>
    <s v="ja"/>
    <e v="#N/A"/>
    <e v="#N/A"/>
    <n v="3"/>
  </r>
  <r>
    <n v="31733"/>
    <x v="26"/>
    <s v="Sonck"/>
    <s v="Kristof"/>
    <x v="7"/>
    <x v="77"/>
    <s v="EAF 4678 Gent 17042024.pdf"/>
    <x v="2"/>
    <m/>
    <s v="ja"/>
    <e v="#N/A"/>
    <e v="#N/A"/>
    <n v="2"/>
  </r>
  <r>
    <n v="39829"/>
    <x v="105"/>
    <s v="Demirkaya"/>
    <s v="Serkan"/>
    <x v="6"/>
    <x v="77"/>
    <s v="EAF 5765 Wondelgembrug 17042024 Demirkaya Serkan.pdf"/>
    <x v="75"/>
    <m/>
    <s v="ja"/>
    <e v="#N/A"/>
    <e v="#N/A"/>
    <n v="2"/>
  </r>
  <r>
    <n v="40223"/>
    <x v="0"/>
    <e v="#N/A"/>
    <e v="#N/A"/>
    <x v="0"/>
    <x v="77"/>
    <s v="EAF 5931 Gent 17042024.pdf"/>
    <x v="7"/>
    <m/>
    <s v="ja"/>
    <e v="#N/A"/>
    <e v="#N/A"/>
    <n v="8"/>
  </r>
  <r>
    <n v="5599"/>
    <x v="106"/>
    <s v="Pretel"/>
    <s v="Philippe"/>
    <x v="8"/>
    <x v="77"/>
    <s v="EAF 17042024 6311 Gent Philippe Pretel.pdf"/>
    <x v="56"/>
    <m/>
    <s v="ja"/>
    <e v="#N/A"/>
    <e v="#N/A"/>
    <n v="1"/>
  </r>
  <r>
    <n v="38481"/>
    <x v="96"/>
    <s v="Sari"/>
    <s v="Devrim"/>
    <x v="1"/>
    <x v="78"/>
    <s v="EAF 5240 Koning Albertlaan Gent 18012024.pdf"/>
    <x v="46"/>
    <m/>
    <s v="ja"/>
    <e v="#N/A"/>
    <e v="#N/A"/>
    <n v="4"/>
  </r>
  <r>
    <n v="35450"/>
    <x v="107"/>
    <s v="Roos"/>
    <s v="Hugo"/>
    <x v="2"/>
    <x v="78"/>
    <s v="EAF 5921 Gent A.Sanderusstraat 18042024 Roos Hugo.pdf"/>
    <x v="2"/>
    <m/>
    <s v="ja"/>
    <e v="#N/A"/>
    <e v="#N/A"/>
    <n v="4"/>
  </r>
  <r>
    <n v="34351"/>
    <x v="108"/>
    <s v="Callant"/>
    <s v="Dieter"/>
    <x v="3"/>
    <x v="79"/>
    <s v="EAF 5229 Gent 19042024.pdf"/>
    <x v="76"/>
    <m/>
    <s v="ja"/>
    <e v="#N/A"/>
    <e v="#N/A"/>
    <n v="3"/>
  </r>
  <r>
    <n v="39183"/>
    <x v="6"/>
    <s v="Al Masri"/>
    <s v="Anas"/>
    <x v="5"/>
    <x v="79"/>
    <s v="EAF 5372 Gent 19042024.pdf"/>
    <x v="68"/>
    <m/>
    <s v="ja"/>
    <e v="#N/A"/>
    <e v="#N/A"/>
    <n v="5"/>
  </r>
  <r>
    <n v="21509"/>
    <x v="61"/>
    <s v="De Craemer"/>
    <s v="Kris"/>
    <x v="7"/>
    <x v="79"/>
    <s v="EAF 6352 Jozef Vervaenestraat Gent 19042024.pdf"/>
    <x v="64"/>
    <m/>
    <s v="ja"/>
    <e v="#N/A"/>
    <e v="#N/A"/>
    <n v="6"/>
  </r>
  <r>
    <n v="34044"/>
    <x v="109"/>
    <s v="Wieme"/>
    <s v="Kevin"/>
    <x v="5"/>
    <x v="79"/>
    <s v="EAF 6373 Gent 19042024.pdf"/>
    <x v="12"/>
    <m/>
    <s v="ja"/>
    <e v="#N/A"/>
    <e v="#N/A"/>
    <n v="2"/>
  </r>
  <r>
    <n v="11866"/>
    <x v="110"/>
    <s v="Bolle"/>
    <s v="Pascal"/>
    <x v="6"/>
    <x v="80"/>
    <s v="EAF 6374 Zwijnaardsesteenweg 20022024 Bolle Pascal.pdf"/>
    <x v="2"/>
    <m/>
    <s v="ja"/>
    <e v="#N/A"/>
    <e v="#N/A"/>
    <n v="1"/>
  </r>
  <r>
    <n v="9999"/>
    <x v="0"/>
    <e v="#N/A"/>
    <e v="#N/A"/>
    <x v="0"/>
    <x v="81"/>
    <s v="EAF 21042024 Gent 5915 Kenan Kocabas.pdf"/>
    <x v="32"/>
    <m/>
    <s v="ja"/>
    <e v="#N/A"/>
    <e v="#N/A"/>
    <n v="59"/>
  </r>
  <r>
    <n v="21124"/>
    <x v="111"/>
    <s v="De Ridder"/>
    <s v="Danny"/>
    <x v="5"/>
    <x v="82"/>
    <s v="EAF 22042024 Gent De Ridder Danny 21124.pdf"/>
    <x v="42"/>
    <m/>
    <s v="ja"/>
    <e v="#N/A"/>
    <e v="#N/A"/>
    <n v="1"/>
  </r>
  <r>
    <n v="22625"/>
    <x v="112"/>
    <s v="Callebert"/>
    <s v="Pieter Jan"/>
    <x v="4"/>
    <x v="82"/>
    <s v="EAF Koning Albertlaan Gent 2207 22.04.2024.pdf"/>
    <x v="2"/>
    <m/>
    <s v="ja"/>
    <e v="#N/A"/>
    <e v="#N/A"/>
    <n v="1"/>
  </r>
  <r>
    <n v="36626"/>
    <x v="12"/>
    <s v="Kartal"/>
    <s v="Kadir"/>
    <x v="2"/>
    <x v="83"/>
    <s v="EAF 5261 Brugsesteenweg Gent 23042024 Kartal Kadir.pdf"/>
    <x v="35"/>
    <m/>
    <s v="ja"/>
    <e v="#N/A"/>
    <e v="#N/A"/>
    <n v="10"/>
  </r>
  <r>
    <n v="39927"/>
    <x v="113"/>
    <s v="De Wilde"/>
    <s v="Jordy"/>
    <x v="5"/>
    <x v="83"/>
    <s v="EAF 5767 Gent 23042024 De Wilde Jordy 39927.pdf"/>
    <x v="2"/>
    <m/>
    <s v="ja"/>
    <e v="#N/A"/>
    <e v="#N/A"/>
    <n v="2"/>
  </r>
  <r>
    <n v="39899"/>
    <x v="114"/>
    <s v="Calinalti"/>
    <s v="Abdil"/>
    <x v="5"/>
    <x v="83"/>
    <s v="EAF 5928 Gent 23042024.pdf"/>
    <x v="52"/>
    <m/>
    <s v="ja"/>
    <e v="#N/A"/>
    <e v="#N/A"/>
    <n v="1"/>
  </r>
  <r>
    <n v="37951"/>
    <x v="115"/>
    <s v="Van De Voorde"/>
    <s v="Cindy"/>
    <x v="6"/>
    <x v="84"/>
    <s v="EAF 5241 Gent Neermeerkaai 24042024.pdf"/>
    <x v="77"/>
    <m/>
    <s v="ja"/>
    <e v="#N/A"/>
    <e v="#N/A"/>
    <n v="1"/>
  </r>
  <r>
    <n v="9999"/>
    <x v="0"/>
    <e v="#N/A"/>
    <e v="#N/A"/>
    <x v="0"/>
    <x v="85"/>
    <s v="EAF Tolhuislaan Gent AB 614040 27.04.2024.pdf"/>
    <x v="14"/>
    <m/>
    <s v="ja"/>
    <e v="#N/A"/>
    <e v="#N/A"/>
    <n v="59"/>
  </r>
  <r>
    <n v="9999"/>
    <x v="0"/>
    <e v="#N/A"/>
    <e v="#N/A"/>
    <x v="0"/>
    <x v="86"/>
    <s v="EAF 6367 Gent 28042024.pdf"/>
    <x v="56"/>
    <m/>
    <s v="ja"/>
    <e v="#N/A"/>
    <e v="#N/A"/>
    <n v="59"/>
  </r>
  <r>
    <n v="30901"/>
    <x v="116"/>
    <s v="vanden Bulcke"/>
    <s v="Johan"/>
    <x v="2"/>
    <x v="87"/>
    <s v="EAF 5367 Brugsepoort 29-4-24 Vanden Bulcke Johan.pdf"/>
    <x v="3"/>
    <m/>
    <s v="ja"/>
    <e v="#N/A"/>
    <e v="#N/A"/>
    <n v="2"/>
  </r>
  <r>
    <n v="30321"/>
    <x v="117"/>
    <s v="Unver"/>
    <s v="Ismaïl"/>
    <x v="1"/>
    <x v="87"/>
    <s v="EAF 5765 Gent 29042024.pdf"/>
    <x v="77"/>
    <m/>
    <s v="ja"/>
    <e v="#N/A"/>
    <e v="#N/A"/>
    <n v="2"/>
  </r>
  <r>
    <n v="33551"/>
    <x v="118"/>
    <s v="Dekens"/>
    <s v="Andy"/>
    <x v="3"/>
    <x v="87"/>
    <s v="EAF 6340 29042024.pdf"/>
    <x v="78"/>
    <m/>
    <s v="ja"/>
    <e v="#N/A"/>
    <e v="#N/A"/>
    <n v="2"/>
  </r>
  <r>
    <n v="9999"/>
    <x v="0"/>
    <e v="#N/A"/>
    <e v="#N/A"/>
    <x v="0"/>
    <x v="87"/>
    <s v="EAF 222478 Blaisantvest 29-4-24 Ilhan Kurudere.pdf"/>
    <x v="79"/>
    <m/>
    <s v="ja"/>
    <e v="#N/A"/>
    <e v="#N/A"/>
    <n v="59"/>
  </r>
  <r>
    <n v="21582"/>
    <x v="0"/>
    <e v="#N/A"/>
    <e v="#N/A"/>
    <x v="0"/>
    <x v="88"/>
    <s v="EAF 6359 Gent 30042024.pdf"/>
    <x v="56"/>
    <m/>
    <s v="ja"/>
    <e v="#N/A"/>
    <e v="#N/A"/>
    <n v="3"/>
  </r>
  <r>
    <n v="9065"/>
    <x v="119"/>
    <s v="Dewispelaere"/>
    <s v="Danny"/>
    <x v="3"/>
    <x v="88"/>
    <s v="EAF 6372 Gent 30042024.pdf"/>
    <x v="80"/>
    <m/>
    <s v="ja"/>
    <e v="#N/A"/>
    <e v="#N/A"/>
    <n v="1"/>
  </r>
  <r>
    <n v="37609"/>
    <x v="120"/>
    <s v="De Groote"/>
    <s v="Dylan"/>
    <x v="1"/>
    <x v="88"/>
    <s v="EAF Gent 30042024.pdf"/>
    <x v="46"/>
    <m/>
    <s v="ja"/>
    <e v="#N/A"/>
    <e v="#N/A"/>
    <n v="2"/>
  </r>
  <r>
    <n v="40110"/>
    <x v="121"/>
    <s v="Vanlerberghe"/>
    <s v="Sandra"/>
    <x v="5"/>
    <x v="89"/>
    <s v="EAF 5922 Gent 01052024.pdf"/>
    <x v="81"/>
    <m/>
    <s v="ja"/>
    <e v="#N/A"/>
    <e v="#N/A"/>
    <n v="7"/>
  </r>
  <r>
    <n v="38931"/>
    <x v="14"/>
    <s v="Sancak"/>
    <s v="Eyuphan"/>
    <x v="4"/>
    <x v="89"/>
    <s v="EAF kruispunt Nieuwewandeling - R40 Gent AB2200 01.05.2024.pdf"/>
    <x v="2"/>
    <m/>
    <s v="ja"/>
    <e v="#N/A"/>
    <e v="#N/A"/>
    <n v="4"/>
  </r>
  <r>
    <n v="37439"/>
    <x v="93"/>
    <s v="Demirkazik"/>
    <s v="Mustafa"/>
    <x v="1"/>
    <x v="90"/>
    <s v="EAF 6305 Gent 02052024 Demirarik Mustafa.pdf"/>
    <x v="2"/>
    <m/>
    <s v="ja"/>
    <e v="#N/A"/>
    <e v="#N/A"/>
    <n v="4"/>
  </r>
  <r>
    <n v="15852"/>
    <x v="122"/>
    <s v="Petereyns"/>
    <s v="Vanessa"/>
    <x v="1"/>
    <x v="91"/>
    <s v="EAF 6314 Gentbrugge 03052024 Petereyns Vanessa 15852.pdf"/>
    <x v="2"/>
    <m/>
    <s v="ja"/>
    <e v="#N/A"/>
    <e v="#N/A"/>
    <n v="1"/>
  </r>
  <r>
    <n v="15088"/>
    <x v="123"/>
    <s v="Laute"/>
    <s v="Dirk"/>
    <x v="3"/>
    <x v="92"/>
    <s v="EAF 2205 Brugsepoort Gent 04052024.pdf"/>
    <x v="3"/>
    <m/>
    <s v="ja"/>
    <e v="#N/A"/>
    <e v="#N/A"/>
    <n v="2"/>
  </r>
  <r>
    <n v="37950"/>
    <x v="124"/>
    <s v="De Naegel"/>
    <s v="Bruno"/>
    <x v="7"/>
    <x v="92"/>
    <s v="EAF 5367 Gent Brugse poort 04052024 De Naegel Bruno.pdf"/>
    <x v="3"/>
    <m/>
    <s v="ja"/>
    <e v="#N/A"/>
    <e v="#N/A"/>
    <n v="3"/>
  </r>
  <r>
    <n v="33965"/>
    <x v="0"/>
    <e v="#N/A"/>
    <e v="#N/A"/>
    <x v="0"/>
    <x v="92"/>
    <s v="EAF 6373 Hundelgelsesteenweg 04052024.pdf"/>
    <x v="82"/>
    <m/>
    <s v="ja"/>
    <e v="#N/A"/>
    <e v="#N/A"/>
    <n v="10"/>
  </r>
  <r>
    <n v="40058"/>
    <x v="125"/>
    <s v="Sögüt"/>
    <s v="Can"/>
    <x v="5"/>
    <x v="93"/>
    <s v="EAF 5921 Gent Dampoort 05052024.pdf"/>
    <x v="26"/>
    <m/>
    <s v="ja"/>
    <e v="#N/A"/>
    <e v="#N/A"/>
    <n v="3"/>
  </r>
  <r>
    <n v="13088"/>
    <x v="126"/>
    <s v="De Geyter"/>
    <s v="Claudine"/>
    <x v="7"/>
    <x v="93"/>
    <s v="EAF 6371 Rabotstraat 05052024 De Geyter Claudine 13088.pdf"/>
    <x v="83"/>
    <m/>
    <s v="ja"/>
    <e v="#N/A"/>
    <e v="#N/A"/>
    <n v="2"/>
  </r>
  <r>
    <n v="40222"/>
    <x v="127"/>
    <s v="Van Iterson"/>
    <s v="Sharon"/>
    <x v="7"/>
    <x v="94"/>
    <s v="EAF 5920 Damvalleistraat Gent 06052024.pdf"/>
    <x v="84"/>
    <m/>
    <s v="ja"/>
    <e v="#N/A"/>
    <e v="#N/A"/>
    <n v="2"/>
  </r>
  <r>
    <n v="25487"/>
    <x v="128"/>
    <s v="Devos"/>
    <s v="Stefaan"/>
    <x v="8"/>
    <x v="94"/>
    <s v="EAF 5936 Dendermondsesteenweg 06052024.pdf"/>
    <x v="9"/>
    <m/>
    <s v="ja"/>
    <e v="#N/A"/>
    <e v="#N/A"/>
    <n v="4"/>
  </r>
  <r>
    <n v="9999"/>
    <x v="0"/>
    <e v="#N/A"/>
    <e v="#N/A"/>
    <x v="0"/>
    <x v="95"/>
    <s v="EAF 5219 Brugsesteenweg 07052024 Christof Byosiere.pdf"/>
    <x v="35"/>
    <m/>
    <s v="ja"/>
    <e v="#N/A"/>
    <e v="#N/A"/>
    <n v="59"/>
  </r>
  <r>
    <n v="39019"/>
    <x v="16"/>
    <s v="De taeye"/>
    <s v="Kelly"/>
    <x v="6"/>
    <x v="95"/>
    <s v="EAF 5229 Gent Koophandelsplein 07052024 De Taeye kelly.pdf"/>
    <x v="85"/>
    <m/>
    <s v="ja"/>
    <e v="#N/A"/>
    <e v="#N/A"/>
    <n v="2"/>
  </r>
  <r>
    <n v="38688"/>
    <x v="129"/>
    <s v="Basgurboga"/>
    <s v="Selahattin"/>
    <x v="2"/>
    <x v="96"/>
    <s v="EAF 5360 Gent 08052024.pdf"/>
    <x v="35"/>
    <m/>
    <s v="ja"/>
    <e v="#N/A"/>
    <e v="#N/A"/>
    <n v="3"/>
  </r>
  <r>
    <n v="35246"/>
    <x v="130"/>
    <s v="De Meyer"/>
    <s v="Karel"/>
    <x v="3"/>
    <x v="97"/>
    <s v="EAF 5327 Dampoort Gent 11052024.pdf"/>
    <x v="26"/>
    <m/>
    <s v="ja"/>
    <e v="#N/A"/>
    <e v="#N/A"/>
    <n v="2"/>
  </r>
  <r>
    <n v="10150"/>
    <x v="131"/>
    <s v="Vandenbogaerde"/>
    <s v="Tony"/>
    <x v="8"/>
    <x v="97"/>
    <s v="EAF 11052024 6338 Gent Tony Vandenbogaerde.pdf"/>
    <x v="56"/>
    <m/>
    <s v="ja"/>
    <e v="#N/A"/>
    <e v="#N/A"/>
    <n v="1"/>
  </r>
  <r>
    <n v="9999"/>
    <x v="0"/>
    <e v="#N/A"/>
    <e v="#N/A"/>
    <x v="0"/>
    <x v="98"/>
    <s v="EAF 5913 Gentbrugge stelplaats 12052024 Robert Hurd.pdf"/>
    <x v="32"/>
    <m/>
    <s v="ja"/>
    <e v="#N/A"/>
    <e v="#N/A"/>
    <n v="59"/>
  </r>
  <r>
    <n v="6310"/>
    <x v="0"/>
    <e v="#N/A"/>
    <e v="#N/A"/>
    <x v="0"/>
    <x v="98"/>
    <s v="EAF 6332 Gent 12052024 De Craene Peter.pdf"/>
    <x v="2"/>
    <m/>
    <s v="ja"/>
    <e v="#N/A"/>
    <e v="#N/A"/>
    <n v="3"/>
  </r>
  <r>
    <n v="37345"/>
    <x v="132"/>
    <s v="Walleyn"/>
    <s v="Renaat"/>
    <x v="6"/>
    <x v="99"/>
    <s v="EAF 5273 Gent 13052024.pdf"/>
    <x v="2"/>
    <m/>
    <s v="ja"/>
    <e v="#N/A"/>
    <e v="#N/A"/>
    <n v="3"/>
  </r>
  <r>
    <n v="11508"/>
    <x v="133"/>
    <s v="Beeckman"/>
    <s v="Nico"/>
    <x v="6"/>
    <x v="99"/>
    <s v="EAF 5917 Gent 13052024 Beeckman Nico.pdf"/>
    <x v="2"/>
    <m/>
    <s v="ja"/>
    <e v="#N/A"/>
    <e v="#N/A"/>
    <n v="1"/>
  </r>
  <r>
    <n v="19917"/>
    <x v="11"/>
    <s v="Vandevyvere"/>
    <s v="Frank"/>
    <x v="4"/>
    <x v="100"/>
    <s v="EAF 5047 Rooigemlaan Gent 15052024 19917 VandeVyver Frank.pdf"/>
    <x v="42"/>
    <m/>
    <s v="ja"/>
    <e v="#N/A"/>
    <e v="#N/A"/>
    <n v="10"/>
  </r>
  <r>
    <n v="38808"/>
    <x v="36"/>
    <s v="Wasen"/>
    <s v="Jens"/>
    <x v="2"/>
    <x v="101"/>
    <s v="EAF 5938 Muidepoort Gent 16052024.pdf"/>
    <x v="86"/>
    <m/>
    <s v="ja"/>
    <e v="#N/A"/>
    <e v="#N/A"/>
    <n v="5"/>
  </r>
  <r>
    <n v="34351"/>
    <x v="108"/>
    <s v="Callant"/>
    <s v="Dieter"/>
    <x v="3"/>
    <x v="101"/>
    <s v="EAF Segersplein Gent AB2205 16.05.2024.pdf"/>
    <x v="87"/>
    <m/>
    <s v="ja"/>
    <e v="#N/A"/>
    <e v="#N/A"/>
    <n v="3"/>
  </r>
  <r>
    <n v="36503"/>
    <x v="134"/>
    <s v="Callens"/>
    <s v="Dimitri"/>
    <x v="5"/>
    <x v="102"/>
    <s v="EAF 2207 Kortrijksesteenweg Gent 17052024.pdf"/>
    <x v="5"/>
    <m/>
    <s v="ja"/>
    <e v="#N/A"/>
    <e v="#N/A"/>
    <n v="1"/>
  </r>
  <r>
    <n v="37439"/>
    <x v="93"/>
    <s v="Demirkazik"/>
    <s v="Mustafa"/>
    <x v="1"/>
    <x v="103"/>
    <s v="EAF 2208 Gent 21052024.pdf"/>
    <x v="35"/>
    <m/>
    <s v="ja"/>
    <e v="#N/A"/>
    <e v="#N/A"/>
    <n v="4"/>
  </r>
  <r>
    <n v="38688"/>
    <x v="129"/>
    <s v="Basgurboga"/>
    <s v="Selahattin"/>
    <x v="2"/>
    <x v="103"/>
    <s v="EAF 5260 Gentbrugge 21052024.pdf"/>
    <x v="2"/>
    <m/>
    <s v="ja"/>
    <e v="#N/A"/>
    <e v="#N/A"/>
    <n v="3"/>
  </r>
  <r>
    <n v="40223"/>
    <x v="0"/>
    <e v="#N/A"/>
    <e v="#N/A"/>
    <x v="0"/>
    <x v="103"/>
    <s v="EAF 5917 Gent 21052024 Eva Teetaert.pdf"/>
    <x v="88"/>
    <m/>
    <s v="ja"/>
    <e v="#N/A"/>
    <e v="#N/A"/>
    <n v="8"/>
  </r>
  <r>
    <n v="35187"/>
    <x v="135"/>
    <s v="Bastiaen"/>
    <s v="Eric"/>
    <x v="6"/>
    <x v="104"/>
    <s v="EAF 6373 Gent Brusselsesteenweg 22052024 Bastiaen Eric.pdf"/>
    <x v="56"/>
    <m/>
    <s v="ja"/>
    <e v="#N/A"/>
    <e v="#N/A"/>
    <n v="1"/>
  </r>
  <r>
    <n v="39528"/>
    <x v="136"/>
    <s v="Mihaylov"/>
    <s v="Plamen"/>
    <x v="5"/>
    <x v="104"/>
    <s v="EAF 222478 Gent Tolhuislaan 22052024.pdf"/>
    <x v="14"/>
    <m/>
    <s v="ja"/>
    <e v="#N/A"/>
    <e v="#N/A"/>
    <n v="4"/>
  </r>
  <r>
    <n v="19087"/>
    <x v="137"/>
    <s v="Deschepper"/>
    <s v="Peter"/>
    <x v="3"/>
    <x v="105"/>
    <s v="EAF 5361 Gent 23052024.pdf"/>
    <x v="89"/>
    <m/>
    <s v="ja"/>
    <e v="#N/A"/>
    <e v="#N/A"/>
    <n v="1"/>
  </r>
  <r>
    <n v="39712"/>
    <x v="68"/>
    <s v="Repaj"/>
    <s v="Ramazan"/>
    <x v="4"/>
    <x v="105"/>
    <s v="EAF Tolhuislaan Gent AB 5372 23.05.2024.pdf"/>
    <x v="14"/>
    <m/>
    <s v="ja"/>
    <e v="#N/A"/>
    <e v="#N/A"/>
    <n v="4"/>
  </r>
  <r>
    <n v="31092"/>
    <x v="29"/>
    <s v="De Jaeger"/>
    <s v="Kevin"/>
    <x v="6"/>
    <x v="106"/>
    <s v="EAF 2207 Gent Land van Waeslaan 24052024 De Jaeger Kevin.pdf"/>
    <x v="90"/>
    <m/>
    <s v="ja"/>
    <e v="#N/A"/>
    <e v="#N/A"/>
    <n v="2"/>
  </r>
  <r>
    <n v="37261"/>
    <x v="49"/>
    <s v="Van Wayenbergh"/>
    <s v="Yordi"/>
    <x v="7"/>
    <x v="106"/>
    <s v="EAF 5267 Dampoort 24052024.pdf"/>
    <x v="43"/>
    <m/>
    <s v="ja"/>
    <e v="#N/A"/>
    <e v="#N/A"/>
    <n v="4"/>
  </r>
  <r>
    <n v="9999"/>
    <x v="0"/>
    <e v="#N/A"/>
    <e v="#N/A"/>
    <x v="0"/>
    <x v="106"/>
    <s v="EAF 24052024 2207 Gent Semih Dogan.pdf"/>
    <x v="15"/>
    <m/>
    <s v="ja"/>
    <e v="#N/A"/>
    <e v="#N/A"/>
    <n v="59"/>
  </r>
  <r>
    <n v="33551"/>
    <x v="118"/>
    <s v="Dekens"/>
    <s v="Andy"/>
    <x v="3"/>
    <x v="107"/>
    <s v="EAF 6355 Gent 27052024.pdf"/>
    <x v="1"/>
    <m/>
    <s v="ja"/>
    <e v="#N/A"/>
    <e v="#N/A"/>
    <n v="2"/>
  </r>
  <r>
    <n v="9999"/>
    <x v="0"/>
    <e v="#N/A"/>
    <e v="#N/A"/>
    <x v="0"/>
    <x v="108"/>
    <s v="EAF 5052 Gent 28052024.pdf"/>
    <x v="34"/>
    <m/>
    <s v="ja"/>
    <e v="#N/A"/>
    <e v="#N/A"/>
    <n v="59"/>
  </r>
  <r>
    <n v="9999"/>
    <x v="0"/>
    <e v="#N/A"/>
    <e v="#N/A"/>
    <x v="0"/>
    <x v="108"/>
    <s v="EAF 6320 Poperingestraat 28052024 Atilla Ayidil.pdf"/>
    <x v="61"/>
    <m/>
    <s v="ja"/>
    <e v="#N/A"/>
    <e v="#N/A"/>
    <n v="59"/>
  </r>
  <r>
    <n v="17931"/>
    <x v="138"/>
    <s v="Idrisi"/>
    <s v="Hasana"/>
    <x v="2"/>
    <x v="108"/>
    <s v="EAF 6353 GEnt 28052024.pdf"/>
    <x v="5"/>
    <m/>
    <s v="ja"/>
    <e v="#N/A"/>
    <e v="#N/A"/>
    <n v="2"/>
  </r>
  <r>
    <n v="23700"/>
    <x v="139"/>
    <s v="Byosière"/>
    <s v="Christof"/>
    <x v="7"/>
    <x v="109"/>
    <s v="EAF 2548 Stelplaats GB 29052024 Christof Byosiere.pdf"/>
    <x v="32"/>
    <m/>
    <s v="ja"/>
    <e v="#N/A"/>
    <e v="#N/A"/>
    <n v="2"/>
  </r>
  <r>
    <n v="9999"/>
    <x v="0"/>
    <e v="#N/A"/>
    <e v="#N/A"/>
    <x v="0"/>
    <x v="109"/>
    <s v="EAF 6335 Brusselsesteenweg 368 29052024.pdf"/>
    <x v="56"/>
    <m/>
    <s v="ja"/>
    <e v="#N/A"/>
    <e v="#N/A"/>
    <n v="59"/>
  </r>
  <r>
    <n v="19917"/>
    <x v="11"/>
    <s v="Vandevyvere"/>
    <s v="Frank"/>
    <x v="4"/>
    <x v="110"/>
    <s v="EAF 5326 Rooigemlaan Gent 30052024.pdf"/>
    <x v="42"/>
    <m/>
    <s v="ja"/>
    <e v="#N/A"/>
    <e v="#N/A"/>
    <n v="10"/>
  </r>
  <r>
    <n v="39907"/>
    <x v="140"/>
    <s v="Marian"/>
    <s v="Birsanuc"/>
    <x v="1"/>
    <x v="110"/>
    <s v="EAF 5925 Gent 30052024 39907.pdf"/>
    <x v="2"/>
    <m/>
    <s v="ja"/>
    <e v="#N/A"/>
    <e v="#N/A"/>
    <n v="1"/>
  </r>
  <r>
    <n v="36624"/>
    <x v="141"/>
    <s v="De Meulenaere"/>
    <s v="Kurt"/>
    <x v="7"/>
    <x v="111"/>
    <s v="EAF 2201 Gentbrugge 02062024.pdf"/>
    <x v="91"/>
    <m/>
    <s v="ja"/>
    <e v="#N/A"/>
    <e v="#N/A"/>
    <n v="3"/>
  </r>
  <r>
    <n v="9999"/>
    <x v="0"/>
    <e v="#N/A"/>
    <e v="#N/A"/>
    <x v="0"/>
    <x v="111"/>
    <s v="EAF 5238 Dampoortstraat 02062024.pdf"/>
    <x v="92"/>
    <m/>
    <s v="ja"/>
    <e v="#N/A"/>
    <e v="#N/A"/>
    <n v="59"/>
  </r>
  <r>
    <n v="34325"/>
    <x v="50"/>
    <s v="Eid"/>
    <s v="Mathyn"/>
    <x v="8"/>
    <x v="112"/>
    <s v="EAF 6329 Gent Kolegemstraat 04062024 aanrijding met tram 6326 Eid Mathyn.pdf"/>
    <x v="31"/>
    <m/>
    <s v="ja"/>
    <e v="#N/A"/>
    <e v="#N/A"/>
    <n v="5"/>
  </r>
  <r>
    <n v="19249"/>
    <x v="142"/>
    <s v="Odaci"/>
    <s v="Kadir"/>
    <x v="6"/>
    <x v="112"/>
    <s v="EAF 6365 Gent 04062024.pdf"/>
    <x v="93"/>
    <m/>
    <s v="ja"/>
    <e v="#N/A"/>
    <e v="#N/A"/>
    <n v="4"/>
  </r>
  <r>
    <n v="34325"/>
    <x v="50"/>
    <s v="Eid"/>
    <s v="Mathyn"/>
    <x v="8"/>
    <x v="112"/>
    <s v="EAF 04062024 6329 Gent met gekwetsten Mathyn Eid.pdf"/>
    <x v="31"/>
    <m/>
    <s v="ja"/>
    <e v="#N/A"/>
    <e v="#N/A"/>
    <n v="5"/>
  </r>
  <r>
    <n v="31731"/>
    <x v="23"/>
    <s v="Dedapper"/>
    <s v="Marijke"/>
    <x v="3"/>
    <x v="113"/>
    <s v="EAf 5041 Gent 05062024.pdf"/>
    <x v="94"/>
    <m/>
    <s v="ja"/>
    <e v="#N/A"/>
    <e v="#N/A"/>
    <n v="3"/>
  </r>
  <r>
    <n v="39712"/>
    <x v="68"/>
    <s v="Repaj"/>
    <s v="Ramazan"/>
    <x v="4"/>
    <x v="113"/>
    <s v="EAF 5327 05062024.pdf"/>
    <x v="36"/>
    <m/>
    <s v="ja"/>
    <e v="#N/A"/>
    <e v="#N/A"/>
    <n v="4"/>
  </r>
  <r>
    <n v="29179"/>
    <x v="98"/>
    <s v="Verwee"/>
    <s v="Dries"/>
    <x v="2"/>
    <x v="113"/>
    <s v="EAF 6376 Ledeberg 05062024.pdf"/>
    <x v="95"/>
    <m/>
    <s v="ja"/>
    <e v="#N/A"/>
    <e v="#N/A"/>
    <n v="6"/>
  </r>
  <r>
    <n v="39183"/>
    <x v="6"/>
    <s v="Al Masri"/>
    <s v="Anas"/>
    <x v="5"/>
    <x v="114"/>
    <s v="EAF 5367 Gent 06062024.pdf"/>
    <x v="42"/>
    <m/>
    <s v="ja"/>
    <e v="#N/A"/>
    <e v="#N/A"/>
    <n v="5"/>
  </r>
  <r>
    <n v="9999"/>
    <x v="0"/>
    <e v="#N/A"/>
    <e v="#N/A"/>
    <x v="0"/>
    <x v="114"/>
    <s v="EAF 5931 Zwijnaardsesteenweg Gent 06.07.2024.pdf"/>
    <x v="12"/>
    <m/>
    <s v="ja"/>
    <e v="#N/A"/>
    <e v="#N/A"/>
    <n v="59"/>
  </r>
  <r>
    <n v="37936"/>
    <x v="143"/>
    <s v="Detaeye"/>
    <s v="Alexander"/>
    <x v="8"/>
    <x v="115"/>
    <s v="EAF 5327 Gent Fraterplein 07062024.pdf"/>
    <x v="96"/>
    <m/>
    <s v="ja"/>
    <e v="#N/A"/>
    <e v="#N/A"/>
    <n v="2"/>
  </r>
  <r>
    <n v="9999"/>
    <x v="0"/>
    <e v="#N/A"/>
    <e v="#N/A"/>
    <x v="0"/>
    <x v="116"/>
    <s v="EAF 2204 Gent Tolhuislaan 10062024 Bekaert Gertjan.pdf"/>
    <x v="14"/>
    <m/>
    <s v="ja"/>
    <e v="#N/A"/>
    <e v="#N/A"/>
    <n v="59"/>
  </r>
  <r>
    <n v="27186"/>
    <x v="66"/>
    <s v="Neghli"/>
    <s v="Farid"/>
    <x v="5"/>
    <x v="116"/>
    <s v="EAF 5214 Gentbrugge 10062024.pdf"/>
    <x v="2"/>
    <m/>
    <s v="ja"/>
    <e v="#N/A"/>
    <e v="#N/A"/>
    <n v="2"/>
  </r>
  <r>
    <n v="39013"/>
    <x v="62"/>
    <s v="Asrih"/>
    <s v="Habib"/>
    <x v="2"/>
    <x v="116"/>
    <s v="EAF 5266 Gent Dampoort 10062024.pdf"/>
    <x v="26"/>
    <m/>
    <s v="ja"/>
    <e v="#N/A"/>
    <e v="#N/A"/>
    <n v="3"/>
  </r>
  <r>
    <n v="37131"/>
    <x v="144"/>
    <s v="Saritag"/>
    <s v="Mehmed"/>
    <x v="1"/>
    <x v="116"/>
    <s v="EAF 5273 Wondelgem 10062024.pdf"/>
    <x v="97"/>
    <m/>
    <s v="ja"/>
    <e v="#N/A"/>
    <e v="#N/A"/>
    <n v="2"/>
  </r>
  <r>
    <n v="38808"/>
    <x v="36"/>
    <s v="Wasen"/>
    <s v="Jens"/>
    <x v="2"/>
    <x v="116"/>
    <s v="EAF 112223 Gent 10062024.pdf"/>
    <x v="2"/>
    <m/>
    <s v="ja"/>
    <e v="#N/A"/>
    <e v="#N/A"/>
    <n v="5"/>
  </r>
  <r>
    <n v="9999"/>
    <x v="0"/>
    <e v="#N/A"/>
    <e v="#N/A"/>
    <x v="0"/>
    <x v="116"/>
    <s v="EAF Tolhuislaan Gent AB 2204 10.06.2024.pdf"/>
    <x v="14"/>
    <m/>
    <s v="ja"/>
    <e v="#N/A"/>
    <e v="#N/A"/>
    <n v="59"/>
  </r>
  <r>
    <n v="29478"/>
    <x v="145"/>
    <s v="Priwall"/>
    <s v="Heike"/>
    <x v="2"/>
    <x v="117"/>
    <s v="EAF 5051 Gent 11062024.pdf"/>
    <x v="98"/>
    <m/>
    <s v="ja"/>
    <e v="#N/A"/>
    <e v="#N/A"/>
    <n v="3"/>
  </r>
  <r>
    <n v="9999"/>
    <x v="0"/>
    <e v="#N/A"/>
    <e v="#N/A"/>
    <x v="0"/>
    <x v="117"/>
    <s v="EAF 8089 Zele 11062024.pdf"/>
    <x v="99"/>
    <m/>
    <s v="ja"/>
    <e v="#N/A"/>
    <e v="#N/A"/>
    <n v="59"/>
  </r>
  <r>
    <n v="39929"/>
    <x v="65"/>
    <s v="Staneva"/>
    <s v="Mariyana"/>
    <x v="5"/>
    <x v="118"/>
    <s v="EAF 5328 Gent 12062024.pdf"/>
    <x v="2"/>
    <m/>
    <s v="ja"/>
    <e v="#N/A"/>
    <e v="#N/A"/>
    <n v="9"/>
  </r>
  <r>
    <n v="40110"/>
    <x v="121"/>
    <s v="Vanlerberghe"/>
    <s v="Sandra"/>
    <x v="5"/>
    <x v="118"/>
    <s v="EAF 5913 Wondelgembrug 12062024.pdf"/>
    <x v="75"/>
    <m/>
    <s v="ja"/>
    <e v="#N/A"/>
    <e v="#N/A"/>
    <n v="7"/>
  </r>
  <r>
    <n v="31689"/>
    <x v="146"/>
    <s v="Van Achte"/>
    <s v="Jay"/>
    <x v="8"/>
    <x v="118"/>
    <s v="EAF 12062024 5376 Gent Jay Van Achte.pdf"/>
    <x v="26"/>
    <m/>
    <s v="ja"/>
    <e v="#N/A"/>
    <e v="#N/A"/>
    <n v="1"/>
  </r>
  <r>
    <n v="40521"/>
    <x v="147"/>
    <s v="Mekdad"/>
    <s v="Ali"/>
    <x v="6"/>
    <x v="119"/>
    <s v="EAF 5764 Gent 13062024.pdf"/>
    <x v="86"/>
    <m/>
    <s v="ja"/>
    <e v="#N/A"/>
    <e v="#N/A"/>
    <n v="2"/>
  </r>
  <r>
    <n v="37542"/>
    <x v="148"/>
    <s v="De Tandt"/>
    <s v="Hans"/>
    <x v="4"/>
    <x v="119"/>
    <s v="EAF 222478 Gent Tolhuislaan 13062024 De Tandt Hans.pdf"/>
    <x v="14"/>
    <m/>
    <s v="ja"/>
    <e v="#N/A"/>
    <e v="#N/A"/>
    <n v="5"/>
  </r>
  <r>
    <n v="37542"/>
    <x v="148"/>
    <s v="De Tandt"/>
    <s v="Hans"/>
    <x v="4"/>
    <x v="119"/>
    <s v="EAF Tolhuislaan Gent AB 222478 13.06.2024.pdf"/>
    <x v="14"/>
    <m/>
    <s v="ja"/>
    <e v="#N/A"/>
    <e v="#N/A"/>
    <n v="5"/>
  </r>
  <r>
    <n v="40036"/>
    <x v="149"/>
    <s v="Karakaya"/>
    <s v="Oguz"/>
    <x v="7"/>
    <x v="120"/>
    <s v="EAF 5910 GEnt 14062024.pdf"/>
    <x v="7"/>
    <m/>
    <s v="ja"/>
    <e v="#N/A"/>
    <e v="#N/A"/>
    <n v="2"/>
  </r>
  <r>
    <n v="33986"/>
    <x v="150"/>
    <s v="Göktas"/>
    <s v="Muharrem"/>
    <x v="1"/>
    <x v="121"/>
    <s v="EAF 5040 Steendam Gent 15062024.pdf"/>
    <x v="23"/>
    <m/>
    <s v="ja"/>
    <e v="#N/A"/>
    <e v="#N/A"/>
    <n v="4"/>
  </r>
  <r>
    <n v="39660"/>
    <x v="0"/>
    <e v="#N/A"/>
    <e v="#N/A"/>
    <x v="0"/>
    <x v="121"/>
    <s v="EAF 5917 Gent Tolhuislaan 15062024 Vanden Eede Glenn.pdf"/>
    <x v="14"/>
    <m/>
    <s v="ja"/>
    <e v="#N/A"/>
    <e v="#N/A"/>
    <n v="6"/>
  </r>
  <r>
    <n v="39660"/>
    <x v="0"/>
    <e v="#N/A"/>
    <e v="#N/A"/>
    <x v="0"/>
    <x v="121"/>
    <s v="EAF Tolhuislaan Gent AB 5917 15.06.2024.pdf"/>
    <x v="14"/>
    <m/>
    <s v="ja"/>
    <e v="#N/A"/>
    <e v="#N/A"/>
    <n v="6"/>
  </r>
  <r>
    <n v="14261"/>
    <x v="151"/>
    <s v="Vandaele"/>
    <s v="Sofie"/>
    <x v="3"/>
    <x v="122"/>
    <s v="EAF 6353 Gent Brusselsesteenweg 16062024 Vandaele Sofie.pdf"/>
    <x v="56"/>
    <m/>
    <s v="ja"/>
    <e v="#N/A"/>
    <e v="#N/A"/>
    <n v="2"/>
  </r>
  <r>
    <n v="35493"/>
    <x v="152"/>
    <s v="van Turnhout"/>
    <s v="Mariëlle"/>
    <x v="6"/>
    <x v="123"/>
    <s v="EAF 6351 Gent Flanders Expo 17062024 eigen schade tram-tram Van Turnhout Mariëlle.pdf"/>
    <x v="100"/>
    <m/>
    <s v="ja"/>
    <e v="#N/A"/>
    <e v="#N/A"/>
    <n v="1"/>
  </r>
  <r>
    <n v="36635"/>
    <x v="46"/>
    <s v="Fadel"/>
    <s v="Husam"/>
    <x v="1"/>
    <x v="123"/>
    <s v="EAF 6369 Fl.Expo 17062024 aanrijding met tram 6351 Fadel Husam.pdf"/>
    <x v="100"/>
    <m/>
    <s v="ja"/>
    <e v="#N/A"/>
    <e v="#N/A"/>
    <n v="4"/>
  </r>
  <r>
    <n v="39528"/>
    <x v="136"/>
    <s v="Mihaylov"/>
    <s v="Plamen"/>
    <x v="5"/>
    <x v="124"/>
    <s v="EAF 5214 Gent 18062024.pdf"/>
    <x v="30"/>
    <m/>
    <s v="ja"/>
    <e v="#N/A"/>
    <e v="#N/A"/>
    <n v="4"/>
  </r>
  <r>
    <n v="40223"/>
    <x v="0"/>
    <e v="#N/A"/>
    <e v="#N/A"/>
    <x v="0"/>
    <x v="125"/>
    <s v="EAF 5936 Gent 14062024.pdf"/>
    <x v="101"/>
    <m/>
    <s v="ja"/>
    <e v="#N/A"/>
    <e v="#N/A"/>
    <n v="8"/>
  </r>
  <r>
    <n v="9999"/>
    <x v="0"/>
    <e v="#N/A"/>
    <e v="#N/A"/>
    <x v="0"/>
    <x v="126"/>
    <s v="EAF 21062024 5369 Gent Roien Stanikazi.pdf"/>
    <x v="8"/>
    <m/>
    <s v="ja"/>
    <e v="#N/A"/>
    <e v="#N/A"/>
    <n v="59"/>
  </r>
  <r>
    <n v="37609"/>
    <x v="120"/>
    <s v="De Groote"/>
    <s v="Dylan"/>
    <x v="1"/>
    <x v="127"/>
    <s v="EAF 5933 Gentbrugge 22062024.pdf"/>
    <x v="6"/>
    <m/>
    <s v="ja"/>
    <e v="#N/A"/>
    <e v="#N/A"/>
    <n v="2"/>
  </r>
  <r>
    <n v="9999"/>
    <x v="0"/>
    <e v="#N/A"/>
    <e v="#N/A"/>
    <x v="0"/>
    <x v="128"/>
    <s v="EAF 2207 Gent 24062024.pdf"/>
    <x v="102"/>
    <m/>
    <s v="ja"/>
    <e v="#N/A"/>
    <e v="#N/A"/>
    <n v="59"/>
  </r>
  <r>
    <n v="14665"/>
    <x v="153"/>
    <s v="De Mulder"/>
    <s v="Philip"/>
    <x v="4"/>
    <x v="129"/>
    <s v="EAF 2197 Blaisantvest Gent 25062024.pdf"/>
    <x v="79"/>
    <m/>
    <s v="ja"/>
    <e v="#N/A"/>
    <e v="#N/A"/>
    <n v="2"/>
  </r>
  <r>
    <n v="35395"/>
    <x v="154"/>
    <s v="Limbourg"/>
    <s v="Heidi"/>
    <x v="8"/>
    <x v="129"/>
    <s v="EAF 25062024 6329 Gent Heidi Limbourg.pdf"/>
    <x v="39"/>
    <m/>
    <s v="ja"/>
    <e v="#N/A"/>
    <e v="#N/A"/>
    <n v="2"/>
  </r>
  <r>
    <n v="26198"/>
    <x v="74"/>
    <s v="Justé"/>
    <s v="Steven"/>
    <x v="1"/>
    <x v="130"/>
    <s v="EAF 2200 Gent 26062024.pdf"/>
    <x v="14"/>
    <m/>
    <s v="ja"/>
    <e v="#N/A"/>
    <e v="#N/A"/>
    <n v="3"/>
  </r>
  <r>
    <n v="32951"/>
    <x v="69"/>
    <s v="De Bruyne"/>
    <s v="Sonia"/>
    <x v="6"/>
    <x v="130"/>
    <s v="EAF 5359 Snellaertplein 26062024.pdf"/>
    <x v="68"/>
    <m/>
    <s v="ja"/>
    <e v="#N/A"/>
    <e v="#N/A"/>
    <n v="6"/>
  </r>
  <r>
    <n v="22244"/>
    <x v="155"/>
    <s v="Kirdas"/>
    <s v="Süleyman"/>
    <x v="5"/>
    <x v="130"/>
    <s v="EAF 5763 Gentbrugge 26062024.pdf"/>
    <x v="32"/>
    <m/>
    <s v="ja"/>
    <e v="#N/A"/>
    <e v="#N/A"/>
    <n v="2"/>
  </r>
  <r>
    <n v="32542"/>
    <x v="156"/>
    <s v="Vanderstock"/>
    <s v="Kenny"/>
    <x v="7"/>
    <x v="131"/>
    <s v="EAF 6309 Ghuislainbrug Gent 27062024 Kenny Vanderstock.pdf"/>
    <x v="103"/>
    <m/>
    <s v="ja"/>
    <e v="#N/A"/>
    <e v="#N/A"/>
    <n v="2"/>
  </r>
  <r>
    <n v="35006"/>
    <x v="157"/>
    <s v="Van Hoe"/>
    <s v="Youri"/>
    <x v="1"/>
    <x v="132"/>
    <s v="EAF 5369 GEnt 29062024.pdf"/>
    <x v="23"/>
    <m/>
    <s v="ja"/>
    <e v="#N/A"/>
    <e v="#N/A"/>
    <n v="1"/>
  </r>
  <r>
    <n v="9999"/>
    <x v="0"/>
    <e v="#N/A"/>
    <e v="#N/A"/>
    <x v="0"/>
    <x v="133"/>
    <s v="EAF 5273 Wondelgem 01072024.pdf"/>
    <x v="16"/>
    <m/>
    <s v="ja"/>
    <e v="#N/A"/>
    <e v="#N/A"/>
    <n v="59"/>
  </r>
  <r>
    <n v="39859"/>
    <x v="13"/>
    <s v="Costers"/>
    <s v="Kelly"/>
    <x v="4"/>
    <x v="133"/>
    <s v="EAF 5764 Octrooiplein Gent 01.07.2024.pdf"/>
    <x v="26"/>
    <m/>
    <s v="ja"/>
    <e v="#N/A"/>
    <e v="#N/A"/>
    <n v="4"/>
  </r>
  <r>
    <n v="9999"/>
    <x v="0"/>
    <e v="#N/A"/>
    <e v="#N/A"/>
    <x v="0"/>
    <x v="134"/>
    <s v="EAF 5270 Afrit E17 op E40 08072024.pdf"/>
    <x v="104"/>
    <m/>
    <s v="ja"/>
    <e v="#N/A"/>
    <e v="#N/A"/>
    <n v="59"/>
  </r>
  <r>
    <n v="33986"/>
    <x v="150"/>
    <s v="Göktas"/>
    <s v="Muharrem"/>
    <x v="1"/>
    <x v="134"/>
    <s v="EAF 5361 Rabot 02072024.pdf"/>
    <x v="36"/>
    <m/>
    <s v="ja"/>
    <e v="#N/A"/>
    <e v="#N/A"/>
    <n v="4"/>
  </r>
  <r>
    <n v="38346"/>
    <x v="0"/>
    <e v="#N/A"/>
    <e v="#N/A"/>
    <x v="0"/>
    <x v="135"/>
    <s v="EAF 5047 Gent Sint-Pietersstation 04072024.pdf"/>
    <x v="8"/>
    <m/>
    <s v="ja"/>
    <e v="#N/A"/>
    <e v="#N/A"/>
    <n v="3"/>
  </r>
  <r>
    <n v="39532"/>
    <x v="158"/>
    <s v="Sahin"/>
    <s v="Orhan"/>
    <x v="5"/>
    <x v="135"/>
    <s v="EAF Gentbrugge parking 2 E-17 AB5237 26.02.204.pdf"/>
    <x v="91"/>
    <m/>
    <s v="ja"/>
    <e v="#N/A"/>
    <e v="#N/A"/>
    <n v="7"/>
  </r>
  <r>
    <n v="39529"/>
    <x v="159"/>
    <s v="Desmet"/>
    <s v="Patricia"/>
    <x v="5"/>
    <x v="136"/>
    <s v="EAF 2204 Gent 05072024.pdf"/>
    <x v="56"/>
    <m/>
    <s v="ja"/>
    <e v="#N/A"/>
    <e v="#N/A"/>
    <n v="4"/>
  </r>
  <r>
    <n v="39379"/>
    <x v="160"/>
    <s v="Bensalah"/>
    <s v="Mohammed"/>
    <x v="5"/>
    <x v="136"/>
    <s v="EAF 5771 Gent 05072024.pdf"/>
    <x v="23"/>
    <m/>
    <s v="ja"/>
    <e v="#N/A"/>
    <e v="#N/A"/>
    <n v="2"/>
  </r>
  <r>
    <n v="34044"/>
    <x v="109"/>
    <s v="Wieme"/>
    <s v="Kevin"/>
    <x v="5"/>
    <x v="136"/>
    <s v="EAF 6352 Gent 05072024.pdf"/>
    <x v="105"/>
    <m/>
    <s v="ja"/>
    <e v="#N/A"/>
    <e v="#N/A"/>
    <n v="2"/>
  </r>
  <r>
    <n v="36569"/>
    <x v="0"/>
    <e v="#N/A"/>
    <e v="#N/A"/>
    <x v="0"/>
    <x v="137"/>
    <s v="EAF 5909 Gent Land van Rodelaan 06062024 Stroobant Jonas.pdf"/>
    <x v="106"/>
    <m/>
    <s v="ja"/>
    <e v="#N/A"/>
    <e v="#N/A"/>
    <n v="6"/>
  </r>
  <r>
    <n v="9999"/>
    <x v="0"/>
    <e v="#N/A"/>
    <e v="#N/A"/>
    <x v="0"/>
    <x v="137"/>
    <s v="EAF 50406 Gent 06022024.pdf"/>
    <x v="107"/>
    <m/>
    <s v="ja"/>
    <e v="#N/A"/>
    <e v="#N/A"/>
    <n v="59"/>
  </r>
  <r>
    <n v="9999"/>
    <x v="0"/>
    <e v="#N/A"/>
    <e v="#N/A"/>
    <x v="0"/>
    <x v="138"/>
    <s v="EAF 5922 Gent 07072024.pdf"/>
    <x v="108"/>
    <m/>
    <s v="ja"/>
    <e v="#N/A"/>
    <e v="#N/A"/>
    <n v="59"/>
  </r>
  <r>
    <n v="9999"/>
    <x v="0"/>
    <e v="#N/A"/>
    <e v="#N/A"/>
    <x v="0"/>
    <x v="139"/>
    <s v="EAF 10122021 2197 Gent Roien Stanikazi.pdf"/>
    <x v="109"/>
    <m/>
    <s v="ja"/>
    <e v="#N/A"/>
    <e v="#N/A"/>
    <n v="59"/>
  </r>
  <r>
    <n v="37542"/>
    <x v="148"/>
    <s v="De Tandt"/>
    <s v="Hans"/>
    <x v="4"/>
    <x v="140"/>
    <s v="EAF 5044 Trolleyloods Gentbrugge Stelplaats 10.07.2024.pdf"/>
    <x v="70"/>
    <m/>
    <s v="ja"/>
    <e v="#N/A"/>
    <e v="#N/A"/>
    <n v="5"/>
  </r>
  <r>
    <n v="14261"/>
    <x v="151"/>
    <s v="Vandaele"/>
    <s v="Sofie"/>
    <x v="3"/>
    <x v="140"/>
    <s v="EAF 6332 Brusselsestwg 10072024.pdf"/>
    <x v="56"/>
    <m/>
    <s v="ja"/>
    <e v="#N/A"/>
    <e v="#N/A"/>
    <n v="2"/>
  </r>
  <r>
    <n v="37261"/>
    <x v="49"/>
    <s v="Van Wayenbergh"/>
    <s v="Yordi"/>
    <x v="7"/>
    <x v="140"/>
    <s v="EAF 6370 10072024.pdf"/>
    <x v="110"/>
    <m/>
    <s v="ja"/>
    <e v="#N/A"/>
    <e v="#N/A"/>
    <n v="4"/>
  </r>
  <r>
    <n v="39532"/>
    <x v="158"/>
    <s v="Sahin"/>
    <s v="Orhan"/>
    <x v="5"/>
    <x v="140"/>
    <s v="EAF Tolhuislaan 10072024.pdf"/>
    <x v="14"/>
    <m/>
    <s v="ja"/>
    <e v="#N/A"/>
    <e v="#N/A"/>
    <n v="7"/>
  </r>
  <r>
    <n v="40110"/>
    <x v="121"/>
    <s v="Vanlerberghe"/>
    <s v="Sandra"/>
    <x v="5"/>
    <x v="141"/>
    <s v="EAF 5927 Gent 11072024.pdf"/>
    <x v="7"/>
    <m/>
    <s v="ja"/>
    <e v="#N/A"/>
    <e v="#N/A"/>
    <n v="7"/>
  </r>
  <r>
    <n v="21509"/>
    <x v="61"/>
    <s v="De Craemer"/>
    <s v="Kris"/>
    <x v="7"/>
    <x v="141"/>
    <s v="EAF 6326 UZ 11072024.pdf"/>
    <x v="111"/>
    <m/>
    <s v="ja"/>
    <e v="#N/A"/>
    <e v="#N/A"/>
    <n v="6"/>
  </r>
  <r>
    <n v="37261"/>
    <x v="49"/>
    <s v="Van Wayenbergh"/>
    <s v="Yordi"/>
    <x v="7"/>
    <x v="142"/>
    <s v="EAF Gent 12012024.pdf"/>
    <x v="88"/>
    <m/>
    <s v="ja"/>
    <e v="#N/A"/>
    <e v="#N/A"/>
    <n v="4"/>
  </r>
  <r>
    <n v="21581"/>
    <x v="161"/>
    <s v="Vanderstraeten"/>
    <s v="Franky"/>
    <x v="6"/>
    <x v="143"/>
    <s v="EAF 5049 Gent 13072024.pdf"/>
    <x v="2"/>
    <m/>
    <s v="ja"/>
    <e v="#N/A"/>
    <e v="#N/A"/>
    <n v="2"/>
  </r>
  <r>
    <n v="37179"/>
    <x v="162"/>
    <s v="Bashir"/>
    <s v="Muhammad Salman"/>
    <x v="4"/>
    <x v="144"/>
    <s v="EAF 6308 kruispunt Kortrijksesteenweg-SintDenijslaan Gent 16.09.2024.pdf"/>
    <x v="2"/>
    <m/>
    <s v="ja"/>
    <e v="#N/A"/>
    <e v="#N/A"/>
    <n v="2"/>
  </r>
  <r>
    <n v="39532"/>
    <x v="158"/>
    <s v="Sahin"/>
    <s v="Orhan"/>
    <x v="5"/>
    <x v="145"/>
    <s v="EAF 5265 Gent 17072024.pdf"/>
    <x v="112"/>
    <m/>
    <s v="ja"/>
    <e v="#N/A"/>
    <e v="#N/A"/>
    <n v="7"/>
  </r>
  <r>
    <n v="39859"/>
    <x v="13"/>
    <s v="Costers"/>
    <s v="Kelly"/>
    <x v="4"/>
    <x v="145"/>
    <s v="EAF 5272 kruispunt Koning Albertlaan - Sportstraat Gent 17.07.2024.pdf"/>
    <x v="46"/>
    <m/>
    <s v="ja"/>
    <e v="#N/A"/>
    <e v="#N/A"/>
    <n v="4"/>
  </r>
  <r>
    <n v="21121"/>
    <x v="163"/>
    <s v="Laforce"/>
    <s v="Mike"/>
    <x v="1"/>
    <x v="146"/>
    <s v="EAF 6302 Gent Zuid 18072024.pdf"/>
    <x v="113"/>
    <m/>
    <s v="ja"/>
    <e v="#N/A"/>
    <e v="#N/A"/>
    <n v="2"/>
  </r>
  <r>
    <n v="29478"/>
    <x v="145"/>
    <s v="Priwall"/>
    <s v="Heike"/>
    <x v="2"/>
    <x v="146"/>
    <s v="EAF 6331 GEnt 18072024.pdf"/>
    <x v="65"/>
    <m/>
    <s v="ja"/>
    <e v="#N/A"/>
    <e v="#N/A"/>
    <n v="3"/>
  </r>
  <r>
    <n v="29179"/>
    <x v="98"/>
    <s v="Verwee"/>
    <s v="Dries"/>
    <x v="2"/>
    <x v="146"/>
    <s v="EAF 6351 Ledeberg 18072024.pdf"/>
    <x v="1"/>
    <m/>
    <s v="ja"/>
    <e v="#N/A"/>
    <e v="#N/A"/>
    <n v="6"/>
  </r>
  <r>
    <n v="12124"/>
    <x v="92"/>
    <s v="Van Vliet"/>
    <s v="Tom"/>
    <x v="8"/>
    <x v="147"/>
    <s v="EAF 6352 Ledebergplein 19072024.pdf"/>
    <x v="49"/>
    <m/>
    <s v="ja"/>
    <e v="#N/A"/>
    <e v="#N/A"/>
    <n v="5"/>
  </r>
  <r>
    <n v="9999"/>
    <x v="0"/>
    <e v="#N/A"/>
    <e v="#N/A"/>
    <x v="0"/>
    <x v="148"/>
    <s v="EAF 5933 Stelplaats Gentbrugge 20072024.pdf"/>
    <x v="32"/>
    <m/>
    <s v="ja"/>
    <e v="#N/A"/>
    <e v="#N/A"/>
    <n v="59"/>
  </r>
  <r>
    <n v="28830"/>
    <x v="164"/>
    <s v="Isiklar"/>
    <s v="Okan"/>
    <x v="5"/>
    <x v="149"/>
    <s v="EAF 5360 Gent 27032024.pdf"/>
    <x v="59"/>
    <m/>
    <s v="ja"/>
    <e v="#N/A"/>
    <e v="#N/A"/>
    <n v="1"/>
  </r>
  <r>
    <n v="39610"/>
    <x v="165"/>
    <s v="Sayin"/>
    <s v="Batuhan"/>
    <x v="4"/>
    <x v="150"/>
    <s v="EAF 5240 Nieuwebosstraat 52 Gent 24.07.2024.pdf"/>
    <x v="2"/>
    <m/>
    <s v="ja"/>
    <e v="#N/A"/>
    <e v="#N/A"/>
    <n v="1"/>
  </r>
  <r>
    <n v="37131"/>
    <x v="144"/>
    <s v="Saritag"/>
    <s v="Mehmed"/>
    <x v="1"/>
    <x v="150"/>
    <s v="EAF 5240 Sint Amandsberg 24012024.pdf"/>
    <x v="2"/>
    <m/>
    <s v="ja"/>
    <e v="#N/A"/>
    <e v="#N/A"/>
    <n v="2"/>
  </r>
  <r>
    <n v="28794"/>
    <x v="166"/>
    <s v="Van Malderghem"/>
    <s v="Niels"/>
    <x v="6"/>
    <x v="150"/>
    <s v="EAF 5367 Gent 24072024.pdf"/>
    <x v="114"/>
    <m/>
    <s v="ja"/>
    <e v="#N/A"/>
    <e v="#N/A"/>
    <n v="1"/>
  </r>
  <r>
    <n v="38808"/>
    <x v="36"/>
    <s v="Wasen"/>
    <s v="Jens"/>
    <x v="2"/>
    <x v="151"/>
    <s v="EAF 2207 Gent 25072024.pdf"/>
    <x v="2"/>
    <m/>
    <s v="ja"/>
    <e v="#N/A"/>
    <e v="#N/A"/>
    <n v="5"/>
  </r>
  <r>
    <n v="40478"/>
    <x v="167"/>
    <s v="Hashimi"/>
    <s v="Ali Mir"/>
    <x v="4"/>
    <x v="151"/>
    <s v="EAF 5910 Damport Octrooiplein 25.07.2024.pdf"/>
    <x v="26"/>
    <m/>
    <s v="ja"/>
    <e v="#N/A"/>
    <e v="#N/A"/>
    <n v="4"/>
  </r>
  <r>
    <n v="32387"/>
    <x v="168"/>
    <s v="Meersman"/>
    <s v="Herman"/>
    <x v="8"/>
    <x v="151"/>
    <s v="EAF 6332 Gent 25072024.pdf"/>
    <x v="2"/>
    <m/>
    <s v="ja"/>
    <e v="#N/A"/>
    <e v="#N/A"/>
    <n v="4"/>
  </r>
  <r>
    <n v="37950"/>
    <x v="124"/>
    <s v="De Naegel"/>
    <s v="Bruno"/>
    <x v="7"/>
    <x v="152"/>
    <s v="EAF 5053 Gent 27072024.pdf"/>
    <x v="115"/>
    <m/>
    <s v="ja"/>
    <e v="#N/A"/>
    <e v="#N/A"/>
    <n v="3"/>
  </r>
  <r>
    <n v="26198"/>
    <x v="74"/>
    <s v="Justé"/>
    <s v="Steven"/>
    <x v="1"/>
    <x v="153"/>
    <s v="EAF 2208 Gent 29072024.pdf"/>
    <x v="3"/>
    <m/>
    <s v="ja"/>
    <e v="#N/A"/>
    <e v="#N/A"/>
    <n v="3"/>
  </r>
  <r>
    <n v="36337"/>
    <x v="169"/>
    <s v="Desmadryl"/>
    <s v="Daniel"/>
    <x v="1"/>
    <x v="153"/>
    <s v="EAF 6359 Gent 29072024.pdf"/>
    <x v="2"/>
    <m/>
    <s v="ja"/>
    <e v="#N/A"/>
    <e v="#N/A"/>
    <n v="1"/>
  </r>
  <r>
    <n v="20375"/>
    <x v="170"/>
    <s v="Verlaeckt"/>
    <s v="Lincey"/>
    <x v="7"/>
    <x v="153"/>
    <s v="EAF 6368 Gent Zuid 29072024.pdf"/>
    <x v="113"/>
    <m/>
    <s v="ja"/>
    <e v="#N/A"/>
    <e v="#N/A"/>
    <n v="1"/>
  </r>
  <r>
    <n v="13020"/>
    <x v="0"/>
    <e v="#N/A"/>
    <e v="#N/A"/>
    <x v="0"/>
    <x v="153"/>
    <s v="EAF 6370 Gentbrugge 29072024.pdf"/>
    <x v="56"/>
    <m/>
    <s v="ja"/>
    <e v="#N/A"/>
    <e v="#N/A"/>
    <n v="2"/>
  </r>
  <r>
    <n v="40403"/>
    <x v="171"/>
    <s v="Prové"/>
    <s v="Michaël"/>
    <x v="7"/>
    <x v="154"/>
    <s v="EAF 5930 Gent 30072024.pdf"/>
    <x v="24"/>
    <m/>
    <s v="ja"/>
    <e v="#N/A"/>
    <e v="#N/A"/>
    <n v="3"/>
  </r>
  <r>
    <n v="26137"/>
    <x v="172"/>
    <s v="Hublau"/>
    <s v="Roland"/>
    <x v="8"/>
    <x v="154"/>
    <s v="EAF 6373 Gent 30072024.pdf"/>
    <x v="56"/>
    <m/>
    <s v="ja"/>
    <e v="#N/A"/>
    <e v="#N/A"/>
    <n v="4"/>
  </r>
  <r>
    <n v="36428"/>
    <x v="173"/>
    <s v="Abdi Shaiye"/>
    <s v="Rashid"/>
    <x v="6"/>
    <x v="155"/>
    <s v="EAF 5263 stelplaats E17 01082024 Abdi Shaiye Rashid.pdf"/>
    <x v="2"/>
    <m/>
    <s v="ja"/>
    <e v="#N/A"/>
    <e v="#N/A"/>
    <n v="6"/>
  </r>
  <r>
    <n v="9999"/>
    <x v="0"/>
    <e v="#N/A"/>
    <e v="#N/A"/>
    <x v="0"/>
    <x v="156"/>
    <s v="EAF 5260 Gentbrugge 02082024.pdf"/>
    <x v="32"/>
    <m/>
    <s v="ja"/>
    <e v="#N/A"/>
    <e v="#N/A"/>
    <n v="59"/>
  </r>
  <r>
    <n v="9999"/>
    <x v="0"/>
    <e v="#N/A"/>
    <e v="#N/A"/>
    <x v="0"/>
    <x v="156"/>
    <s v="EAF 5924 Dampoort Gent 02082024.pdf"/>
    <x v="26"/>
    <m/>
    <s v="ja"/>
    <e v="#N/A"/>
    <e v="#N/A"/>
    <n v="59"/>
  </r>
  <r>
    <n v="36512"/>
    <x v="174"/>
    <s v="Van Herreweghe"/>
    <s v="Branco"/>
    <x v="8"/>
    <x v="157"/>
    <s v="EAF 2202 Gent 03082024 36512.pdf"/>
    <x v="114"/>
    <m/>
    <s v="ja"/>
    <e v="#N/A"/>
    <e v="#N/A"/>
    <n v="3"/>
  </r>
  <r>
    <n v="39929"/>
    <x v="65"/>
    <s v="Staneva"/>
    <s v="Mariyana"/>
    <x v="5"/>
    <x v="157"/>
    <s v="EAF 5929 Muidepoort Gent 03082024.pdf"/>
    <x v="86"/>
    <m/>
    <s v="ja"/>
    <e v="#N/A"/>
    <e v="#N/A"/>
    <n v="9"/>
  </r>
  <r>
    <n v="37662"/>
    <x v="175"/>
    <s v="Van den Meerssche"/>
    <s v="Steven"/>
    <x v="4"/>
    <x v="158"/>
    <s v="EAF 5239 Brusselsesteenweg Gentbrugge 04.08.2024.pdf"/>
    <x v="56"/>
    <m/>
    <s v="ja"/>
    <e v="#N/A"/>
    <e v="#N/A"/>
    <n v="9"/>
  </r>
  <r>
    <n v="39889"/>
    <x v="176"/>
    <s v="Stanikazi"/>
    <s v="Roien Sadder"/>
    <x v="8"/>
    <x v="159"/>
    <s v="EAF 05082024 5929 Gent Roien Stanikazi.pdf"/>
    <x v="2"/>
    <m/>
    <s v="ja"/>
    <e v="#N/A"/>
    <e v="#N/A"/>
    <n v="1"/>
  </r>
  <r>
    <n v="8016"/>
    <x v="177"/>
    <s v="Vinck"/>
    <s v="Roland"/>
    <x v="7"/>
    <x v="160"/>
    <s v="EAF 6309 Brusselsesteenweg 08082024.pdf"/>
    <x v="56"/>
    <m/>
    <s v="ja"/>
    <e v="#N/A"/>
    <e v="#N/A"/>
    <n v="2"/>
  </r>
  <r>
    <n v="17931"/>
    <x v="138"/>
    <s v="Idrisi"/>
    <s v="Hasana"/>
    <x v="2"/>
    <x v="161"/>
    <s v="EAF 6323 Sint-pietersaalststraat 090824 Idrisi Hasana.pdf"/>
    <x v="39"/>
    <m/>
    <s v="ja"/>
    <e v="#N/A"/>
    <e v="#N/A"/>
    <n v="2"/>
  </r>
  <r>
    <n v="29179"/>
    <x v="98"/>
    <s v="Verwee"/>
    <s v="Dries"/>
    <x v="2"/>
    <x v="162"/>
    <s v="EAF 5053 5272 Trollyloods Gentbrugge 11062024.pdf"/>
    <x v="70"/>
    <m/>
    <s v="ja"/>
    <e v="#N/A"/>
    <e v="#N/A"/>
    <n v="6"/>
  </r>
  <r>
    <n v="31165"/>
    <x v="178"/>
    <s v="Govaerts"/>
    <s v="Sandro"/>
    <x v="6"/>
    <x v="163"/>
    <s v="EAF 2207 Dampoort 14082024.pdf"/>
    <x v="26"/>
    <m/>
    <s v="ja"/>
    <e v="#N/A"/>
    <e v="#N/A"/>
    <n v="2"/>
  </r>
  <r>
    <n v="9999"/>
    <x v="0"/>
    <e v="#N/A"/>
    <e v="#N/A"/>
    <x v="0"/>
    <x v="163"/>
    <s v="EAF 5929 Muidebrug Gent 14.08.2024.pdf"/>
    <x v="116"/>
    <m/>
    <s v="ja"/>
    <e v="#N/A"/>
    <e v="#N/A"/>
    <n v="59"/>
  </r>
  <r>
    <n v="8016"/>
    <x v="177"/>
    <s v="Vinck"/>
    <s v="Roland"/>
    <x v="7"/>
    <x v="163"/>
    <s v="EAF 6333 Voormuid Gent 14082024.pdf"/>
    <x v="117"/>
    <m/>
    <s v="ja"/>
    <e v="#N/A"/>
    <e v="#N/A"/>
    <n v="2"/>
  </r>
  <r>
    <n v="14665"/>
    <x v="153"/>
    <s v="De Mulder"/>
    <s v="Philip"/>
    <x v="4"/>
    <x v="164"/>
    <s v="EAF 2196 Brusselsesteenweg Gentbrugge 19082024.pdf"/>
    <x v="56"/>
    <m/>
    <s v="ja"/>
    <e v="#N/A"/>
    <e v="#N/A"/>
    <n v="2"/>
  </r>
  <r>
    <n v="9999"/>
    <x v="0"/>
    <e v="#N/A"/>
    <e v="#N/A"/>
    <x v="0"/>
    <x v="164"/>
    <s v="EAF 2208 stelplaats E-17 19.08.2024.pdf"/>
    <x v="0"/>
    <m/>
    <s v="ja"/>
    <e v="#N/A"/>
    <e v="#N/A"/>
    <n v="59"/>
  </r>
  <r>
    <n v="33965"/>
    <x v="0"/>
    <e v="#N/A"/>
    <e v="#N/A"/>
    <x v="0"/>
    <x v="165"/>
    <s v="EAF 6369 GEnt 20082024.pdf"/>
    <x v="17"/>
    <m/>
    <s v="ja"/>
    <e v="#N/A"/>
    <e v="#N/A"/>
    <n v="10"/>
  </r>
  <r>
    <n v="31231"/>
    <x v="82"/>
    <s v="Colaes"/>
    <s v="Dylan"/>
    <x v="3"/>
    <x v="166"/>
    <s v="EAF 5917 Steendam Gent 21082024.pdf"/>
    <x v="23"/>
    <m/>
    <s v="ja"/>
    <e v="#N/A"/>
    <e v="#N/A"/>
    <n v="3"/>
  </r>
  <r>
    <n v="37662"/>
    <x v="175"/>
    <s v="Van den Meerssche"/>
    <s v="Steven"/>
    <x v="4"/>
    <x v="167"/>
    <s v="EAF 5376 kruispunt Nieuwe Wandeling-Einde Were Gent 22.08.2024.pdf"/>
    <x v="59"/>
    <m/>
    <s v="ja"/>
    <e v="#N/A"/>
    <e v="#N/A"/>
    <n v="9"/>
  </r>
  <r>
    <n v="19917"/>
    <x v="11"/>
    <s v="Vandevyvere"/>
    <s v="Frank"/>
    <x v="4"/>
    <x v="168"/>
    <s v="EAF 5042 Kerkstraat Gentbrugge 24.08.2024 1-XWU-311.pdf"/>
    <x v="118"/>
    <m/>
    <s v="ja"/>
    <e v="#N/A"/>
    <e v="#N/A"/>
    <n v="10"/>
  </r>
  <r>
    <n v="30389"/>
    <x v="0"/>
    <e v="#N/A"/>
    <e v="#N/A"/>
    <x v="0"/>
    <x v="168"/>
    <s v="EAF 6336 Keizerpoort Gent 24082024 de Jonge Matthew.pdf"/>
    <x v="66"/>
    <m/>
    <s v="ja"/>
    <e v="#N/A"/>
    <e v="#N/A"/>
    <n v="1"/>
  </r>
  <r>
    <n v="40521"/>
    <x v="147"/>
    <s v="Mekdad"/>
    <s v="Ali"/>
    <x v="6"/>
    <x v="169"/>
    <s v="EAF 2546 wondelgemstation 26082024 Mekdad Ali.pdf"/>
    <x v="16"/>
    <m/>
    <s v="ja"/>
    <e v="#N/A"/>
    <e v="#N/A"/>
    <n v="2"/>
  </r>
  <r>
    <n v="9999"/>
    <x v="0"/>
    <e v="#N/A"/>
    <e v="#N/A"/>
    <x v="0"/>
    <x v="169"/>
    <s v="EAF 6312 Zwijnaardsesteenweg 26082024.pdf"/>
    <x v="12"/>
    <m/>
    <s v="ja"/>
    <e v="#N/A"/>
    <e v="#N/A"/>
    <n v="59"/>
  </r>
  <r>
    <n v="40744"/>
    <x v="179"/>
    <s v="Gözüküçük"/>
    <s v="Ugur"/>
    <x v="4"/>
    <x v="170"/>
    <s v="EAF 5931 Gent 29082024.pdf"/>
    <x v="86"/>
    <m/>
    <s v="ja"/>
    <e v="#N/A"/>
    <e v="#N/A"/>
    <n v="6"/>
  </r>
  <r>
    <n v="9999"/>
    <x v="0"/>
    <e v="#N/A"/>
    <e v="#N/A"/>
    <x v="0"/>
    <x v="171"/>
    <s v="EAF 5915 Molenstraat 30082024.pdf"/>
    <x v="119"/>
    <m/>
    <s v="ja"/>
    <e v="#N/A"/>
    <e v="#N/A"/>
    <n v="59"/>
  </r>
  <r>
    <n v="39858"/>
    <x v="180"/>
    <s v="Jacobs"/>
    <s v="Elos"/>
    <x v="2"/>
    <x v="172"/>
    <s v="EAF 5044 Oostakker 31082024.pdf"/>
    <x v="21"/>
    <m/>
    <s v="ja"/>
    <e v="#N/A"/>
    <e v="#N/A"/>
    <n v="2"/>
  </r>
  <r>
    <n v="31668"/>
    <x v="19"/>
    <s v="Weemhof"/>
    <s v="Maurice"/>
    <x v="7"/>
    <x v="172"/>
    <s v="EAF 5925 Gent 31082024.pdf"/>
    <x v="2"/>
    <m/>
    <s v="ja"/>
    <e v="#N/A"/>
    <e v="#N/A"/>
    <n v="5"/>
  </r>
  <r>
    <n v="37543"/>
    <x v="24"/>
    <s v="Öztürk"/>
    <s v="Bilgehan"/>
    <x v="1"/>
    <x v="173"/>
    <s v="EAF 2195 Gent 01092024.pdf"/>
    <x v="80"/>
    <m/>
    <s v="ja"/>
    <e v="#N/A"/>
    <e v="#N/A"/>
    <n v="6"/>
  </r>
  <r>
    <n v="33965"/>
    <x v="0"/>
    <e v="#N/A"/>
    <e v="#N/A"/>
    <x v="0"/>
    <x v="173"/>
    <s v="EAF 6363 Gent 01092024.pdf"/>
    <x v="120"/>
    <m/>
    <s v="ja"/>
    <e v="#N/A"/>
    <e v="#N/A"/>
    <n v="10"/>
  </r>
  <r>
    <n v="31360"/>
    <x v="181"/>
    <s v="Simsek"/>
    <s v="Fatih"/>
    <x v="7"/>
    <x v="174"/>
    <s v="EAF 4666 Ottergemsesteenweg Gent 03092024.pdf"/>
    <x v="121"/>
    <m/>
    <s v="ja"/>
    <e v="#N/A"/>
    <e v="#N/A"/>
    <n v="3"/>
  </r>
  <r>
    <n v="8394"/>
    <x v="70"/>
    <s v="Smet"/>
    <s v="Antoon"/>
    <x v="6"/>
    <x v="174"/>
    <s v="EAF 5052 Gent 03092024.pdf"/>
    <x v="2"/>
    <m/>
    <s v="ja"/>
    <e v="#N/A"/>
    <e v="#N/A"/>
    <n v="4"/>
  </r>
  <r>
    <n v="38633"/>
    <x v="182"/>
    <s v="Stomphorst"/>
    <s v="Mattanja"/>
    <x v="2"/>
    <x v="174"/>
    <s v="EAF 5054 De Sterre Gent 03092024 Mattanja Stomphorst.pdf"/>
    <x v="122"/>
    <m/>
    <s v="ja"/>
    <e v="#N/A"/>
    <e v="#N/A"/>
    <n v="3"/>
  </r>
  <r>
    <n v="23790"/>
    <x v="183"/>
    <s v="Adiyil"/>
    <s v="Attila"/>
    <x v="7"/>
    <x v="174"/>
    <s v="EAF 5240 Gent 03092024 Atilla Ayidil.pdf"/>
    <x v="2"/>
    <m/>
    <s v="ja"/>
    <e v="#N/A"/>
    <e v="#N/A"/>
    <n v="1"/>
  </r>
  <r>
    <n v="39358"/>
    <x v="40"/>
    <s v="Weeks Aracena"/>
    <s v="Jimmy Alexander"/>
    <x v="5"/>
    <x v="174"/>
    <s v="EAF 5328 Drieselstraat Gent 03.09.2024.pdf"/>
    <x v="123"/>
    <m/>
    <s v="ja"/>
    <e v="#N/A"/>
    <e v="#N/A"/>
    <n v="5"/>
  </r>
  <r>
    <n v="40744"/>
    <x v="179"/>
    <s v="Gözüküçük"/>
    <s v="Ugur"/>
    <x v="4"/>
    <x v="174"/>
    <s v="EAF 5766 Lammerstraat 03092024.pdf"/>
    <x v="124"/>
    <m/>
    <s v="ja"/>
    <e v="#N/A"/>
    <e v="#N/A"/>
    <n v="6"/>
  </r>
  <r>
    <n v="9999"/>
    <x v="0"/>
    <e v="#N/A"/>
    <e v="#N/A"/>
    <x v="0"/>
    <x v="174"/>
    <s v="EAF 5924 Gent 03092024.pdf"/>
    <x v="2"/>
    <m/>
    <s v="ja"/>
    <e v="#N/A"/>
    <e v="#N/A"/>
    <n v="59"/>
  </r>
  <r>
    <n v="29179"/>
    <x v="98"/>
    <s v="Verwee"/>
    <s v="Dries"/>
    <x v="2"/>
    <x v="175"/>
    <s v="EAF 5327 Ledeberg 04092024.pdf"/>
    <x v="49"/>
    <m/>
    <s v="ja"/>
    <e v="#N/A"/>
    <e v="#N/A"/>
    <n v="6"/>
  </r>
  <r>
    <n v="26331"/>
    <x v="80"/>
    <s v="Van Semmertier"/>
    <s v="Pascal"/>
    <x v="4"/>
    <x v="176"/>
    <s v="EAF 5261 Groeningewijk Gentbrugge 05092024.pdf"/>
    <x v="109"/>
    <m/>
    <s v="ja"/>
    <e v="#N/A"/>
    <e v="#N/A"/>
    <n v="3"/>
  </r>
  <r>
    <n v="24472"/>
    <x v="184"/>
    <s v="Gök"/>
    <s v="Davut"/>
    <x v="7"/>
    <x v="176"/>
    <s v="EAF 5264 Groeningewijk 05092024 Gök Davut -2.jpg"/>
    <x v="109"/>
    <m/>
    <s v="ja"/>
    <e v="#N/A"/>
    <e v="#N/A"/>
    <n v="1"/>
  </r>
  <r>
    <n v="37662"/>
    <x v="175"/>
    <s v="Van den Meerssche"/>
    <s v="Steven"/>
    <x v="4"/>
    <x v="176"/>
    <s v="EAF 5909 Gentbrugge 05092024.pdf"/>
    <x v="6"/>
    <m/>
    <s v="ja"/>
    <e v="#N/A"/>
    <e v="#N/A"/>
    <n v="9"/>
  </r>
  <r>
    <n v="39929"/>
    <x v="65"/>
    <s v="Staneva"/>
    <s v="Mariyana"/>
    <x v="5"/>
    <x v="177"/>
    <s v="EAF 5233 Drongen 06092024.pdf"/>
    <x v="15"/>
    <m/>
    <s v="ja"/>
    <e v="#N/A"/>
    <e v="#N/A"/>
    <n v="9"/>
  </r>
  <r>
    <n v="40266"/>
    <x v="185"/>
    <s v="Taibi"/>
    <s v="Yassine"/>
    <x v="5"/>
    <x v="177"/>
    <s v="EAF 5921 Gent 06092024.pdf"/>
    <x v="125"/>
    <m/>
    <s v="ja"/>
    <e v="#N/A"/>
    <e v="#N/A"/>
    <n v="3"/>
  </r>
  <r>
    <n v="12124"/>
    <x v="92"/>
    <s v="Van Vliet"/>
    <s v="Tom"/>
    <x v="8"/>
    <x v="177"/>
    <s v="EAF 6329 Gent 06092024.pdf"/>
    <x v="126"/>
    <m/>
    <s v="ja"/>
    <e v="#N/A"/>
    <e v="#N/A"/>
    <n v="5"/>
  </r>
  <r>
    <n v="34328"/>
    <x v="1"/>
    <s v="Kerremans"/>
    <s v="Jürgen"/>
    <x v="1"/>
    <x v="177"/>
    <s v="EAF Gent 06092024.pdf"/>
    <x v="2"/>
    <m/>
    <s v="ja"/>
    <e v="#N/A"/>
    <e v="#N/A"/>
    <n v="4"/>
  </r>
  <r>
    <n v="9999"/>
    <x v="0"/>
    <e v="#N/A"/>
    <e v="#N/A"/>
    <x v="0"/>
    <x v="178"/>
    <s v="EAF 5917 Wondelgem station 07.09.2024.pdf"/>
    <x v="55"/>
    <m/>
    <s v="ja"/>
    <e v="#N/A"/>
    <e v="#N/A"/>
    <n v="59"/>
  </r>
  <r>
    <n v="37496"/>
    <x v="186"/>
    <s v="Oosterlinck"/>
    <s v="Willy"/>
    <x v="7"/>
    <x v="179"/>
    <s v="EAF 5046 Sint-Bernadettestraat 24092024 Willy Oosterlinck.pdf"/>
    <x v="34"/>
    <m/>
    <s v="ja"/>
    <e v="#N/A"/>
    <e v="#N/A"/>
    <n v="4"/>
  </r>
  <r>
    <n v="32168"/>
    <x v="187"/>
    <s v="Vranken"/>
    <s v="Zulkifly"/>
    <x v="1"/>
    <x v="179"/>
    <s v="EAF 5273 Gentbrugge 08092024.pdf"/>
    <x v="56"/>
    <m/>
    <s v="ja"/>
    <e v="#N/A"/>
    <e v="#N/A"/>
    <n v="1"/>
  </r>
  <r>
    <n v="39651"/>
    <x v="188"/>
    <s v="Kallenbach"/>
    <s v="Sunny"/>
    <x v="1"/>
    <x v="180"/>
    <s v="EAF 5369 Gent 09092024.pdf"/>
    <x v="2"/>
    <m/>
    <s v="ja"/>
    <e v="#N/A"/>
    <e v="#N/A"/>
    <n v="4"/>
  </r>
  <r>
    <n v="35450"/>
    <x v="107"/>
    <s v="Roos"/>
    <s v="Hugo"/>
    <x v="2"/>
    <x v="181"/>
    <s v="EAF 5324 Land van Waaslaan-Pilorijnstraat 10092024 Roos Hugo.pdf"/>
    <x v="53"/>
    <m/>
    <s v="ja"/>
    <e v="#N/A"/>
    <e v="#N/A"/>
    <n v="4"/>
  </r>
  <r>
    <n v="35588"/>
    <x v="189"/>
    <s v="Smesman"/>
    <s v="Glenn"/>
    <x v="6"/>
    <x v="181"/>
    <s v="EAF 6309 Gent Rabotstraat 10092024 Glenn Smesman.pdf"/>
    <x v="83"/>
    <m/>
    <s v="ja"/>
    <e v="#N/A"/>
    <e v="#N/A"/>
    <n v="3"/>
  </r>
  <r>
    <n v="35434"/>
    <x v="190"/>
    <s v="Kaya"/>
    <s v="Aytekin"/>
    <x v="7"/>
    <x v="181"/>
    <s v="EAF 6334 Gent 10092024.pdf"/>
    <x v="2"/>
    <m/>
    <s v="ja"/>
    <e v="#N/A"/>
    <e v="#N/A"/>
    <n v="1"/>
  </r>
  <r>
    <n v="38938"/>
    <x v="28"/>
    <s v="Sedighi"/>
    <s v="Hamid"/>
    <x v="6"/>
    <x v="182"/>
    <s v="EAF 5913 Gent stelplaats 11092024 Sedighi Hamid.pdf"/>
    <x v="32"/>
    <m/>
    <s v="ja"/>
    <e v="#N/A"/>
    <e v="#N/A"/>
    <n v="7"/>
  </r>
  <r>
    <n v="40110"/>
    <x v="121"/>
    <s v="Vanlerberghe"/>
    <s v="Sandra"/>
    <x v="5"/>
    <x v="183"/>
    <s v="EAF 5367 Gent Hoogstraat 13092024 Vanlerberghe Sandra (1).pdf"/>
    <x v="11"/>
    <m/>
    <s v="ja"/>
    <e v="#N/A"/>
    <e v="#N/A"/>
    <n v="7"/>
  </r>
  <r>
    <n v="39929"/>
    <x v="65"/>
    <s v="Staneva"/>
    <s v="Mariyana"/>
    <x v="5"/>
    <x v="184"/>
    <s v="EAF 5239 Gent 39929 Staneva mariyana 14092024.pdf"/>
    <x v="73"/>
    <m/>
    <s v="ja"/>
    <e v="#N/A"/>
    <e v="#N/A"/>
    <n v="9"/>
  </r>
  <r>
    <n v="37509"/>
    <x v="191"/>
    <s v="Abdulkader"/>
    <s v="Sabah"/>
    <x v="4"/>
    <x v="184"/>
    <s v="EAF 5324 Martelaarslaan Gent 14.09.2024.pdf"/>
    <x v="65"/>
    <m/>
    <s v="ja"/>
    <e v="#N/A"/>
    <e v="#N/A"/>
    <n v="3"/>
  </r>
  <r>
    <n v="39183"/>
    <x v="6"/>
    <s v="Al Masri"/>
    <s v="Anas"/>
    <x v="5"/>
    <x v="184"/>
    <s v="EAF 5933 Gontrodestraat Melle 14092024.pdf"/>
    <x v="127"/>
    <m/>
    <s v="ja"/>
    <e v="#N/A"/>
    <e v="#N/A"/>
    <n v="5"/>
  </r>
  <r>
    <n v="11236"/>
    <x v="59"/>
    <s v="Baert"/>
    <s v="Freddy"/>
    <x v="4"/>
    <x v="185"/>
    <s v="EAF 5240 Nieuwe Wandeling Gent 15092024.pdf"/>
    <x v="59"/>
    <m/>
    <s v="ja"/>
    <e v="#N/A"/>
    <e v="#N/A"/>
    <n v="4"/>
  </r>
  <r>
    <n v="31635"/>
    <x v="192"/>
    <s v="Vaeyens"/>
    <s v="Midas"/>
    <x v="3"/>
    <x v="186"/>
    <s v="EAF 5042 Zwijnaarde Technologiepark 16092024 Vaeyens Midas.pdf"/>
    <x v="22"/>
    <m/>
    <s v="ja"/>
    <e v="#N/A"/>
    <e v="#N/A"/>
    <n v="2"/>
  </r>
  <r>
    <n v="39728"/>
    <x v="193"/>
    <s v="Nohut"/>
    <s v="Baki"/>
    <x v="6"/>
    <x v="186"/>
    <s v="EAF 5259 Drongensesteenweg 16092024 Nohut Baki.pdf"/>
    <x v="47"/>
    <m/>
    <s v="ja"/>
    <e v="#N/A"/>
    <e v="#N/A"/>
    <n v="2"/>
  </r>
  <r>
    <n v="9999"/>
    <x v="0"/>
    <e v="#N/A"/>
    <e v="#N/A"/>
    <x v="0"/>
    <x v="186"/>
    <s v="EAF 5267 Gentbrugge Groeningewijk 16092024 Legon Frederik.pdf"/>
    <x v="109"/>
    <m/>
    <s v="ja"/>
    <e v="#N/A"/>
    <e v="#N/A"/>
    <n v="59"/>
  </r>
  <r>
    <n v="27635"/>
    <x v="194"/>
    <s v="Petrovic"/>
    <s v="Damir"/>
    <x v="1"/>
    <x v="186"/>
    <s v="EAF 6371 Gent 16092024.pdf"/>
    <x v="56"/>
    <m/>
    <s v="ja"/>
    <e v="#N/A"/>
    <e v="#N/A"/>
    <n v="1"/>
  </r>
  <r>
    <n v="36559"/>
    <x v="195"/>
    <s v="De Staercke"/>
    <s v="Sandra"/>
    <x v="1"/>
    <x v="187"/>
    <s v="EAF 5765 Gent 17092024.pdf"/>
    <x v="2"/>
    <m/>
    <s v="ja"/>
    <e v="#N/A"/>
    <e v="#N/A"/>
    <n v="2"/>
  </r>
  <r>
    <n v="9999"/>
    <x v="0"/>
    <e v="#N/A"/>
    <e v="#N/A"/>
    <x v="0"/>
    <x v="188"/>
    <s v="EAF 2207 Oostakker Dorp 19092024.pdf"/>
    <x v="21"/>
    <m/>
    <s v="ja"/>
    <e v="#N/A"/>
    <e v="#N/A"/>
    <n v="59"/>
  </r>
  <r>
    <n v="40486"/>
    <x v="196"/>
    <s v="De Souza"/>
    <s v="Marcos Eduardo"/>
    <x v="5"/>
    <x v="189"/>
    <s v="EAF 5768 Gent 21092024.pdf"/>
    <x v="128"/>
    <m/>
    <s v="ja"/>
    <e v="#N/A"/>
    <e v="#N/A"/>
    <n v="1"/>
  </r>
  <r>
    <n v="34328"/>
    <x v="1"/>
    <s v="Kerremans"/>
    <s v="Jürgen"/>
    <x v="1"/>
    <x v="190"/>
    <s v="EAF 6370 Gent 22092024.pdf"/>
    <x v="12"/>
    <m/>
    <s v="ja"/>
    <e v="#N/A"/>
    <e v="#N/A"/>
    <n v="4"/>
  </r>
  <r>
    <n v="39581"/>
    <x v="2"/>
    <s v="Vandenhaute"/>
    <s v="Linus"/>
    <x v="2"/>
    <x v="191"/>
    <s v="EAF 2198 Gent 23092024 Vandenhaute Linus.pdf"/>
    <x v="2"/>
    <m/>
    <s v="ja"/>
    <e v="#N/A"/>
    <e v="#N/A"/>
    <n v="5"/>
  </r>
  <r>
    <n v="26137"/>
    <x v="172"/>
    <s v="Hublau"/>
    <s v="Roland"/>
    <x v="8"/>
    <x v="191"/>
    <s v="EAF 6319 Gent 23092024.pdf"/>
    <x v="2"/>
    <m/>
    <s v="ja"/>
    <e v="#N/A"/>
    <e v="#N/A"/>
    <n v="4"/>
  </r>
  <r>
    <n v="36624"/>
    <x v="141"/>
    <s v="De Meulenaere"/>
    <s v="Kurt"/>
    <x v="7"/>
    <x v="192"/>
    <s v="EAF 5052 Voskenslaan 24092024.pdf"/>
    <x v="29"/>
    <m/>
    <s v="ja"/>
    <e v="#N/A"/>
    <e v="#N/A"/>
    <n v="3"/>
  </r>
  <r>
    <n v="36428"/>
    <x v="173"/>
    <s v="Abdi Shaiye"/>
    <s v="Rashid"/>
    <x v="6"/>
    <x v="192"/>
    <s v="EAF 6358 Gent 24092024.pdf"/>
    <x v="46"/>
    <m/>
    <s v="ja"/>
    <e v="#N/A"/>
    <e v="#N/A"/>
    <n v="6"/>
  </r>
  <r>
    <n v="40478"/>
    <x v="167"/>
    <s v="Hashimi"/>
    <s v="Ali Mir"/>
    <x v="4"/>
    <x v="193"/>
    <s v="EAF 5910 Meulesteedsesteenweg 25092024.pdf"/>
    <x v="67"/>
    <m/>
    <s v="ja"/>
    <e v="#N/A"/>
    <e v="#N/A"/>
    <n v="4"/>
  </r>
  <r>
    <n v="38346"/>
    <x v="0"/>
    <e v="#N/A"/>
    <e v="#N/A"/>
    <x v="0"/>
    <x v="193"/>
    <s v="EAF 5936 Melle 25092024.pdf"/>
    <x v="129"/>
    <m/>
    <s v="ja"/>
    <e v="#N/A"/>
    <e v="#N/A"/>
    <n v="3"/>
  </r>
  <r>
    <n v="9999"/>
    <x v="0"/>
    <e v="#N/A"/>
    <e v="#N/A"/>
    <x v="0"/>
    <x v="194"/>
    <s v="EAF 2205 Gent 26092024 Hesters Sylvie.pdf"/>
    <x v="2"/>
    <m/>
    <s v="ja"/>
    <e v="#N/A"/>
    <e v="#N/A"/>
    <n v="59"/>
  </r>
  <r>
    <n v="40006"/>
    <x v="197"/>
    <s v="De Ridder"/>
    <s v="Benjamin"/>
    <x v="5"/>
    <x v="195"/>
    <s v="EAF 5272 Land Van Rodelaan De Ridder Benjamin 21092024.pdf"/>
    <x v="106"/>
    <m/>
    <s v="ja"/>
    <e v="#N/A"/>
    <e v="#N/A"/>
    <n v="1"/>
  </r>
  <r>
    <n v="35055"/>
    <x v="47"/>
    <s v="Kocabas"/>
    <s v="Abdülkadir"/>
    <x v="3"/>
    <x v="195"/>
    <s v="EAF 6339 Ledebergstraat 27092024.pdf"/>
    <x v="63"/>
    <m/>
    <s v="ja"/>
    <e v="#N/A"/>
    <e v="#N/A"/>
    <n v="2"/>
  </r>
  <r>
    <n v="8391"/>
    <x v="198"/>
    <s v="Lucq"/>
    <s v="Joeri"/>
    <x v="3"/>
    <x v="196"/>
    <s v="EAF 5239 Dampoort Gent 28092024.pdf"/>
    <x v="26"/>
    <m/>
    <s v="ja"/>
    <e v="#N/A"/>
    <e v="#N/A"/>
    <n v="1"/>
  </r>
  <r>
    <n v="40761"/>
    <x v="199"/>
    <s v="De Vijlder"/>
    <s v="Wim"/>
    <x v="1"/>
    <x v="196"/>
    <s v="EAF 5933 Gent 28092024.pdf"/>
    <x v="2"/>
    <m/>
    <s v="ja"/>
    <e v="#N/A"/>
    <e v="#N/A"/>
    <n v="1"/>
  </r>
  <r>
    <n v="20404"/>
    <x v="22"/>
    <s v="Vranken"/>
    <s v="Kenneth"/>
    <x v="5"/>
    <x v="197"/>
    <s v="EAF 5914 Melle 02102024.pdf"/>
    <x v="130"/>
    <m/>
    <s v="ja"/>
    <e v="#N/A"/>
    <e v="#N/A"/>
    <n v="2"/>
  </r>
  <r>
    <n v="34325"/>
    <x v="50"/>
    <s v="Eid"/>
    <s v="Mathyn"/>
    <x v="8"/>
    <x v="198"/>
    <s v="EAF 03102024 6313 Gent Mathyn Eid.pdf"/>
    <x v="49"/>
    <m/>
    <s v="ja"/>
    <e v="#N/A"/>
    <e v="#N/A"/>
    <n v="5"/>
  </r>
  <r>
    <n v="34286"/>
    <x v="88"/>
    <s v="Ghani"/>
    <s v="Mozamil"/>
    <x v="8"/>
    <x v="199"/>
    <s v="EAF 04102024 6305 Gent Ghani Mozamil.pdf"/>
    <x v="79"/>
    <m/>
    <s v="ja"/>
    <e v="#N/A"/>
    <e v="#N/A"/>
    <n v="2"/>
  </r>
  <r>
    <n v="26137"/>
    <x v="172"/>
    <s v="Hublau"/>
    <s v="Roland"/>
    <x v="8"/>
    <x v="200"/>
    <s v="EAF 05102024 6369 Gent Roland Hublau.pdf"/>
    <x v="131"/>
    <m/>
    <s v="ja"/>
    <e v="#N/A"/>
    <e v="#N/A"/>
    <n v="4"/>
  </r>
  <r>
    <n v="37683"/>
    <x v="200"/>
    <s v="De Boever"/>
    <s v="Charlotte"/>
    <x v="8"/>
    <x v="201"/>
    <s v="EAF 07102024 5041 Gent Charlotte De Boever.pdf"/>
    <x v="2"/>
    <m/>
    <s v="ja"/>
    <e v="#N/A"/>
    <e v="#N/A"/>
    <n v="1"/>
  </r>
  <r>
    <n v="38529"/>
    <x v="37"/>
    <s v="Huyghe"/>
    <s v="Jan"/>
    <x v="2"/>
    <x v="202"/>
    <s v="EAF 2195 Gent 08102024.pdf"/>
    <x v="65"/>
    <m/>
    <s v="ja"/>
    <e v="#N/A"/>
    <e v="#N/A"/>
    <n v="5"/>
  </r>
  <r>
    <n v="39013"/>
    <x v="62"/>
    <s v="Asrih"/>
    <s v="Habib"/>
    <x v="2"/>
    <x v="202"/>
    <s v="EAF 5917 Gent 08102024.pdf"/>
    <x v="124"/>
    <m/>
    <s v="ja"/>
    <e v="#N/A"/>
    <e v="#N/A"/>
    <n v="3"/>
  </r>
  <r>
    <n v="39673"/>
    <x v="17"/>
    <s v="Steurbaut"/>
    <s v="Henri"/>
    <x v="3"/>
    <x v="203"/>
    <s v="EAF 5920 Gent 09102024.pdf"/>
    <x v="132"/>
    <m/>
    <s v="ja"/>
    <e v="#N/A"/>
    <e v="#N/A"/>
    <n v="5"/>
  </r>
  <r>
    <n v="26266"/>
    <x v="201"/>
    <s v="Gök"/>
    <s v="Murat"/>
    <x v="3"/>
    <x v="203"/>
    <s v="EAF 6372 Koning Albertlaan Gent 09102024.pdf"/>
    <x v="46"/>
    <m/>
    <s v="ja"/>
    <e v="#N/A"/>
    <e v="#N/A"/>
    <n v="1"/>
  </r>
  <r>
    <n v="36626"/>
    <x v="12"/>
    <s v="Kartal"/>
    <s v="Kadir"/>
    <x v="2"/>
    <x v="203"/>
    <s v="EAF 222478 Hovenierstraat Ledeberg 09102024.pdf"/>
    <x v="1"/>
    <m/>
    <s v="ja"/>
    <e v="#N/A"/>
    <e v="#N/A"/>
    <n v="10"/>
  </r>
  <r>
    <n v="27153"/>
    <x v="31"/>
    <s v="Oben"/>
    <s v="Thibaud"/>
    <x v="5"/>
    <x v="204"/>
    <s v="EAF 6339 Hundelgemsesteenweg 10102024 Thibaud Oben.pdf"/>
    <x v="82"/>
    <m/>
    <s v="ja"/>
    <e v="#N/A"/>
    <e v="#N/A"/>
    <n v="3"/>
  </r>
  <r>
    <n v="9999"/>
    <x v="0"/>
    <e v="#N/A"/>
    <e v="#N/A"/>
    <x v="0"/>
    <x v="205"/>
    <s v="EAF 2548 stelplaats Gentbrugge 11102024.pdf"/>
    <x v="32"/>
    <m/>
    <s v="ja"/>
    <e v="#N/A"/>
    <e v="#N/A"/>
    <n v="59"/>
  </r>
  <r>
    <n v="38551"/>
    <x v="202"/>
    <s v="Alassad"/>
    <s v="Ahmad"/>
    <x v="4"/>
    <x v="206"/>
    <s v="EAF 2203 Sint-Gerolfstraat Drongen 12102024.pdf"/>
    <x v="15"/>
    <m/>
    <s v="ja"/>
    <e v="#N/A"/>
    <e v="#N/A"/>
    <n v="1"/>
  </r>
  <r>
    <n v="39532"/>
    <x v="158"/>
    <s v="Sahin"/>
    <s v="Orhan"/>
    <x v="5"/>
    <x v="207"/>
    <s v="EAF 5233 E17 13102024 Sahin Orhan.pdf"/>
    <x v="0"/>
    <m/>
    <s v="ja"/>
    <e v="#N/A"/>
    <e v="#N/A"/>
    <n v="7"/>
  </r>
  <r>
    <n v="5718"/>
    <x v="203"/>
    <s v="Dejonckheere"/>
    <s v="Inge"/>
    <x v="1"/>
    <x v="208"/>
    <s v="EAF 2205 Gent 14102024 Inge Dejonckheere.pdf"/>
    <x v="2"/>
    <m/>
    <s v="ja"/>
    <e v="#N/A"/>
    <e v="#N/A"/>
    <n v="2"/>
  </r>
  <r>
    <n v="40608"/>
    <x v="204"/>
    <s v="Kurti"/>
    <s v="Domeniko"/>
    <x v="6"/>
    <x v="208"/>
    <s v="EAF 5919 Gent De Pintenlaan 14102024.pdf"/>
    <x v="7"/>
    <m/>
    <s v="ja"/>
    <e v="#N/A"/>
    <e v="#N/A"/>
    <n v="1"/>
  </r>
  <r>
    <n v="6310"/>
    <x v="0"/>
    <e v="#N/A"/>
    <e v="#N/A"/>
    <x v="0"/>
    <x v="208"/>
    <s v="EAF 6313 Albertlaan 14102024 Peter De Craene.pdf"/>
    <x v="46"/>
    <m/>
    <s v="ja"/>
    <e v="#N/A"/>
    <e v="#N/A"/>
    <n v="3"/>
  </r>
  <r>
    <n v="33965"/>
    <x v="0"/>
    <e v="#N/A"/>
    <e v="#N/A"/>
    <x v="0"/>
    <x v="208"/>
    <s v="EAF 6316 Gent 14102024.pdf"/>
    <x v="56"/>
    <m/>
    <s v="ja"/>
    <e v="#N/A"/>
    <e v="#N/A"/>
    <n v="10"/>
  </r>
  <r>
    <n v="39779"/>
    <x v="45"/>
    <s v="Avci"/>
    <s v="Muhammet Abdullah"/>
    <x v="4"/>
    <x v="208"/>
    <s v="EAF 222478 Gent Sint-Pietersstation 14.10.2024.pdf"/>
    <x v="8"/>
    <m/>
    <s v="ja"/>
    <e v="#N/A"/>
    <e v="#N/A"/>
    <n v="7"/>
  </r>
  <r>
    <n v="36569"/>
    <x v="0"/>
    <e v="#N/A"/>
    <e v="#N/A"/>
    <x v="0"/>
    <x v="209"/>
    <s v="EAF 5911 Gentbruggebrug Gent 15102024.pdf"/>
    <x v="2"/>
    <m/>
    <s v="ja"/>
    <e v="#N/A"/>
    <e v="#N/A"/>
    <n v="6"/>
  </r>
  <r>
    <n v="9999"/>
    <x v="0"/>
    <e v="#N/A"/>
    <e v="#N/A"/>
    <x v="0"/>
    <x v="210"/>
    <s v="EAF 2548 Tolhuislaan 17.10.2024.pdf"/>
    <x v="14"/>
    <m/>
    <s v="ja"/>
    <e v="#N/A"/>
    <e v="#N/A"/>
    <n v="59"/>
  </r>
  <r>
    <n v="23918"/>
    <x v="205"/>
    <s v="D'Haeyere"/>
    <s v="Bernard"/>
    <x v="3"/>
    <x v="211"/>
    <s v="EAF 5932 Gent 18102024.pdf"/>
    <x v="11"/>
    <m/>
    <s v="ja"/>
    <e v="#N/A"/>
    <e v="#N/A"/>
    <n v="3"/>
  </r>
  <r>
    <n v="37662"/>
    <x v="175"/>
    <s v="Van den Meerssche"/>
    <s v="Steven"/>
    <x v="4"/>
    <x v="212"/>
    <s v="EAF 5240 Hoogstraat Gent 19.10.2024.pdf"/>
    <x v="11"/>
    <m/>
    <s v="ja"/>
    <e v="#N/A"/>
    <e v="#N/A"/>
    <n v="9"/>
  </r>
  <r>
    <n v="39779"/>
    <x v="45"/>
    <s v="Avci"/>
    <s v="Muhammet Abdullah"/>
    <x v="4"/>
    <x v="212"/>
    <s v="EAF 5258 Rooigemlaan Gent 19.10.2024.pdf"/>
    <x v="42"/>
    <m/>
    <s v="ja"/>
    <e v="#N/A"/>
    <e v="#N/A"/>
    <n v="7"/>
  </r>
  <r>
    <n v="33986"/>
    <x v="150"/>
    <s v="Göktas"/>
    <s v="Muharrem"/>
    <x v="1"/>
    <x v="213"/>
    <s v="EAF 6309 Gentburgge 21102024.pdf"/>
    <x v="2"/>
    <m/>
    <s v="ja"/>
    <e v="#N/A"/>
    <e v="#N/A"/>
    <n v="4"/>
  </r>
  <r>
    <n v="6310"/>
    <x v="0"/>
    <e v="#N/A"/>
    <e v="#N/A"/>
    <x v="0"/>
    <x v="213"/>
    <s v="EAF 6335 Gent 21102024.pdf"/>
    <x v="71"/>
    <m/>
    <s v="ja"/>
    <e v="#N/A"/>
    <e v="#N/A"/>
    <n v="3"/>
  </r>
  <r>
    <n v="39929"/>
    <x v="65"/>
    <s v="Staneva"/>
    <s v="Mariyana"/>
    <x v="5"/>
    <x v="214"/>
    <s v="EAF 5367 Gent 22102024.pdf"/>
    <x v="42"/>
    <m/>
    <s v="ja"/>
    <e v="#N/A"/>
    <e v="#N/A"/>
    <n v="9"/>
  </r>
  <r>
    <n v="32387"/>
    <x v="168"/>
    <s v="Meersman"/>
    <s v="Herman"/>
    <x v="8"/>
    <x v="214"/>
    <s v="EAF 6363 Gent 22102024.pdf"/>
    <x v="133"/>
    <m/>
    <s v="ja"/>
    <e v="#N/A"/>
    <e v="#N/A"/>
    <n v="4"/>
  </r>
  <r>
    <n v="5718"/>
    <x v="203"/>
    <s v="Dejonckheere"/>
    <s v="Inge"/>
    <x v="1"/>
    <x v="215"/>
    <s v="EAF 5229 Gent 23102024.pdf"/>
    <x v="11"/>
    <m/>
    <s v="ja"/>
    <e v="#N/A"/>
    <e v="#N/A"/>
    <n v="2"/>
  </r>
  <r>
    <n v="35598"/>
    <x v="206"/>
    <s v="Braeckman"/>
    <s v="Wouter"/>
    <x v="7"/>
    <x v="215"/>
    <s v="EAF 6360 Kortrijksesteenweg 23102024 Wouter Braeckman.pdf"/>
    <x v="2"/>
    <m/>
    <s v="ja"/>
    <e v="#N/A"/>
    <e v="#N/A"/>
    <n v="1"/>
  </r>
  <r>
    <n v="40222"/>
    <x v="127"/>
    <s v="Van Iterson"/>
    <s v="Sharon"/>
    <x v="7"/>
    <x v="216"/>
    <s v="EAF 2200 kleinschuurstraat 24102024 Sharon Van Iterson_2.pdf"/>
    <x v="21"/>
    <m/>
    <s v="ja"/>
    <e v="#N/A"/>
    <e v="#N/A"/>
    <n v="2"/>
  </r>
  <r>
    <n v="35450"/>
    <x v="107"/>
    <s v="Roos"/>
    <s v="Hugo"/>
    <x v="2"/>
    <x v="216"/>
    <s v="EAF 2207 Oostakker 24102024 Roos Hugo.pdf"/>
    <x v="21"/>
    <m/>
    <s v="ja"/>
    <e v="#N/A"/>
    <e v="#N/A"/>
    <n v="4"/>
  </r>
  <r>
    <n v="40652"/>
    <x v="207"/>
    <s v="Van Damme"/>
    <s v="Gilyann"/>
    <x v="3"/>
    <x v="216"/>
    <s v="EAF 5768 Gent 24102024.pdf"/>
    <x v="2"/>
    <m/>
    <s v="ja"/>
    <e v="#N/A"/>
    <e v="#N/A"/>
    <n v="8"/>
  </r>
  <r>
    <n v="37809"/>
    <x v="208"/>
    <s v="Sturtewagen"/>
    <s v="Kenny"/>
    <x v="8"/>
    <x v="216"/>
    <s v="EAF 24102024 5043 Gent Kenny Sturtewagen.pdf"/>
    <x v="34"/>
    <m/>
    <s v="ja"/>
    <e v="#N/A"/>
    <e v="#N/A"/>
    <n v="3"/>
  </r>
  <r>
    <n v="30623"/>
    <x v="209"/>
    <s v="Gassa"/>
    <s v="Mustafa"/>
    <x v="1"/>
    <x v="217"/>
    <s v="EAF 5042 Gent 25102024.pdf"/>
    <x v="134"/>
    <m/>
    <s v="ja"/>
    <e v="#N/A"/>
    <e v="#N/A"/>
    <n v="2"/>
  </r>
  <r>
    <n v="37809"/>
    <x v="208"/>
    <s v="Sturtewagen"/>
    <s v="Kenny"/>
    <x v="8"/>
    <x v="217"/>
    <s v="EAF 25102024 5039 Gent Kenny Sturtewagen.pdf"/>
    <x v="1"/>
    <m/>
    <s v="ja"/>
    <e v="#N/A"/>
    <e v="#N/A"/>
    <n v="3"/>
  </r>
  <r>
    <n v="40859"/>
    <x v="210"/>
    <s v="Yagoub"/>
    <s v="Abdelali"/>
    <x v="3"/>
    <x v="218"/>
    <s v="EAF 5915 Wondelgem - Wondelgemplein 26102024 Yagoub Abdelali.pdf"/>
    <x v="55"/>
    <m/>
    <s v="ja"/>
    <e v="#N/A"/>
    <e v="#N/A"/>
    <n v="4"/>
  </r>
  <r>
    <n v="21892"/>
    <x v="211"/>
    <s v="Dierick"/>
    <s v="Steve"/>
    <x v="8"/>
    <x v="218"/>
    <s v="EAF 6355 Ledeberg 26102024.pdf"/>
    <x v="110"/>
    <m/>
    <s v="ja"/>
    <e v="#N/A"/>
    <e v="#N/A"/>
    <n v="2"/>
  </r>
  <r>
    <n v="12173"/>
    <x v="212"/>
    <s v="De Feyter"/>
    <s v="David"/>
    <x v="3"/>
    <x v="219"/>
    <s v="EAF 5915 Kunstlaan Gent 28102024.pdf"/>
    <x v="135"/>
    <m/>
    <s v="ja"/>
    <e v="#N/A"/>
    <e v="#N/A"/>
    <n v="1"/>
  </r>
  <r>
    <n v="37542"/>
    <x v="148"/>
    <s v="De Tandt"/>
    <s v="Hans"/>
    <x v="4"/>
    <x v="219"/>
    <s v="EAF 6325 St-Pietersaalststraat 28102024 HansDeTandt.pdf"/>
    <x v="39"/>
    <m/>
    <s v="ja"/>
    <e v="#N/A"/>
    <e v="#N/A"/>
    <n v="5"/>
  </r>
  <r>
    <n v="40278"/>
    <x v="213"/>
    <s v="Ates"/>
    <s v="Firat"/>
    <x v="5"/>
    <x v="220"/>
    <s v="EAF 5360 Nieuwe Wandeling Gent 30102024.pdf"/>
    <x v="59"/>
    <m/>
    <s v="ja"/>
    <e v="#N/A"/>
    <e v="#N/A"/>
    <n v="5"/>
  </r>
  <r>
    <n v="29540"/>
    <x v="214"/>
    <s v="De Keyzer"/>
    <s v="Jan"/>
    <x v="6"/>
    <x v="220"/>
    <s v="EAF 5769 Gent Dampoort 30102024 De Keyzer Jan.pdf"/>
    <x v="26"/>
    <m/>
    <s v="ja"/>
    <e v="#N/A"/>
    <e v="#N/A"/>
    <n v="1"/>
  </r>
  <r>
    <n v="30901"/>
    <x v="116"/>
    <s v="vanden Bulcke"/>
    <s v="Johan"/>
    <x v="2"/>
    <x v="221"/>
    <s v="EAF 2206 Drongen 02112024 Johan VDbulcke.pdf"/>
    <x v="15"/>
    <m/>
    <s v="ja"/>
    <e v="#N/A"/>
    <e v="#N/A"/>
    <n v="2"/>
  </r>
  <r>
    <n v="9999"/>
    <x v="0"/>
    <e v="#N/A"/>
    <e v="#N/A"/>
    <x v="0"/>
    <x v="221"/>
    <s v="EAF 5260 Groeningewijk Gentbrugge 02112024.pdf"/>
    <x v="109"/>
    <m/>
    <s v="ja"/>
    <e v="#N/A"/>
    <e v="#N/A"/>
    <n v="59"/>
  </r>
  <r>
    <n v="39581"/>
    <x v="2"/>
    <s v="Vandenhaute"/>
    <s v="Linus"/>
    <x v="2"/>
    <x v="222"/>
    <s v="EAF 2205 Gent 04112024.pdf"/>
    <x v="2"/>
    <m/>
    <s v="ja"/>
    <e v="#N/A"/>
    <e v="#N/A"/>
    <n v="5"/>
  </r>
  <r>
    <n v="33488"/>
    <x v="215"/>
    <s v="Holub"/>
    <s v="Patrik"/>
    <x v="3"/>
    <x v="222"/>
    <s v="EAF 5053 Sint-Bernadettestraat Sint-Amandsberg 04112024.pdf"/>
    <x v="2"/>
    <m/>
    <s v="ja"/>
    <e v="#N/A"/>
    <e v="#N/A"/>
    <n v="2"/>
  </r>
  <r>
    <n v="26102"/>
    <x v="216"/>
    <s v="Bral"/>
    <s v="Jessica"/>
    <x v="2"/>
    <x v="222"/>
    <s v="EAF 5360 Gent Mariakerke 04112024 Jessica Bral.pdf"/>
    <x v="2"/>
    <m/>
    <s v="ja"/>
    <e v="#N/A"/>
    <e v="#N/A"/>
    <n v="1"/>
  </r>
  <r>
    <n v="39528"/>
    <x v="136"/>
    <s v="Mihaylov"/>
    <s v="Plamen"/>
    <x v="5"/>
    <x v="223"/>
    <s v="EAF 2208 Gent 05112024.pdf"/>
    <x v="2"/>
    <m/>
    <s v="ja"/>
    <e v="#N/A"/>
    <e v="#N/A"/>
    <n v="4"/>
  </r>
  <r>
    <n v="32951"/>
    <x v="69"/>
    <s v="De Bruyne"/>
    <s v="Sonia"/>
    <x v="6"/>
    <x v="224"/>
    <s v="EAF 2546 Gent 06112024.pdf"/>
    <x v="136"/>
    <m/>
    <s v="ja"/>
    <e v="#N/A"/>
    <e v="#N/A"/>
    <n v="6"/>
  </r>
  <r>
    <n v="30121"/>
    <x v="27"/>
    <s v="Simons"/>
    <s v="Andreas"/>
    <x v="5"/>
    <x v="224"/>
    <s v="EAF Gent Sint Pieters 06012024.pdf"/>
    <x v="8"/>
    <m/>
    <s v="ja"/>
    <e v="#N/A"/>
    <e v="#N/A"/>
    <n v="3"/>
  </r>
  <r>
    <n v="33965"/>
    <x v="0"/>
    <e v="#N/A"/>
    <e v="#N/A"/>
    <x v="0"/>
    <x v="225"/>
    <s v="EAF 6333 Gent 07112024.pdf"/>
    <x v="137"/>
    <m/>
    <s v="ja"/>
    <e v="#N/A"/>
    <e v="#N/A"/>
    <n v="10"/>
  </r>
  <r>
    <n v="40223"/>
    <x v="0"/>
    <e v="#N/A"/>
    <e v="#N/A"/>
    <x v="0"/>
    <x v="225"/>
    <s v="EAF 7112024 5039 Zwijnaarde Eva Teetaert.pdf"/>
    <x v="94"/>
    <m/>
    <s v="ja"/>
    <e v="#N/A"/>
    <e v="#N/A"/>
    <n v="8"/>
  </r>
  <r>
    <n v="20400"/>
    <x v="217"/>
    <s v="Allan"/>
    <s v="Kenneth"/>
    <x v="7"/>
    <x v="226"/>
    <s v="EAF 6318 Gentbrugge 08112024.pdf"/>
    <x v="2"/>
    <m/>
    <s v="ja"/>
    <e v="#N/A"/>
    <e v="#N/A"/>
    <n v="1"/>
  </r>
  <r>
    <n v="21121"/>
    <x v="163"/>
    <s v="Laforce"/>
    <s v="Mike"/>
    <x v="1"/>
    <x v="226"/>
    <s v="EAF 6356 Gent 08112024.pdf"/>
    <x v="12"/>
    <m/>
    <s v="ja"/>
    <e v="#N/A"/>
    <e v="#N/A"/>
    <n v="2"/>
  </r>
  <r>
    <n v="37496"/>
    <x v="186"/>
    <s v="Oosterlinck"/>
    <s v="Willy"/>
    <x v="7"/>
    <x v="227"/>
    <s v="EAF 5239 Alfons Braeckmankaan 09112024 Willy Oosterlinck.pdf"/>
    <x v="2"/>
    <m/>
    <s v="ja"/>
    <e v="#N/A"/>
    <e v="#N/A"/>
    <n v="4"/>
  </r>
  <r>
    <n v="16545"/>
    <x v="218"/>
    <s v="Toch"/>
    <s v="Erwin"/>
    <x v="4"/>
    <x v="227"/>
    <s v="EAF 5327 Morekstraat Wondelgem 09112024.pdf"/>
    <x v="24"/>
    <m/>
    <s v="ja"/>
    <e v="#N/A"/>
    <e v="#N/A"/>
    <n v="2"/>
  </r>
  <r>
    <n v="30119"/>
    <x v="219"/>
    <s v="Haerens"/>
    <s v="Tom"/>
    <x v="7"/>
    <x v="228"/>
    <s v="EAF 6352 Papegaaistraat 11112024 Tom Haerens.pdf"/>
    <x v="138"/>
    <m/>
    <s v="ja"/>
    <e v="#N/A"/>
    <e v="#N/A"/>
    <n v="2"/>
  </r>
  <r>
    <n v="36626"/>
    <x v="12"/>
    <s v="Kartal"/>
    <s v="Kadir"/>
    <x v="2"/>
    <x v="229"/>
    <s v="EAF 5265 Gent Gentbruggestraat 12112024 Kartal Kadir.pdf"/>
    <x v="6"/>
    <m/>
    <s v="ja"/>
    <e v="#N/A"/>
    <e v="#N/A"/>
    <n v="10"/>
  </r>
  <r>
    <n v="35645"/>
    <x v="220"/>
    <s v="Jalili"/>
    <s v="Yaseeb"/>
    <x v="8"/>
    <x v="229"/>
    <s v="EAF 5771 Gent 12102024.pdf"/>
    <x v="2"/>
    <m/>
    <s v="ja"/>
    <e v="#N/A"/>
    <e v="#N/A"/>
    <n v="4"/>
  </r>
  <r>
    <n v="19249"/>
    <x v="142"/>
    <s v="Odaci"/>
    <s v="Kadir"/>
    <x v="6"/>
    <x v="230"/>
    <s v="EAF 5931 Gent 13112024.pdf"/>
    <x v="12"/>
    <m/>
    <s v="ja"/>
    <e v="#N/A"/>
    <e v="#N/A"/>
    <n v="4"/>
  </r>
  <r>
    <n v="15676"/>
    <x v="221"/>
    <s v="Mestdagh"/>
    <s v="Tony"/>
    <x v="6"/>
    <x v="230"/>
    <s v="EAF 6302 Ledebergstraat Gent 13112024 Mestdagh Tony.pdf"/>
    <x v="63"/>
    <m/>
    <s v="ja"/>
    <e v="#N/A"/>
    <e v="#N/A"/>
    <n v="1"/>
  </r>
  <r>
    <n v="9999"/>
    <x v="0"/>
    <e v="#N/A"/>
    <e v="#N/A"/>
    <x v="0"/>
    <x v="231"/>
    <s v="EAF 2197 Bevrijdingslaan Gent 14112024.pdf"/>
    <x v="114"/>
    <m/>
    <s v="ja"/>
    <e v="#N/A"/>
    <e v="#N/A"/>
    <n v="59"/>
  </r>
  <r>
    <n v="39184"/>
    <x v="57"/>
    <s v="Shinwari"/>
    <s v="Yasin"/>
    <x v="5"/>
    <x v="231"/>
    <s v="EAF 5326 Gent 141122024.pdf"/>
    <x v="42"/>
    <m/>
    <s v="ja"/>
    <e v="#N/A"/>
    <e v="#N/A"/>
    <n v="3"/>
  </r>
  <r>
    <n v="16895"/>
    <x v="222"/>
    <s v="Van Lauwe"/>
    <s v="Freddy"/>
    <x v="4"/>
    <x v="231"/>
    <s v="EAF 6325 Keizerpoort Gent 14.11.2024.pdf"/>
    <x v="66"/>
    <m/>
    <s v="ja"/>
    <e v="#N/A"/>
    <e v="#N/A"/>
    <n v="6"/>
  </r>
  <r>
    <n v="35430"/>
    <x v="223"/>
    <s v="Vlaminck"/>
    <s v="Dirk"/>
    <x v="3"/>
    <x v="232"/>
    <s v="EAF 5054 Gent 15112024.pdf"/>
    <x v="2"/>
    <m/>
    <s v="ja"/>
    <e v="#N/A"/>
    <e v="#N/A"/>
    <n v="2"/>
  </r>
  <r>
    <n v="31111"/>
    <x v="3"/>
    <s v="Bonne"/>
    <s v="Niko"/>
    <x v="3"/>
    <x v="233"/>
    <s v="EAF 5260 Hoogstraat Gent 17072024.pdf"/>
    <x v="11"/>
    <m/>
    <s v="ja"/>
    <e v="#N/A"/>
    <e v="#N/A"/>
    <n v="2"/>
  </r>
  <r>
    <n v="36228"/>
    <x v="224"/>
    <s v="Kilinc"/>
    <s v="Atilay"/>
    <x v="3"/>
    <x v="234"/>
    <s v="EAF 6319 Gent 18112024.pdf"/>
    <x v="2"/>
    <m/>
    <s v="ja"/>
    <e v="#N/A"/>
    <e v="#N/A"/>
    <n v="1"/>
  </r>
  <r>
    <n v="40200"/>
    <x v="73"/>
    <s v="Shahriyari"/>
    <s v="Khalil"/>
    <x v="7"/>
    <x v="235"/>
    <s v="EAF 5914 St-Jacobsnieuwstraat 19112024 Khalil Shahriyari.pdf"/>
    <x v="139"/>
    <m/>
    <s v="ja"/>
    <e v="#N/A"/>
    <e v="#N/A"/>
    <n v="2"/>
  </r>
  <r>
    <n v="35463"/>
    <x v="35"/>
    <s v="Vandaele"/>
    <s v="Tom"/>
    <x v="7"/>
    <x v="235"/>
    <s v="EAF 6314 Gravensteen 19112024 Tom Vandaele_1.pdf"/>
    <x v="140"/>
    <m/>
    <s v="ja"/>
    <e v="#N/A"/>
    <e v="#N/A"/>
    <n v="4"/>
  </r>
  <r>
    <n v="29821"/>
    <x v="225"/>
    <s v="Mehman Doust"/>
    <s v="Farhad"/>
    <x v="7"/>
    <x v="235"/>
    <s v="EAF 6314 Poperingestraat 19112024 Farhad.pdf"/>
    <x v="61"/>
    <m/>
    <s v="ja"/>
    <e v="#N/A"/>
    <e v="#N/A"/>
    <n v="1"/>
  </r>
  <r>
    <n v="30967"/>
    <x v="226"/>
    <s v="Taser"/>
    <s v="Fatih"/>
    <x v="7"/>
    <x v="235"/>
    <s v="EAF 110965 Maria Hendrikaplein 19112024 Fatih Taser.pdf"/>
    <x v="8"/>
    <m/>
    <s v="ja"/>
    <e v="#N/A"/>
    <e v="#N/A"/>
    <n v="3"/>
  </r>
  <r>
    <n v="31635"/>
    <x v="192"/>
    <s v="Vaeyens"/>
    <s v="Midas"/>
    <x v="3"/>
    <x v="236"/>
    <s v="EAF 5051Grote steenweg Noord 20112024 Vaeyens Midas.pdf"/>
    <x v="134"/>
    <m/>
    <s v="ja"/>
    <e v="#N/A"/>
    <e v="#N/A"/>
    <n v="2"/>
  </r>
  <r>
    <n v="34445"/>
    <x v="21"/>
    <s v="Wulleput"/>
    <s v="Illya"/>
    <x v="7"/>
    <x v="237"/>
    <s v="EAF 6355 Melle Leeuw 21112024 Illya Wulleput.pdf"/>
    <x v="130"/>
    <m/>
    <s v="ja"/>
    <e v="#N/A"/>
    <e v="#N/A"/>
    <n v="6"/>
  </r>
  <r>
    <n v="32951"/>
    <x v="69"/>
    <s v="De Bruyne"/>
    <s v="Sonia"/>
    <x v="6"/>
    <x v="238"/>
    <s v="EAF 5926 Gent Poel 22112024 De Bruyne Sonia.pdf"/>
    <x v="141"/>
    <m/>
    <s v="ja"/>
    <e v="#N/A"/>
    <e v="#N/A"/>
    <n v="6"/>
  </r>
  <r>
    <n v="34445"/>
    <x v="21"/>
    <s v="Wulleput"/>
    <s v="Illya"/>
    <x v="7"/>
    <x v="238"/>
    <s v="EAF 6310 Gent 22112024.pdf"/>
    <x v="48"/>
    <m/>
    <s v="ja"/>
    <e v="#N/A"/>
    <e v="#N/A"/>
    <n v="6"/>
  </r>
  <r>
    <n v="40138"/>
    <x v="227"/>
    <s v="Moerman"/>
    <s v="Tjimmy"/>
    <x v="5"/>
    <x v="239"/>
    <s v="EAF 5048 Gent 23112024.pdf"/>
    <x v="56"/>
    <m/>
    <s v="ja"/>
    <e v="#N/A"/>
    <e v="#N/A"/>
    <n v="10"/>
  </r>
  <r>
    <n v="9999"/>
    <x v="0"/>
    <e v="#N/A"/>
    <e v="#N/A"/>
    <x v="0"/>
    <x v="239"/>
    <s v="EAF 5240 Gent 23112024.pdf"/>
    <x v="142"/>
    <m/>
    <s v="ja"/>
    <e v="#N/A"/>
    <e v="#N/A"/>
    <n v="59"/>
  </r>
  <r>
    <n v="39930"/>
    <x v="103"/>
    <s v="Mirazai"/>
    <s v="Rahmatullah"/>
    <x v="5"/>
    <x v="240"/>
    <s v="EAF 4678 Gent 26112024.pdf"/>
    <x v="38"/>
    <m/>
    <s v="ja"/>
    <e v="#N/A"/>
    <e v="#N/A"/>
    <n v="3"/>
  </r>
  <r>
    <n v="40134"/>
    <x v="228"/>
    <s v="Cardon"/>
    <s v="Sharon"/>
    <x v="7"/>
    <x v="241"/>
    <s v="EAF 2207 Gent Sint Pieters 28112024 Sharon Cardon.pdf"/>
    <x v="8"/>
    <m/>
    <s v="ja"/>
    <e v="#N/A"/>
    <e v="#N/A"/>
    <n v="4"/>
  </r>
  <r>
    <n v="40859"/>
    <x v="210"/>
    <s v="Yagoub"/>
    <s v="Abdelali"/>
    <x v="3"/>
    <x v="241"/>
    <s v="EAF 5767 Dendermondsesteenweg Destelbergen 28112024.pdf"/>
    <x v="9"/>
    <m/>
    <s v="ja"/>
    <e v="#N/A"/>
    <e v="#N/A"/>
    <n v="4"/>
  </r>
  <r>
    <n v="9999"/>
    <x v="0"/>
    <e v="#N/A"/>
    <e v="#N/A"/>
    <x v="0"/>
    <x v="242"/>
    <s v="EAF 5770 E17 parking 1 29112024.pdf"/>
    <x v="0"/>
    <m/>
    <s v="ja"/>
    <e v="#N/A"/>
    <e v="#N/A"/>
    <n v="59"/>
  </r>
  <r>
    <n v="41092"/>
    <x v="229"/>
    <s v="De Keyser"/>
    <s v="Dorien"/>
    <x v="7"/>
    <x v="242"/>
    <s v="EAF 5916 Wondelgemstation 29112024 Dorien De Keyser.pdf"/>
    <x v="55"/>
    <m/>
    <s v="ja"/>
    <e v="#N/A"/>
    <e v="#N/A"/>
    <n v="9"/>
  </r>
  <r>
    <n v="40134"/>
    <x v="228"/>
    <s v="Cardon"/>
    <s v="Sharon"/>
    <x v="7"/>
    <x v="243"/>
    <s v="EAF 5041 Dampoort 30112024 Sharon Cardon.pdf"/>
    <x v="26"/>
    <m/>
    <s v="ja"/>
    <e v="#N/A"/>
    <e v="#N/A"/>
    <n v="4"/>
  </r>
  <r>
    <n v="12684"/>
    <x v="230"/>
    <s v="Van Den Bossche"/>
    <s v="Martine"/>
    <x v="3"/>
    <x v="243"/>
    <s v="EAF 5049 Trolleyloods Gentbrugge 30112024.pdf"/>
    <x v="70"/>
    <m/>
    <s v="ja"/>
    <e v="#N/A"/>
    <e v="#N/A"/>
    <n v="3"/>
  </r>
  <r>
    <n v="33965"/>
    <x v="0"/>
    <e v="#N/A"/>
    <e v="#N/A"/>
    <x v="0"/>
    <x v="243"/>
    <s v="EAF 6337 Gent 30102024.pdf"/>
    <x v="143"/>
    <m/>
    <s v="ja"/>
    <e v="#N/A"/>
    <e v="#N/A"/>
    <n v="10"/>
  </r>
  <r>
    <n v="13020"/>
    <x v="0"/>
    <e v="#N/A"/>
    <e v="#N/A"/>
    <x v="0"/>
    <x v="243"/>
    <s v="EAF 6357 Gent 30112024.pdf"/>
    <x v="66"/>
    <m/>
    <s v="ja"/>
    <e v="#N/A"/>
    <e v="#N/A"/>
    <n v="2"/>
  </r>
  <r>
    <n v="36438"/>
    <x v="231"/>
    <s v="Agil"/>
    <s v="Birol"/>
    <x v="4"/>
    <x v="244"/>
    <s v="EAF 6372 Albertbrug Gent 01122024.pdf"/>
    <x v="46"/>
    <m/>
    <s v="ja"/>
    <e v="#N/A"/>
    <e v="#N/A"/>
    <n v="5"/>
  </r>
  <r>
    <n v="19917"/>
    <x v="11"/>
    <s v="Vandevyvere"/>
    <s v="Frank"/>
    <x v="4"/>
    <x v="245"/>
    <s v="EAF 2196 De Guchteneerestraat Gentbrugge 02122024.pdf"/>
    <x v="144"/>
    <m/>
    <s v="ja"/>
    <e v="#N/A"/>
    <e v="#N/A"/>
    <n v="10"/>
  </r>
  <r>
    <n v="37254"/>
    <x v="232"/>
    <s v="Coulon"/>
    <s v="Rayan"/>
    <x v="1"/>
    <x v="245"/>
    <s v="EAF 6339 Gent 02122024.pdf"/>
    <x v="4"/>
    <m/>
    <s v="ja"/>
    <e v="#N/A"/>
    <e v="#N/A"/>
    <n v="2"/>
  </r>
  <r>
    <n v="8394"/>
    <x v="70"/>
    <s v="Smet"/>
    <s v="Antoon"/>
    <x v="6"/>
    <x v="246"/>
    <s v="EAF 5043 gent oprit R4-N60 03122024 Smet Antoon.pdf"/>
    <x v="94"/>
    <m/>
    <s v="ja"/>
    <e v="#N/A"/>
    <e v="#N/A"/>
    <n v="4"/>
  </r>
  <r>
    <n v="18987"/>
    <x v="0"/>
    <e v="#N/A"/>
    <e v="#N/A"/>
    <x v="0"/>
    <x v="246"/>
    <s v="EAF 03122024 5324 Gent Dolly De Geyter.pdf"/>
    <x v="114"/>
    <m/>
    <s v="ja"/>
    <e v="#N/A"/>
    <e v="#N/A"/>
    <n v="3"/>
  </r>
  <r>
    <n v="32387"/>
    <x v="168"/>
    <s v="Meersman"/>
    <s v="Herman"/>
    <x v="8"/>
    <x v="247"/>
    <s v="EAF 5241 Gentbrugge 04122024.pdf"/>
    <x v="2"/>
    <m/>
    <s v="ja"/>
    <e v="#N/A"/>
    <e v="#N/A"/>
    <n v="4"/>
  </r>
  <r>
    <n v="40744"/>
    <x v="179"/>
    <s v="Gözüküçük"/>
    <s v="Ugur"/>
    <x v="4"/>
    <x v="247"/>
    <s v="EAF 04122024 Ugur.pdf"/>
    <x v="145"/>
    <m/>
    <s v="ja"/>
    <e v="#N/A"/>
    <e v="#N/A"/>
    <n v="6"/>
  </r>
  <r>
    <n v="40744"/>
    <x v="179"/>
    <s v="Gözüküçük"/>
    <s v="Ugur"/>
    <x v="4"/>
    <x v="247"/>
    <s v="EAF 04122024 Ugur.pdf"/>
    <x v="146"/>
    <s v="-"/>
    <s v="ja"/>
    <n v="0"/>
    <s v="-"/>
    <n v="6"/>
  </r>
  <r>
    <n v="35379"/>
    <x v="233"/>
    <s v="Engels"/>
    <s v="Sam"/>
    <x v="3"/>
    <x v="248"/>
    <s v="EAF 6352 Expo Gent 06122024.pdf"/>
    <x v="100"/>
    <m/>
    <s v="ja"/>
    <e v="#N/A"/>
    <e v="#N/A"/>
    <n v="2"/>
  </r>
  <r>
    <n v="37794"/>
    <x v="234"/>
    <s v="Demirkaya"/>
    <s v="Kâzim"/>
    <x v="8"/>
    <x v="248"/>
    <s v="EAF 06122024 6305 Gent Kazim Demirkaya.pdf"/>
    <x v="147"/>
    <m/>
    <s v="ja"/>
    <e v="#N/A"/>
    <e v="#N/A"/>
    <n v="1"/>
  </r>
  <r>
    <n v="40294"/>
    <x v="235"/>
    <s v="Khder"/>
    <s v="Aram"/>
    <x v="5"/>
    <x v="249"/>
    <s v="EAF 2195 Gent 07122024.pdf"/>
    <x v="148"/>
    <m/>
    <s v="ja"/>
    <e v="#N/A"/>
    <e v="#N/A"/>
    <n v="2"/>
  </r>
  <r>
    <n v="37662"/>
    <x v="175"/>
    <s v="Van den Meerssche"/>
    <s v="Steven"/>
    <x v="4"/>
    <x v="250"/>
    <s v="EAF 5261 Brugsepoort Gent 09122024.pdf"/>
    <x v="3"/>
    <m/>
    <s v="ja"/>
    <e v="#N/A"/>
    <e v="#N/A"/>
    <n v="9"/>
  </r>
  <r>
    <n v="32542"/>
    <x v="156"/>
    <s v="Vanderstock"/>
    <s v="Kenny"/>
    <x v="7"/>
    <x v="250"/>
    <s v="EAF 6320 Griendeplein 9122024 Kenny Vanderstock.pdf"/>
    <x v="149"/>
    <m/>
    <s v="ja"/>
    <e v="#N/A"/>
    <e v="#N/A"/>
    <n v="2"/>
  </r>
  <r>
    <n v="33450"/>
    <x v="86"/>
    <s v="Verroeye"/>
    <s v="Chris"/>
    <x v="1"/>
    <x v="250"/>
    <s v="EAF 6361 Gent 09122024.pdf"/>
    <x v="150"/>
    <m/>
    <s v="ja"/>
    <e v="#N/A"/>
    <e v="#N/A"/>
    <n v="2"/>
  </r>
  <r>
    <n v="17555"/>
    <x v="236"/>
    <s v="DeBisschop"/>
    <s v="Wendy"/>
    <x v="4"/>
    <x v="251"/>
    <s v="EAF 5273 Hovernierstraat Ledeberg 10122024.pdf"/>
    <x v="1"/>
    <m/>
    <s v="ja"/>
    <e v="#N/A"/>
    <e v="#N/A"/>
    <n v="1"/>
  </r>
  <r>
    <n v="39529"/>
    <x v="159"/>
    <s v="Desmet"/>
    <s v="Patricia"/>
    <x v="5"/>
    <x v="252"/>
    <s v="EAF 5239 Ledeberg 12122024.pdf"/>
    <x v="1"/>
    <m/>
    <s v="ja"/>
    <e v="#N/A"/>
    <e v="#N/A"/>
    <n v="4"/>
  </r>
  <r>
    <n v="15628"/>
    <x v="25"/>
    <s v="Wulfranck"/>
    <s v="Dominique"/>
    <x v="1"/>
    <x v="252"/>
    <s v="EAF 5276 Drongensesteenweg Gent 12122024.pdf"/>
    <x v="47"/>
    <m/>
    <s v="ja"/>
    <e v="#N/A"/>
    <e v="#N/A"/>
    <n v="3"/>
  </r>
  <r>
    <n v="40652"/>
    <x v="207"/>
    <s v="Van Damme"/>
    <s v="Gilyann"/>
    <x v="3"/>
    <x v="252"/>
    <s v="EAF 5764 Sint-Pietersnieuwstraat Gent 12122024.pdf"/>
    <x v="128"/>
    <m/>
    <s v="ja"/>
    <e v="#N/A"/>
    <e v="#N/A"/>
    <n v="8"/>
  </r>
  <r>
    <n v="22767"/>
    <x v="237"/>
    <s v="Osseel"/>
    <s v="Johan"/>
    <x v="7"/>
    <x v="252"/>
    <s v="EAF 6356 Gent 12122024.pdf"/>
    <x v="66"/>
    <m/>
    <s v="ja"/>
    <e v="#N/A"/>
    <e v="#N/A"/>
    <n v="2"/>
  </r>
  <r>
    <n v="29477"/>
    <x v="238"/>
    <s v="De Vuyst"/>
    <s v="Boyke"/>
    <x v="6"/>
    <x v="253"/>
    <s v="EAF 5237 Nieuwe Wandeling Gent 14122024.pdf"/>
    <x v="59"/>
    <m/>
    <s v="ja"/>
    <e v="#N/A"/>
    <e v="#N/A"/>
    <n v="2"/>
  </r>
  <r>
    <n v="16897"/>
    <x v="239"/>
    <s v="VandenDaele"/>
    <s v="Andy"/>
    <x v="8"/>
    <x v="254"/>
    <s v="EAF 15122024 6310 Gent Andy Vanden Daele.pdf"/>
    <x v="95"/>
    <m/>
    <s v="ja"/>
    <e v="#N/A"/>
    <e v="#N/A"/>
    <n v="2"/>
  </r>
  <r>
    <n v="18173"/>
    <x v="240"/>
    <s v="De Vos"/>
    <s v="Günter"/>
    <x v="1"/>
    <x v="255"/>
    <s v="EAF 5230 Sint-Amandsberg 16122024.pdf"/>
    <x v="43"/>
    <m/>
    <s v="ja"/>
    <e v="#N/A"/>
    <e v="#N/A"/>
    <n v="1"/>
  </r>
  <r>
    <n v="41296"/>
    <x v="241"/>
    <s v="Abulehia"/>
    <s v="Oday"/>
    <x v="5"/>
    <x v="255"/>
    <s v="EAF 8104 Gent 1612204.pdf"/>
    <x v="2"/>
    <m/>
    <s v="ja"/>
    <e v="#N/A"/>
    <e v="#N/A"/>
    <n v="2"/>
  </r>
  <r>
    <n v="36513"/>
    <x v="242"/>
    <s v="Sogut"/>
    <s v="Rauf"/>
    <x v="1"/>
    <x v="256"/>
    <s v="EAF 5045 Gent 17122024.pdf"/>
    <x v="70"/>
    <m/>
    <s v="ja"/>
    <e v="#N/A"/>
    <e v="#N/A"/>
    <n v="1"/>
  </r>
  <r>
    <n v="33400"/>
    <x v="91"/>
    <s v="Petit"/>
    <s v="Cynthia"/>
    <x v="5"/>
    <x v="257"/>
    <s v="EAF 5765 Gent 18122024.pdf"/>
    <x v="2"/>
    <m/>
    <s v="ja"/>
    <e v="#N/A"/>
    <e v="#N/A"/>
    <n v="3"/>
  </r>
  <r>
    <n v="24367"/>
    <x v="58"/>
    <s v="Tayefeh Arbab"/>
    <s v="Ali"/>
    <x v="4"/>
    <x v="257"/>
    <s v="EAF 5767 Steendam Gent 18.12.2024.pdf"/>
    <x v="23"/>
    <m/>
    <s v="ja"/>
    <e v="#N/A"/>
    <e v="#N/A"/>
    <n v="3"/>
  </r>
  <r>
    <n v="40005"/>
    <x v="243"/>
    <s v="Bernaerts"/>
    <s v="Philip"/>
    <x v="5"/>
    <x v="258"/>
    <s v="EAF 5914 Gent 19122024.pdf"/>
    <x v="82"/>
    <m/>
    <s v="ja"/>
    <e v="#N/A"/>
    <e v="#N/A"/>
    <n v="2"/>
  </r>
  <r>
    <n v="40652"/>
    <x v="207"/>
    <s v="Van Damme"/>
    <s v="Gilyann"/>
    <x v="3"/>
    <x v="259"/>
    <s v="EAF 5039 Oostakker 20122024.pdf"/>
    <x v="21"/>
    <m/>
    <s v="ja"/>
    <e v="#N/A"/>
    <e v="#N/A"/>
    <n v="8"/>
  </r>
  <r>
    <n v="26847"/>
    <x v="244"/>
    <s v="De Meester"/>
    <s v="David"/>
    <x v="4"/>
    <x v="259"/>
    <s v="EAF 6362 Zwijnaardsestwg 20122024.pdf"/>
    <x v="12"/>
    <m/>
    <s v="ja"/>
    <e v="#N/A"/>
    <e v="#N/A"/>
    <n v="2"/>
  </r>
  <r>
    <n v="38938"/>
    <x v="28"/>
    <s v="Sedighi"/>
    <s v="Hamid"/>
    <x v="6"/>
    <x v="259"/>
    <s v="EAF 6366 Gent 20122024.pdf"/>
    <x v="7"/>
    <m/>
    <s v="ja"/>
    <e v="#N/A"/>
    <e v="#N/A"/>
    <n v="7"/>
  </r>
  <r>
    <n v="40414"/>
    <x v="245"/>
    <s v="Ennakaba"/>
    <s v="Khaoula"/>
    <x v="8"/>
    <x v="260"/>
    <s v="EAF 5325 Drongen 21122024.pdf"/>
    <x v="15"/>
    <m/>
    <s v="ja"/>
    <e v="#N/A"/>
    <e v="#N/A"/>
    <n v="1"/>
  </r>
  <r>
    <n v="21812"/>
    <x v="0"/>
    <e v="#N/A"/>
    <e v="#N/A"/>
    <x v="0"/>
    <x v="260"/>
    <s v="EAF 6314 Gent 21122024.pdf"/>
    <x v="2"/>
    <m/>
    <s v="ja"/>
    <e v="#N/A"/>
    <e v="#N/A"/>
    <n v="1"/>
  </r>
  <r>
    <n v="38938"/>
    <x v="28"/>
    <s v="Sedighi"/>
    <s v="Hamid"/>
    <x v="6"/>
    <x v="260"/>
    <s v="EAF 6321 Gentbrugge 21122024.pdf"/>
    <x v="56"/>
    <m/>
    <s v="ja"/>
    <e v="#N/A"/>
    <e v="#N/A"/>
    <n v="7"/>
  </r>
  <r>
    <n v="38938"/>
    <x v="28"/>
    <s v="Sedighi"/>
    <s v="Hamid"/>
    <x v="6"/>
    <x v="260"/>
    <s v="EAF 6362 Gent 21122024.pdf"/>
    <x v="71"/>
    <m/>
    <s v="ja"/>
    <e v="#N/A"/>
    <e v="#N/A"/>
    <n v="7"/>
  </r>
  <r>
    <n v="36358"/>
    <x v="246"/>
    <s v="De Nys"/>
    <s v="Elise"/>
    <x v="2"/>
    <x v="261"/>
    <s v="EAF 5360 Brugsesteenweg Gent 23122024.pdf"/>
    <x v="35"/>
    <m/>
    <s v="ja"/>
    <e v="#N/A"/>
    <e v="#N/A"/>
    <n v="2"/>
  </r>
  <r>
    <n v="4419"/>
    <x v="247"/>
    <s v="Maelbrancke"/>
    <s v="Eddy"/>
    <x v="6"/>
    <x v="262"/>
    <s v="EAF 5053 Gent St.Pietersstation 26122024 Maelbrancke Eddy.pdf"/>
    <x v="8"/>
    <m/>
    <s v="ja"/>
    <e v="#N/A"/>
    <e v="#N/A"/>
    <n v="4"/>
  </r>
  <r>
    <n v="9999"/>
    <x v="0"/>
    <e v="#N/A"/>
    <e v="#N/A"/>
    <x v="0"/>
    <x v="262"/>
    <s v="EAF 5914 Gent 26122024 Moez El Ouni.pdf"/>
    <x v="2"/>
    <m/>
    <s v="ja"/>
    <e v="#N/A"/>
    <e v="#N/A"/>
    <n v="59"/>
  </r>
  <r>
    <n v="9999"/>
    <x v="0"/>
    <e v="#N/A"/>
    <e v="#N/A"/>
    <x v="0"/>
    <x v="263"/>
    <s v="EAF 6371 Gent 27122024.pdf"/>
    <x v="27"/>
    <m/>
    <s v="ja"/>
    <e v="#N/A"/>
    <e v="#N/A"/>
    <n v="59"/>
  </r>
  <r>
    <n v="16546"/>
    <x v="248"/>
    <s v="Baert"/>
    <s v="Rosita"/>
    <x v="5"/>
    <x v="264"/>
    <s v="EAF 2548 Gent 28122024.pdf"/>
    <x v="70"/>
    <m/>
    <s v="ja"/>
    <e v="#N/A"/>
    <e v="#N/A"/>
    <n v="2"/>
  </r>
  <r>
    <n v="16546"/>
    <x v="248"/>
    <s v="Baert"/>
    <s v="Rosita"/>
    <x v="5"/>
    <x v="264"/>
    <s v="EAF 281224 AB2548.pdf"/>
    <x v="56"/>
    <m/>
    <s v="ja"/>
    <e v="#N/A"/>
    <e v="#N/A"/>
    <n v="2"/>
  </r>
  <r>
    <n v="39859"/>
    <x v="13"/>
    <s v="Costers"/>
    <s v="Kelly"/>
    <x v="4"/>
    <x v="265"/>
    <s v="EAF 2195 Ledebergplein Ledeberg 30.12.2024.pdf"/>
    <x v="49"/>
    <m/>
    <s v="ja"/>
    <e v="#N/A"/>
    <e v="#N/A"/>
    <n v="4"/>
  </r>
  <r>
    <n v="29179"/>
    <x v="98"/>
    <s v="Verwee"/>
    <s v="Dries"/>
    <x v="2"/>
    <x v="266"/>
    <s v="EAF 6326 Brusselsesteenweg 445 GB 31122024 Dries Verwee.pdf"/>
    <x v="56"/>
    <m/>
    <s v="ja"/>
    <e v="#N/A"/>
    <e v="#N/A"/>
    <n v="6"/>
  </r>
  <r>
    <n v="31490"/>
    <x v="0"/>
    <e v="#N/A"/>
    <e v="#N/A"/>
    <x v="0"/>
    <x v="267"/>
    <s v="https://delijn.sharepoint.com/:b:/r/teams/CTM-OTGentStad/Shared%20Documents/General/EAF/CSI(nieuwe%20sharepoint)%202025/Koer/EAF%205934%20Gentbrugge%2003012025.pdf?csf=1&amp;web=1&amp;e=OdsnIt"/>
    <x v="32"/>
    <n v="5934"/>
    <s v="ja"/>
    <s v="Bus"/>
    <s v="Standaard"/>
    <n v="1"/>
  </r>
  <r>
    <n v="36289"/>
    <x v="44"/>
    <s v="Van Rentergem"/>
    <s v="Steve"/>
    <x v="3"/>
    <x v="267"/>
    <s v="https://delijn.sharepoint.com/:b:/r/teams/CTM-OTGentStad/Shared%20Documents/General/EAF/CSI(nieuwe%20sharepoint)%202025/1.%20Januari/EAF%205048%20Gent%20Sint-Pieters%2003012025.pdf?csf=1&amp;web=1&amp;e=7dnish"/>
    <x v="8"/>
    <n v="5048"/>
    <s v="ja"/>
    <s v="Bus"/>
    <s v="Gelede"/>
    <n v="3"/>
  </r>
  <r>
    <n v="39014"/>
    <x v="64"/>
    <s v="Genbrugge"/>
    <s v="Kyllian"/>
    <x v="4"/>
    <x v="267"/>
    <s v="https://delijn.sharepoint.com/:b:/r/teams/CTM-OTGentStad/Shared%20Documents/General/EAF/CSI(nieuwe%20sharepoint)%202025/1.%20Januari/EAF%205048%2003012024%20Gentsestwg.pdf?csf=1&amp;web=1&amp;e=eXHeZR"/>
    <x v="151"/>
    <n v="5048"/>
    <s v="ja"/>
    <s v="Bus"/>
    <s v="Gelede"/>
    <n v="3"/>
  </r>
  <r>
    <n v="36426"/>
    <x v="249"/>
    <s v="Mohamed Yassin"/>
    <s v="Abdulhamid"/>
    <x v="4"/>
    <x v="267"/>
    <s v="https://delijn.sharepoint.com/:b:/r/teams/CTM-OTGentStad/Shared%20Documents/General/EAF/CSI(nieuwe%20sharepoint)%202025/1.%20Januari/EAF%206311%20Gent%2003012025.pdf?csf=1&amp;web=1&amp;e=2BaFcc"/>
    <x v="152"/>
    <n v="6311"/>
    <s v="Neen"/>
    <s v="Tram"/>
    <s v="Hermelijn"/>
    <n v="3"/>
  </r>
  <r>
    <n v="31231"/>
    <x v="82"/>
    <s v="Colaes"/>
    <s v="Dylan"/>
    <x v="3"/>
    <x v="267"/>
    <s v="https://delijn.sharepoint.com/:b:/r/teams/CTM-OTGentStad/Shared%20Documents/General/EAF/CSI(nieuwe%20sharepoint)%202025/1.%20Januari/EAF%206312%20Brusselsepoortstraat%20Gent%2003012025.pdf?csf=1&amp;web=1&amp;e=sVBnKa"/>
    <x v="153"/>
    <n v="6312"/>
    <s v="ja"/>
    <s v="Tram"/>
    <s v="Hermelijn"/>
    <n v="3"/>
  </r>
  <r>
    <n v="39358"/>
    <x v="40"/>
    <s v="Weeks Aracena"/>
    <s v="Jimmy Alexander"/>
    <x v="5"/>
    <x v="267"/>
    <s v="https://delijn.sharepoint.com/:b:/r/teams/CTM-OTGentStad/Shared%20Documents/General/EAF/CSI(nieuwe%20sharepoint)%202025/1.%20Januari/EAF%205229%20Gent%2003012025.pdf?csf=1&amp;web=1&amp;e=SbxtNJ"/>
    <x v="0"/>
    <n v="5229"/>
    <s v="ja"/>
    <s v="Bus"/>
    <s v="Gelede"/>
    <n v="5"/>
  </r>
  <r>
    <n v="40058"/>
    <x v="125"/>
    <s v="Sögüt"/>
    <s v="Can"/>
    <x v="5"/>
    <x v="267"/>
    <s v="EAF 5047 Gent 03012025.pdf"/>
    <x v="11"/>
    <n v="5047"/>
    <s v="Neen"/>
    <s v="Bus"/>
    <s v="Gelede"/>
    <n v="3"/>
  </r>
  <r>
    <n v="36663"/>
    <x v="250"/>
    <s v="Cesmeli"/>
    <s v="Achraf"/>
    <x v="7"/>
    <x v="268"/>
    <s v="Geen EAF Opgemaakt (via VWF)"/>
    <x v="154"/>
    <s v="-"/>
    <s v="ja"/>
    <n v="0"/>
    <s v="-"/>
    <n v="3"/>
  </r>
  <r>
    <n v="40138"/>
    <x v="227"/>
    <s v="Moerman"/>
    <s v="Tjimmy"/>
    <x v="5"/>
    <x v="268"/>
    <s v="https://delijn.sharepoint.com/:b:/r/teams/CTM-OTGentStad/Shared%20Documents/General/EAF/CSI(nieuwe%20sharepoint)%202025/1.%20Januari/EAF%205051%20Gent%2004012025.pdf?csf=1&amp;web=1&amp;e=R2H0Ug"/>
    <x v="72"/>
    <n v="5051"/>
    <s v="ja"/>
    <s v="Bus"/>
    <s v="Gelede"/>
    <n v="10"/>
  </r>
  <r>
    <n v="37950"/>
    <x v="124"/>
    <s v="De Naegel"/>
    <s v="Bruno"/>
    <x v="7"/>
    <x v="269"/>
    <s v="https://delijn.sharepoint.com/:b:/r/teams/CTM-OTGentStad/Shared%20Documents/General/EAF/CSI(nieuwe%20sharepoint)%202025/1.%20Januari/EAF%205931%20Bevrijdingslaan%2008012025%20Bruno%20De%20Naegel.pdf?csf=1&amp;web=1&amp;e=78802o"/>
    <x v="114"/>
    <n v="5931"/>
    <s v="ja"/>
    <s v="Bus"/>
    <s v="Standaard"/>
    <n v="3"/>
  </r>
  <r>
    <n v="41032"/>
    <x v="251"/>
    <s v="Rocabado Hinojosa"/>
    <s v="Lukas"/>
    <x v="3"/>
    <x v="270"/>
    <s v="https://delijn.sharepoint.com/:i:/r/teams/CTM-OTGentStad/Shared%20Documents/General/EAF/CSI(nieuwe%20sharepoint)%202025/1.%20Januari/achterkant.jpg?csf=1&amp;web=1&amp;e=mJAsup"/>
    <x v="12"/>
    <n v="5926"/>
    <s v="ja"/>
    <s v="Bus"/>
    <s v="Standaard"/>
    <n v="4"/>
  </r>
  <r>
    <n v="19917"/>
    <x v="11"/>
    <s v="Vandevyvere"/>
    <s v="Frank"/>
    <x v="4"/>
    <x v="271"/>
    <s v="https://delijn.sharepoint.com/:b:/r/teams/CTM-OTGentStad/Shared%20Documents/General/EAF/CSI(nieuwe%20sharepoint)%202025/1.%20Januari/EAF%205767%20Dendermondsesteenweg%20Gent%2010012025.pdf?csf=1&amp;web=1&amp;e=5vYL1N"/>
    <x v="9"/>
    <n v="5767"/>
    <s v="ja"/>
    <s v="Bus"/>
    <s v="Standaard"/>
    <n v="10"/>
  </r>
  <r>
    <n v="40266"/>
    <x v="185"/>
    <s v="Taibi"/>
    <s v="Yassine"/>
    <x v="5"/>
    <x v="271"/>
    <s v="https://delijn.sharepoint.com/:b:/r/teams/CTM-OTGentStad/Shared%20Documents/General/EAF/CSI(nieuwe%20sharepoint)%202025/1.%20Januari/EAF%205912%20Blandijnberg%2010012025%20Yassine%20Taibi.pdf?csf=1&amp;web=1&amp;e=8YVEw2"/>
    <x v="155"/>
    <n v="5912"/>
    <s v="ja"/>
    <s v="Bus"/>
    <s v="Standaard"/>
    <n v="3"/>
  </r>
  <r>
    <n v="36559"/>
    <x v="195"/>
    <s v="De Staercke"/>
    <s v="Sandra"/>
    <x v="1"/>
    <x v="271"/>
    <s v="https://delijn.sharepoint.com/:b:/r/teams/CTM-OTGentStad/Shared%20Documents/General/EAF/CSI(nieuwe%20sharepoint)%202025/1.%20Januari/EAF%206366%20Gent%2010012025.pdf?csf=1&amp;web=1&amp;e=ZJgv0h"/>
    <x v="156"/>
    <n v="6366"/>
    <s v="ja"/>
    <s v="Tram"/>
    <s v="Flexity"/>
    <n v="2"/>
  </r>
  <r>
    <n v="33986"/>
    <x v="150"/>
    <s v="Göktas"/>
    <s v="Muharrem"/>
    <x v="1"/>
    <x v="272"/>
    <s v="https://delijn.sharepoint.com/:b:/r/teams/CTM-OTGentStad/Shared%20Documents/General/EAF/CSI(nieuwe%20sharepoint)%202025/1.%20Januari/EAF%205267%20Gent%2012012025.pdf?csf=1&amp;web=1&amp;e=Iapyqk"/>
    <x v="157"/>
    <n v="5267"/>
    <s v="ja"/>
    <s v="Bus"/>
    <s v="Gelede"/>
    <n v="4"/>
  </r>
  <r>
    <n v="36428"/>
    <x v="173"/>
    <s v="Abdi Shaiye"/>
    <s v="Rashid"/>
    <x v="6"/>
    <x v="272"/>
    <s v="https://delijn.sharepoint.com/:b:/r/teams/CTM-OTGentStad/Shared%20Documents/General/EAF/CSI(nieuwe%20sharepoint)%202025/1.%20Januari/EAF%205328%20Gent%20-%20E17%2012012025%20Abdi%20Shane%20Rashid.pdf?csf=1&amp;web=1&amp;e=ulq6g3"/>
    <x v="0"/>
    <n v="5328"/>
    <s v="ja"/>
    <s v="Bus"/>
    <s v="Gelede"/>
    <n v="6"/>
  </r>
  <r>
    <n v="22052"/>
    <x v="252"/>
    <s v="Meyvaert"/>
    <s v="Peter"/>
    <x v="2"/>
    <x v="273"/>
    <s v="EAF 5263 Mariakerke 13012025.pdf"/>
    <x v="35"/>
    <n v="5263"/>
    <s v="Neen"/>
    <s v="Bus"/>
    <s v="Gelede"/>
    <n v="1"/>
  </r>
  <r>
    <n v="40444"/>
    <x v="253"/>
    <s v="Van Damme"/>
    <s v="Glenn"/>
    <x v="2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x v="109"/>
    <n v="5260"/>
    <s v="ja"/>
    <s v="Bus"/>
    <s v="Gelede"/>
    <n v="1"/>
  </r>
  <r>
    <n v="25487"/>
    <x v="128"/>
    <s v="Devos"/>
    <s v="Stefaan"/>
    <x v="8"/>
    <x v="274"/>
    <s v="https://delijn.sharepoint.com/:b:/r/teams/CTM-OTGentStad/Shared%20Documents/General/EAF/CSI(nieuwe%20sharepoint)%202025/1.%20Januari/EAF%2014012025_2%205912%20Gent%20Stefaan%20Devos.pdf?csf=1&amp;web=1&amp;e=phoLIt"/>
    <x v="158"/>
    <n v="5912"/>
    <s v="ja"/>
    <s v="Bus"/>
    <s v="Standaard"/>
    <n v="4"/>
  </r>
  <r>
    <n v="36626"/>
    <x v="12"/>
    <s v="Kartal"/>
    <s v="Kadir"/>
    <x v="2"/>
    <x v="274"/>
    <s v="https://delijn.sharepoint.com/:b:/r/teams/CTM-OTGentStad/Shared%20Documents/General/EAF/CSI(nieuwe%20sharepoint)%202025/1.%20Januari/EAF%205927%20Nieuwe%20Wandeling%20Gent%2014012025.pdf?csf=1&amp;web=1&amp;e=I2N7ub"/>
    <x v="59"/>
    <n v="5927"/>
    <s v="ja"/>
    <s v="Bus"/>
    <s v="Standaard"/>
    <n v="10"/>
  </r>
  <r>
    <n v="41090"/>
    <x v="0"/>
    <e v="#N/A"/>
    <e v="#N/A"/>
    <x v="0"/>
    <x v="274"/>
    <s v="https://delijn.sharepoint.com/:b:/r/teams/CTM-OTGentStad/Shared%20Documents/General/EAF/CSI(nieuwe%20sharepoint)%202025/1.%20Januari/EAF%205929%20Stelplaats%2014012025%20Moez%20El%20Ouni.pdf?csf=1&amp;web=1&amp;e=bu2hE2"/>
    <x v="32"/>
    <n v="5929"/>
    <s v="ja"/>
    <s v="Bus"/>
    <s v="Standaard"/>
    <n v="1"/>
  </r>
  <r>
    <n v="30967"/>
    <x v="226"/>
    <s v="Taser"/>
    <s v="Fatih"/>
    <x v="7"/>
    <x v="275"/>
    <s v="https://delijn.sharepoint.com/:b:/r/teams/CTM-OTGentStad/Shared%20Documents/General/EAF/CSI(nieuwe%20sharepoint)%202025/1.%20Januari/EAF%206334%2015012025%20Neuseplein%20Fatih%20Taser.pdf?csf=1&amp;web=1&amp;e=EAzEQ3"/>
    <x v="159"/>
    <n v="6334"/>
    <s v="ja"/>
    <s v="Tram"/>
    <s v="Hermelijn"/>
    <n v="3"/>
  </r>
  <r>
    <n v="40005"/>
    <x v="243"/>
    <s v="Bernaerts"/>
    <s v="Philip"/>
    <x v="5"/>
    <x v="275"/>
    <s v="https://delijn.sharepoint.com/:b:/r/teams/CTM-OTGentStad/Shared%20Documents/General/EAF/CSI(nieuwe%20sharepoint)%202025/1.%20Januari/EAF%205920%20Gent%2015012025.pdf?csf=1&amp;web=1&amp;e=LrqePB"/>
    <x v="7"/>
    <n v="5920"/>
    <s v="ja"/>
    <s v="Bus"/>
    <s v="Standaard"/>
    <n v="2"/>
  </r>
  <r>
    <n v="40969"/>
    <x v="0"/>
    <e v="#N/A"/>
    <e v="#N/A"/>
    <x v="0"/>
    <x v="276"/>
    <s v="https://delijn.sharepoint.com/:b:/r/teams/CTM-OTGentStad/Shared%20Documents/General/EAF/CSI(nieuwe%20sharepoint)%202025/1.%20Januari/EAF%2014012025%205771%20Gent%20melisa%20kerman.pdf?csf=1&amp;web=1&amp;e=9DGLKj"/>
    <x v="9"/>
    <n v="5771"/>
    <s v="ja"/>
    <s v="Bus"/>
    <s v="Standaard"/>
    <n v="1"/>
  </r>
  <r>
    <n v="36626"/>
    <x v="12"/>
    <s v="Kartal"/>
    <s v="Kadir"/>
    <x v="2"/>
    <x v="276"/>
    <s v="https://delijn.sharepoint.com/:b:/r/teams/CTM-OTGentStad/Shared%20Documents/General/EAF/CSI(nieuwe%20sharepoint)%202025/1.%20Januari/EAF%206357%20Brusselsesteenweg%20Gentbrugge%2016012025.pdf?csf=1&amp;web=1&amp;e=1PUmmf"/>
    <x v="56"/>
    <n v="6357"/>
    <s v="ja"/>
    <s v="Tram"/>
    <s v="Flexity"/>
    <n v="10"/>
  </r>
  <r>
    <n v="19249"/>
    <x v="142"/>
    <s v="Odaci"/>
    <s v="Kadir"/>
    <x v="6"/>
    <x v="277"/>
    <s v="EAF 6337 Gent 17012025.pdf"/>
    <x v="74"/>
    <n v="6337"/>
    <s v="Neen"/>
    <s v="Tram"/>
    <s v="Hermelijn"/>
    <n v="4"/>
  </r>
  <r>
    <n v="22240"/>
    <x v="72"/>
    <s v="Delahaye"/>
    <s v="Karina"/>
    <x v="2"/>
    <x v="277"/>
    <s v="https://delijn.sharepoint.com/:b:/r/teams/CTM-OTGentStad/Shared%20Documents/General/EAF/CSI(nieuwe%20sharepoint)%202025/1.%20Januari/EAF%206355%20Gent%2017012025.pdf?csf=1&amp;web=1&amp;e=Hl5VXa"/>
    <x v="160"/>
    <n v="6355"/>
    <s v="ja"/>
    <s v="Tram"/>
    <s v="Flexity"/>
    <n v="2"/>
  </r>
  <r>
    <n v="35588"/>
    <x v="189"/>
    <s v="Smesman"/>
    <s v="Glenn"/>
    <x v="6"/>
    <x v="278"/>
    <s v="EAF 6356 Gentbrugge 18012025.pdf"/>
    <x v="1"/>
    <n v="6356"/>
    <s v="Neen"/>
    <s v="Tram"/>
    <s v="Flexity"/>
    <n v="3"/>
  </r>
  <r>
    <n v="8394"/>
    <x v="70"/>
    <s v="Smet"/>
    <s v="Antoon"/>
    <x v="6"/>
    <x v="279"/>
    <s v="https://delijn.sharepoint.com/:b:/r/teams/CTM-OTGentStad/Shared%20Documents/General/EAF/CSI(nieuwe%20sharepoint)%202025/1.%20Januari/EAF%205039%20Gent%20Smet%20Antoon%208394%2020012025.pdf?csf=1&amp;web=1&amp;e=1JqeX6"/>
    <x v="57"/>
    <n v="5039"/>
    <s v="ja"/>
    <s v="Bus"/>
    <s v="Gelede"/>
    <n v="4"/>
  </r>
  <r>
    <n v="33965"/>
    <x v="0"/>
    <e v="#N/A"/>
    <e v="#N/A"/>
    <x v="0"/>
    <x v="279"/>
    <s v="https://delijn.sharepoint.com/:b:/r/teams/CTM-OTGentStad/Shared%20Documents/General/EAF/CSI(nieuwe%20sharepoint)%202025/1.%20Januari/EAF%206327%20Gent%2020012025.pdf?csf=1&amp;web=1&amp;e=YyVtbb"/>
    <x v="12"/>
    <n v="6327"/>
    <s v="ja"/>
    <s v="Tram"/>
    <s v="Hermelijn"/>
    <n v="10"/>
  </r>
  <r>
    <n v="21581"/>
    <x v="161"/>
    <s v="Vanderstraeten"/>
    <s v="Franky"/>
    <x v="6"/>
    <x v="280"/>
    <s v="https://delijn.sharepoint.com/:b:/r/teams/CTM-OTGentStad/Shared%20Documents/General/EAF/CSI(nieuwe%20sharepoint)%202025/1.%20Januari/EAF%205040%20Gent%2020012025.pdf?csf=1&amp;web=1&amp;e=RlKypG"/>
    <x v="161"/>
    <n v="5040"/>
    <s v="Neen"/>
    <s v="Bus"/>
    <s v="Gelede"/>
    <n v="2"/>
  </r>
  <r>
    <n v="39673"/>
    <x v="17"/>
    <s v="Steurbaut"/>
    <s v="Henri"/>
    <x v="3"/>
    <x v="280"/>
    <s v="https://delijn.sharepoint.com/:b:/r/teams/CTM-OTGentStad/Shared%20Documents/General/EAF/CSI(nieuwe%20sharepoint)%202025/1.%20Januari/EAF%205922%20Sanderuustraat%2021012025%20Henri%20Steurbaut.pdf?csf=1&amp;web=1&amp;e=Gv9PYU"/>
    <x v="158"/>
    <n v="5922"/>
    <s v="ja"/>
    <s v="Bus"/>
    <s v="Standaard"/>
    <n v="5"/>
  </r>
  <r>
    <n v="39660"/>
    <x v="0"/>
    <e v="#N/A"/>
    <e v="#N/A"/>
    <x v="0"/>
    <x v="281"/>
    <s v="https://delijn.sharepoint.com/:b:/r/teams/CTM-OTGentStad/Shared%20Documents/General/EAF/CSI(nieuwe%20sharepoint)%202025/1.%20Januari/EAF%205264%20Morekstraat%20Wondelgem%2022.01.2025.pdf?csf=1&amp;web=1&amp;e=vTRSRN"/>
    <x v="24"/>
    <n v="5264"/>
    <s v="ja"/>
    <s v="Bus"/>
    <s v="Gelede"/>
    <n v="6"/>
  </r>
  <r>
    <n v="41162"/>
    <x v="254"/>
    <s v="Hoeckman"/>
    <s v="Jeroen"/>
    <x v="7"/>
    <x v="281"/>
    <s v="https://delijn.sharepoint.com/:b:/r/teams/CTM-OTGentStad/Shared%20Documents/General/EAF/CSI(nieuwe%20sharepoint)%202025/1.%20Januari/EAF%205929%20%20Gent%2022012025%20Jeroen%20Hoeckman%2041162.pdf?csf=1&amp;web=1&amp;e=giMGLm"/>
    <x v="125"/>
    <n v="5929"/>
    <s v="ja"/>
    <s v="Bus"/>
    <s v="Standaard"/>
    <n v="5"/>
  </r>
  <r>
    <n v="34351"/>
    <x v="108"/>
    <s v="Callant"/>
    <s v="Dieter"/>
    <x v="3"/>
    <x v="281"/>
    <s v="https://delijn.sharepoint.com/:b:/r/teams/CTM-OTGentStad/Shared%20Documents/General/EAF/CSI(nieuwe%20sharepoint)%202025/1.%20Januari/EAF%206324%20Poperingestraat%20Gent%2022012025.pdf?csf=1&amp;web=1&amp;e=6XDCJ6"/>
    <x v="31"/>
    <n v="6324"/>
    <s v="ja"/>
    <s v="Tram"/>
    <s v="Hermelijn"/>
    <n v="3"/>
  </r>
  <r>
    <n v="35395"/>
    <x v="154"/>
    <s v="Limbourg"/>
    <s v="Heidi"/>
    <x v="8"/>
    <x v="282"/>
    <s v="https://delijn.sharepoint.com/:b:/r/teams/CTM-OTGentStad/Shared%20Documents/General/EAF/CSI(nieuwe%20sharepoint)%202025/1.%20Januari/EAF%206320%20Gentbrugge%2023012025.pdf?csf=1&amp;web=1&amp;e=NJR931"/>
    <x v="5"/>
    <n v="6320"/>
    <s v="ja"/>
    <s v="Tram"/>
    <s v="Hermelijn"/>
    <n v="2"/>
  </r>
  <r>
    <n v="31360"/>
    <x v="181"/>
    <s v="Simsek"/>
    <s v="Fatih"/>
    <x v="7"/>
    <x v="282"/>
    <s v="https://delijn.sharepoint.com/:b:/r/teams/CTM-OTGentStad/Shared%20Documents/General/EAF/CSI(nieuwe%20sharepoint)%202025/1.%20Januari/EAF%206325%20Gent%2023012025.pdf?csf=1&amp;web=1&amp;e=SzvGqf"/>
    <x v="162"/>
    <n v="6325"/>
    <s v="ja"/>
    <s v="Tram"/>
    <s v="Hermelijn"/>
    <n v="3"/>
  </r>
  <r>
    <n v="13398"/>
    <x v="255"/>
    <s v="Kirdas"/>
    <s v="Ramazan"/>
    <x v="7"/>
    <x v="283"/>
    <s v="https://delijn.sharepoint.com/:b:/r/teams/CTM-OTGentStad/Shared%20Documents/General/EAF/CSI(nieuwe%20sharepoint)%202025/1.%20Januari/EAF%206333%20Gent%2024012025.pdf?csf=1&amp;web=1&amp;e=CdRRgw"/>
    <x v="143"/>
    <n v="6333"/>
    <s v="ja"/>
    <s v="Tram"/>
    <s v="Hermelijn"/>
    <n v="1"/>
  </r>
  <r>
    <n v="36663"/>
    <x v="250"/>
    <s v="Cesmeli"/>
    <s v="Achraf"/>
    <x v="7"/>
    <x v="284"/>
    <s v="https://delijn.sharepoint.com/:b:/r/teams/CTM-OTGentStad/Shared%20Documents/General/EAF/CSI(nieuwe%20sharepoint)%202025/1.%20Januari/EAF%205267%20Ledebergplein%2027012025%20Achraf%20Cesmeli.pdf?csf=1&amp;web=1&amp;e=q2VPsx"/>
    <x v="49"/>
    <n v="5267"/>
    <s v="ja"/>
    <s v="Bus"/>
    <s v="Gelede"/>
    <n v="3"/>
  </r>
  <r>
    <n v="21509"/>
    <x v="61"/>
    <s v="De Craemer"/>
    <s v="Kris"/>
    <x v="7"/>
    <x v="284"/>
    <s v="EAF 6303 Ledebergplein 27012025 Kris De Craemer.pdf"/>
    <x v="49"/>
    <n v="6303"/>
    <s v="Neen"/>
    <s v="Tram"/>
    <s v="Hermelijn"/>
    <n v="6"/>
  </r>
  <r>
    <n v="35491"/>
    <x v="256"/>
    <s v="Toubadie"/>
    <s v="Zakaria"/>
    <x v="3"/>
    <x v="285"/>
    <s v="https://delijn.sharepoint.com/:b:/r/teams/CTM-OTGentStad/Shared%20Documents/General/EAF/CSI(nieuwe%20sharepoint)%202025/1.%20Januari/EAF%205235%20Nieuwe%20Wandeling%20Gent%2028012025.pdf?csf=1&amp;web=1&amp;e=Ae8kzb"/>
    <x v="59"/>
    <n v="5235"/>
    <s v="ja"/>
    <s v="Bus"/>
    <s v="Gelede"/>
    <n v="2"/>
  </r>
  <r>
    <n v="40138"/>
    <x v="227"/>
    <s v="Moerman"/>
    <s v="Tjimmy"/>
    <x v="5"/>
    <x v="285"/>
    <s v="https://delijn.sharepoint.com/:b:/r/teams/CTM-OTGentStad/Shared%20Documents/General/EAF/CSI(nieuwe%20sharepoint)%202025/1.%20Januari/EAF%205923%20Gent%20Moerman%20Jimmy%2040138%2028012025.pdf?csf=1&amp;web=1&amp;e=kKemrH"/>
    <x v="14"/>
    <n v="5923"/>
    <s v="ja"/>
    <s v="Bus"/>
    <s v="Standaard"/>
    <n v="10"/>
  </r>
  <r>
    <n v="33640"/>
    <x v="257"/>
    <s v="Verschraegen"/>
    <s v="Patrick"/>
    <x v="8"/>
    <x v="286"/>
    <s v="https://delijn.sharepoint.com/:b:/r/teams/CTM-OTGentStad/Shared%20Documents/General/EAF/CSI(nieuwe%20sharepoint)%202025/1.%20Januari/EAF%2029012025%205763%20Gent%20%20Patrick%20Verschraegen%2033640.pdf?csf=1&amp;web=1&amp;e=zzXFvZ"/>
    <x v="163"/>
    <n v="5763"/>
    <s v="ja"/>
    <s v="Bus"/>
    <s v="Standaard"/>
    <n v="1"/>
  </r>
  <r>
    <n v="19249"/>
    <x v="142"/>
    <s v="Odaci"/>
    <s v="Kadir"/>
    <x v="6"/>
    <x v="286"/>
    <s v="https://delijn.sharepoint.com/:b:/r/teams/CTM-OTGentStad/Shared%20Documents/General/EAF/CSI(nieuwe%20sharepoint)%202025/1.%20Januari/EAF%206337%20Gent%20Coupure%20Rechts%2029012025%20Odaci%20Kadir.pdf?csf=1&amp;web=1&amp;e=4Bvwil"/>
    <x v="162"/>
    <n v="6337"/>
    <s v="ja"/>
    <s v="Tram"/>
    <s v="Hermelijn"/>
    <n v="4"/>
  </r>
  <r>
    <n v="21424"/>
    <x v="258"/>
    <s v="Verstichel"/>
    <s v="Jethro"/>
    <x v="2"/>
    <x v="286"/>
    <s v="https://delijn.sharepoint.com/:b:/r/teams/CTM-OTGentStad/Shared%20Documents/General/EAF/CSI(nieuwe%20sharepoint)%202025/1.%20Januari/EAF%206368%20Zwijnaarde%2021424%20Verstichel%20Jethro%2029012025.pdf?csf=1&amp;web=1&amp;e=ev8Uwz"/>
    <x v="12"/>
    <n v="6368"/>
    <s v="ja"/>
    <s v="Tram"/>
    <s v="Flexity"/>
    <n v="2"/>
  </r>
  <r>
    <n v="40652"/>
    <x v="207"/>
    <s v="Van Damme"/>
    <s v="Gilyann"/>
    <x v="3"/>
    <x v="287"/>
    <s v="https://delijn.sharepoint.com/:b:/r/teams/CTM-OTGentStad/Shared%20Documents/General/EAF/CSI(nieuwe%20sharepoint)%202025/1.%20Januari/EAF%202204%20Gent%2030012025%2040652%20Van%20Damme%20Gilyanne.pdf?csf=1&amp;web=1&amp;e=e1WMM6"/>
    <x v="22"/>
    <n v="2204"/>
    <s v="ja"/>
    <s v="Bus"/>
    <s v="Gelede"/>
    <n v="8"/>
  </r>
  <r>
    <n v="36663"/>
    <x v="250"/>
    <s v="Cesmeli"/>
    <s v="Achraf"/>
    <x v="7"/>
    <x v="288"/>
    <s v="https://delijn.sharepoint.com/:b:/r/teams/CTM-OTGentStad/Shared%20Documents/General/EAF/CSI(nieuwe%20sharepoint)%202025/1.%20Januari/EAF%205053%20E17%2031012025%20Achraf%20Cesmeli.pdf?csf=1&amp;web=1&amp;e=hL9ZUE"/>
    <x v="0"/>
    <n v="5053"/>
    <s v="ja"/>
    <s v="Bus"/>
    <s v="Gelede"/>
    <n v="3"/>
  </r>
  <r>
    <n v="39532"/>
    <x v="158"/>
    <s v="Sahin"/>
    <s v="Orhan"/>
    <x v="5"/>
    <x v="289"/>
    <s v="https://delijn.sharepoint.com/:b:/r/teams/CTM-OTGentStad/Shared%20Documents/General/EAF/CSI(nieuwe%20sharepoint)%202025/2.%20Februari/EAF%205048%20E17%20parking%2001022025.pdf?csf=1&amp;web=1&amp;e=oybdIm"/>
    <x v="0"/>
    <n v="5048"/>
    <s v="ja"/>
    <s v="Bus"/>
    <s v="Gelede"/>
    <n v="7"/>
  </r>
  <r>
    <n v="37496"/>
    <x v="186"/>
    <s v="Oosterlinck"/>
    <s v="Willy"/>
    <x v="7"/>
    <x v="290"/>
    <s v="https://delijn.sharepoint.com/:b:/r/teams/CTM-OTGentStad/Shared%20Documents/General/EAF/CSI(nieuwe%20sharepoint)%202025/2.%20Februari/EAF%206327%20Ledeberg%20Oosterlinck%20Willy%206327%2002022025.pdf?csf=1&amp;web=1&amp;e=IyOwBT"/>
    <x v="56"/>
    <n v="6327"/>
    <s v="ja"/>
    <s v="Tram"/>
    <s v="Hermelijn"/>
    <n v="4"/>
  </r>
  <r>
    <n v="13568"/>
    <x v="0"/>
    <e v="#N/A"/>
    <e v="#N/A"/>
    <x v="0"/>
    <x v="291"/>
    <s v="EAf 5916 Wondelgem 13568 Dirk Reynen 03022025.pdf"/>
    <x v="164"/>
    <n v="5916"/>
    <s v="ja"/>
    <s v="Bus"/>
    <s v="Standaard"/>
    <n v="1"/>
  </r>
  <r>
    <n v="16545"/>
    <x v="218"/>
    <s v="Toch"/>
    <s v="Erwin"/>
    <x v="4"/>
    <x v="291"/>
    <s v="https://delijn.sharepoint.com/:b:/r/teams/CTM-OTGentStad/Shared%20Documents/General/EAF/CSI(nieuwe%20sharepoint)%202025/2.%20Februari/EAF%205327%20Sint-Pietersstation%20Gent%2003.02.2025.pdf?csf=1&amp;web=1&amp;e=3KRGB3"/>
    <x v="8"/>
    <n v="5327"/>
    <s v="ja"/>
    <s v="Bus"/>
    <s v="Gelede"/>
    <n v="2"/>
  </r>
  <r>
    <n v="21424"/>
    <x v="258"/>
    <s v="Verstichel"/>
    <s v="Jethro"/>
    <x v="2"/>
    <x v="291"/>
    <s v="https://delijn.sharepoint.com/:b:/r/teams/CTM-OTGentStad/Shared%20Documents/General/EAF/CSI(nieuwe%20sharepoint)%202025/2.%20Februari/EAF%205911%20Gent%2021424%20Verstichel%20Jethro%2003022025.pdf?csf=1&amp;web=1&amp;e=vo6oQx"/>
    <x v="165"/>
    <n v="5911"/>
    <s v="ja"/>
    <s v="Bus"/>
    <s v="Standaard"/>
    <n v="2"/>
  </r>
  <r>
    <n v="12514"/>
    <x v="259"/>
    <s v="De Smet"/>
    <s v="Kenneth"/>
    <x v="6"/>
    <x v="291"/>
    <s v="https://delijn.sharepoint.com/:b:/r/teams/CTM-OTGentStad/Shared%20Documents/General/EAF/CSI(nieuwe%20sharepoint)%202025/2.%20Februari/EAF%206314%20Gent%2012514%20De%20Smet%20Kenneth%2003022025.pdf?csf=1&amp;web=1&amp;e=sabpIJ"/>
    <x v="66"/>
    <n v="6314"/>
    <s v="ja"/>
    <s v="Tram"/>
    <s v="Hermelijn"/>
    <n v="1"/>
  </r>
  <r>
    <n v="40859"/>
    <x v="210"/>
    <s v="Yagoub"/>
    <s v="Abdelali"/>
    <x v="3"/>
    <x v="292"/>
    <s v="https://delijn.sharepoint.com/:b:/r/teams/CTM-OTGentStad/Shared%20Documents/General/EAF/CSI(nieuwe%20sharepoint)%202025/2.%20Februari/EAF%205325%20Wittewalle%20Oostakker%2005022025.pdf?csf=1&amp;web=1&amp;e=ycr1B0"/>
    <x v="166"/>
    <n v="5325"/>
    <s v="ja"/>
    <s v="Bus"/>
    <s v="Gelede"/>
    <n v="4"/>
  </r>
  <r>
    <n v="41092"/>
    <x v="229"/>
    <s v="De Keyser"/>
    <s v="Dorien"/>
    <x v="7"/>
    <x v="292"/>
    <s v="https://delijn.sharepoint.com/:b:/r/teams/CTM-OTGentStad/Shared%20Documents/General/EAF/CSI(nieuwe%20sharepoint)%202025/2.%20Februari/EAF%205935%20Steenakker%2005022025%20Dorien%20De%20Keyser.pdf?csf=1&amp;web=1&amp;e=ZxVG7Z"/>
    <x v="167"/>
    <n v="5935"/>
    <s v="ja"/>
    <s v="Bus"/>
    <s v="Standaard"/>
    <n v="9"/>
  </r>
  <r>
    <n v="41162"/>
    <x v="254"/>
    <s v="Hoeckman"/>
    <s v="Jeroen"/>
    <x v="7"/>
    <x v="292"/>
    <s v="https://delijn.sharepoint.com/:b:/r/teams/CTM-OTGentStad/Shared%20Documents/General/EAF/CSI(nieuwe%20sharepoint)%202025/2.%20Februari/EAF%205769%20Van%20Goethemstraat%2005022025%20Jeroen%20Hoeckman.pdf?csf=1&amp;web=1&amp;e=gR542X"/>
    <x v="168"/>
    <n v="5769"/>
    <s v="ja"/>
    <s v="Bus"/>
    <s v="Standaard"/>
    <n v="5"/>
  </r>
  <r>
    <n v="40266"/>
    <x v="185"/>
    <s v="Taibi"/>
    <s v="Yassine"/>
    <x v="5"/>
    <x v="292"/>
    <s v="https://delijn.sharepoint.com/:b:/r/teams/CTM-OTGentStad/Shared%20Documents/General/EAF/CSI(nieuwe%20sharepoint)%202025/2.%20Februari/EAF%202199%20Deinze%2040266%20Taibi%20Yassine%2005022025.pdf?csf=1&amp;web=1&amp;e=Ho3WJM"/>
    <x v="10"/>
    <n v="2199"/>
    <s v="ja"/>
    <s v="Bus"/>
    <s v="Gelede"/>
    <n v="3"/>
  </r>
  <r>
    <n v="40856"/>
    <x v="260"/>
    <s v="Neissi"/>
    <s v="Sadegh"/>
    <x v="1"/>
    <x v="293"/>
    <s v="https://delijn.sharepoint.com/:b:/r/teams/CTM-OTGentStad/Shared%20Documents/General/EAF/CSI(nieuwe%20sharepoint)%202025/2.%20Februari/EAF%202208%20Gent%2006022025%2040856%20Neissi%20Sadegh.pdf?csf=1&amp;web=1&amp;e=n8OqOd"/>
    <x v="169"/>
    <n v="2208"/>
    <s v="ja"/>
    <s v="Bus"/>
    <s v="Gelede"/>
    <n v="5"/>
  </r>
  <r>
    <n v="17951"/>
    <x v="261"/>
    <s v="Lega"/>
    <s v="Claude"/>
    <x v="4"/>
    <x v="293"/>
    <s v="https://delijn.sharepoint.com/:b:/r/teams/CTM-OTGentStad/Shared%20Documents/General/EAF/CSI(nieuwe%20sharepoint)%202025/2.%20Februari/EAF%206317%20Gent%2006022025%2017951%20Claude%20Lega.pdf?csf=1&amp;web=1&amp;e=aqrFXe"/>
    <x v="111"/>
    <n v="6317"/>
    <s v="ja"/>
    <s v="Tram"/>
    <s v="Hermelijn"/>
    <n v="1"/>
  </r>
  <r>
    <n v="4419"/>
    <x v="247"/>
    <s v="Maelbrancke"/>
    <s v="Eddy"/>
    <x v="6"/>
    <x v="294"/>
    <s v="https://delijn.sharepoint.com/:b:/r/teams/CTM-OTGentStad/Shared%20Documents/General/EAF/CSI(nieuwe%20sharepoint)%202025/2.%20Februari/EAF%202195%20Gent%2007022025%204419%20Maelbrancke%20Eddy.pdf?csf=1&amp;web=1&amp;e=EUeWWV"/>
    <x v="2"/>
    <n v="2195"/>
    <s v="ja"/>
    <s v="Bus"/>
    <s v="Gelede"/>
    <n v="4"/>
  </r>
  <r>
    <n v="40055"/>
    <x v="262"/>
    <s v="Afara"/>
    <s v="Ammar"/>
    <x v="3"/>
    <x v="294"/>
    <s v="https://delijn.sharepoint.com/:b:/r/teams/CTM-OTGentStad/Shared%20Documents/General/EAF/CSI(nieuwe%20sharepoint)%202025/2.%20Februari/EAF%205261%20Sint-Pietersstation%20Gent%2007022025.pdf?csf=1&amp;web=1&amp;e=yXc4ol"/>
    <x v="8"/>
    <n v="5261"/>
    <s v="ja"/>
    <s v="Bus"/>
    <s v="Gelede"/>
    <n v="2"/>
  </r>
  <r>
    <n v="28737"/>
    <x v="263"/>
    <s v="El-Mohamed"/>
    <s v="Mohamed"/>
    <x v="6"/>
    <x v="295"/>
    <s v="https://delijn.sharepoint.com/:b:/r/teams/CTM-OTGentStad/Shared%20Documents/General/EAF/CSI(nieuwe%20sharepoint)%202025/2.%20Februari/EAF%206369%20Gent%20Sint-Baafsplein%2010022025%20El-Mohamed%20Mohamed.pdf?csf=1&amp;web=1&amp;e=UMJ09G"/>
    <x v="170"/>
    <n v="6369"/>
    <s v="ja"/>
    <s v="Tram"/>
    <s v="Flexity"/>
    <n v="4"/>
  </r>
  <r>
    <n v="25679"/>
    <x v="264"/>
    <s v="Vanrenterghem"/>
    <s v="Serge"/>
    <x v="5"/>
    <x v="296"/>
    <s v="https://delijn.sharepoint.com/:b:/r/teams/CTM-OTGentStad/Shared%20Documents/General/EAF/CSI(nieuwe%20sharepoint)%202025/2.%20Februari/EAF%204676%20Gent%2011022025%2025679%20Van%20Renterghem%20Serge.pdf?csf=1&amp;web=1&amp;e=djQVPq"/>
    <x v="2"/>
    <n v="4676"/>
    <s v="Neen"/>
    <s v="Bus"/>
    <s v="Citybus"/>
    <n v="2"/>
  </r>
  <r>
    <n v="40223"/>
    <x v="0"/>
    <e v="#N/A"/>
    <e v="#N/A"/>
    <x v="0"/>
    <x v="296"/>
    <s v="https://delijn.sharepoint.com/:b:/r/teams/CTM-OTGentStad/Shared%20Documents/General/EAF/CSI(nieuwe%20sharepoint)%202025/2.%20Februari/EAF%205052%20Antoon%20Catriestraat%2011022025%20Eva%20Teetaert.pdf?csf=1&amp;web=1&amp;e=UVm51Z"/>
    <x v="171"/>
    <n v="5052"/>
    <s v="ja"/>
    <s v="Bus"/>
    <s v="Gelede"/>
    <n v="8"/>
  </r>
  <r>
    <n v="39267"/>
    <x v="265"/>
    <s v="Van Holsbeeck"/>
    <s v="Jens"/>
    <x v="5"/>
    <x v="297"/>
    <s v="https://delijn.sharepoint.com/:b:/r/teams/CTM-OTGentStad/Shared%20Documents/General/EAF/CSI(nieuwe%20sharepoint)%202025/2.%20Februari/EAF%206317%20Gent%2012022025%20392967%20Van%20Holsbeeck%20Jens.pdf?csf=1&amp;web=1&amp;e=F0ld3s"/>
    <x v="49"/>
    <n v="6317"/>
    <s v="ja"/>
    <s v="Tram"/>
    <s v="Hermelijn"/>
    <n v="1"/>
  </r>
  <r>
    <n v="6229"/>
    <x v="266"/>
    <s v="De Meyer"/>
    <s v="Antoon"/>
    <x v="3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x v="172"/>
    <n v="5240"/>
    <s v="ja"/>
    <s v="Bus"/>
    <s v="Gelede"/>
    <n v="1"/>
  </r>
  <r>
    <n v="11236"/>
    <x v="59"/>
    <s v="Baert"/>
    <s v="Freddy"/>
    <x v="4"/>
    <x v="299"/>
    <s v="https://delijn.sharepoint.com/:b:/r/teams/CTM-OTGentStad/Shared%20Documents/General/EAF/CSI(nieuwe%20sharepoint)%202025/2.%20Februari/EAF%205241%20Gentbruggebrug%2014.02.2025.pdf?csf=1&amp;web=1&amp;e=fgQjVx"/>
    <x v="6"/>
    <n v="5241"/>
    <s v="ja"/>
    <s v="Bus"/>
    <s v="Gelede"/>
    <n v="4"/>
  </r>
  <r>
    <n v="37662"/>
    <x v="175"/>
    <s v="Van den Meerssche"/>
    <s v="Steven"/>
    <x v="4"/>
    <x v="299"/>
    <s v="https://delijn.sharepoint.com/:b:/r/teams/CTM-OTGentStad/Shared%20Documents/General/EAF/CSI(nieuwe%20sharepoint)%202025/2.%20Februari/EAF%205052%20Seghersplein%20Gent%2014022025.pdf?csf=1&amp;web=1&amp;e=IgURl3"/>
    <x v="173"/>
    <n v="5052"/>
    <s v="ja"/>
    <s v="Bus"/>
    <s v="Gelede"/>
    <n v="9"/>
  </r>
  <r>
    <n v="41383"/>
    <x v="267"/>
    <s v="De Pauw"/>
    <s v="Tony"/>
    <x v="3"/>
    <x v="299"/>
    <s v="https://delijn.sharepoint.com/:b:/r/teams/CTM-OTGentStad/Shared%20Documents/General/EAF/CSI(nieuwe%20sharepoint)%202025/2.%20Februari/EAF%205909%20Antoon%20Sanderuusstraat%2014022025%20Tony%20De%20Pauw.pdf?csf=1&amp;web=1&amp;e=Wev71a"/>
    <x v="174"/>
    <n v="5909"/>
    <s v="ja"/>
    <s v="Bus"/>
    <s v="Standaard"/>
    <n v="1"/>
  </r>
  <r>
    <n v="37496"/>
    <x v="186"/>
    <s v="Oosterlinck"/>
    <s v="Willy"/>
    <x v="7"/>
    <x v="299"/>
    <s v="https://delijn.sharepoint.com/:b:/r/teams/CTM-OTGentStad/Shared%20Documents/General/EAF/CSI(nieuwe%20sharepoint)%202025/2.%20Februari/EAF%206322%20Sint%20Salvatorstraat%2014022025%20Willy%20Oosterlinck.pdf?csf=1&amp;web=1&amp;e=ILnHdy"/>
    <x v="175"/>
    <n v="6322"/>
    <s v="ja"/>
    <s v="Tram"/>
    <s v="Hermelijn"/>
    <n v="4"/>
  </r>
  <r>
    <n v="37543"/>
    <x v="24"/>
    <s v="Öztürk"/>
    <s v="Bilgehan"/>
    <x v="1"/>
    <x v="300"/>
    <s v="EAF 2208 Gent 15022025 37543 öztürk Bilehan.pdf"/>
    <x v="47"/>
    <n v="2208"/>
    <s v="Neen"/>
    <s v="Bus"/>
    <s v="Gelede"/>
    <n v="6"/>
  </r>
  <r>
    <n v="41091"/>
    <x v="268"/>
    <s v="Yavas"/>
    <s v="Talha"/>
    <x v="7"/>
    <x v="300"/>
    <s v="https://delijn.sharepoint.com/:b:/r/teams/CTM-OTGentStad/Shared%20Documents/General/EAF/CSI(nieuwe%20sharepoint)%202025/2.%20Februari/EAF%205928%20Ham%2015022025%20Yavas%20Talha%2015022025.pdf?csf=1&amp;web=1&amp;e=lvakYp"/>
    <x v="176"/>
    <n v="5928"/>
    <s v="ja"/>
    <s v="Bus"/>
    <s v="Standaard"/>
    <n v="2"/>
  </r>
  <r>
    <n v="26199"/>
    <x v="269"/>
    <s v="Wauters"/>
    <s v="Franky"/>
    <x v="3"/>
    <x v="300"/>
    <s v="https://delijn.sharepoint.com/:b:/r/teams/CTM-OTGentStad/Shared%20Documents/General/EAF/CSI(nieuwe%20sharepoint)%202025/2.%20Februari/EAF%206364%20Koning%20Albertlaan%2015022025%20Franky%20Wauters.pdf?csf=1&amp;web=1&amp;e=FaHFlN"/>
    <x v="177"/>
    <n v="6364"/>
    <s v="ja"/>
    <s v="Tram"/>
    <s v="Flexity"/>
    <n v="1"/>
  </r>
  <r>
    <n v="35490"/>
    <x v="270"/>
    <s v="Nguetto"/>
    <s v="Brisco Romeo"/>
    <x v="8"/>
    <x v="301"/>
    <s v="EAF 18022025 5912 Gent Brisco Romeo Nguetto 35490.pdf"/>
    <x v="67"/>
    <n v="5912"/>
    <s v="Neen"/>
    <s v="Bus"/>
    <s v="Standaard"/>
    <n v="1"/>
  </r>
  <r>
    <n v="37509"/>
    <x v="191"/>
    <s v="Abdulkader"/>
    <s v="Sabah"/>
    <x v="4"/>
    <x v="301"/>
    <s v="EAF 2200 Steinstraat Nazareth 18.02.2025.pdf"/>
    <x v="178"/>
    <n v="2200"/>
    <s v="Neen"/>
    <s v="Bus"/>
    <s v="Gelede"/>
    <n v="3"/>
  </r>
  <r>
    <n v="41012"/>
    <x v="271"/>
    <s v="Natad"/>
    <s v="Younes"/>
    <x v="3"/>
    <x v="301"/>
    <s v="https://delijn.sharepoint.com/:b:/r/teams/CTM-OTGentStad/Shared%20Documents/General/EAF/CSI(nieuwe%20sharepoint)%202025/2.%20Februari/EAF%205923%20Steendam%20Gent%2018022025.pdf?csf=1&amp;web=1&amp;e=qO2CaC"/>
    <x v="23"/>
    <n v="5923"/>
    <s v="ja"/>
    <s v="Bus"/>
    <s v="Standaard"/>
    <n v="2"/>
  </r>
  <r>
    <n v="41032"/>
    <x v="251"/>
    <s v="Rocabado Hinojosa"/>
    <s v="Lukas"/>
    <x v="3"/>
    <x v="301"/>
    <s v="https://delijn.sharepoint.com/:b:/r/teams/CTM-OTGentStad/Shared%20Documents/General/EAF/CSI(nieuwe%20sharepoint)%202025/2.%20Februari/EAF%205925%20Meulesteedsesteenweg%20Gent%2018022025.pdf?csf=1&amp;web=1&amp;e=OBGcZA"/>
    <x v="67"/>
    <n v="5925"/>
    <s v="ja"/>
    <s v="Bus"/>
    <s v="Standaard"/>
    <n v="4"/>
  </r>
  <r>
    <n v="41162"/>
    <x v="254"/>
    <s v="Hoeckman"/>
    <s v="Jeroen"/>
    <x v="7"/>
    <x v="301"/>
    <s v="https://delijn.sharepoint.com/:b:/r/teams/CTM-OTGentStad/Shared%20Documents/General/EAF/CSI(nieuwe%20sharepoint)%202025/2.%20Februari/EAF%205927%20Doornzelestraat%2018022025%20Jeroen%20Hoeckman.pdf?csf=1&amp;web=1&amp;e=XUOPuR"/>
    <x v="179"/>
    <n v="5927"/>
    <s v="ja"/>
    <s v="Bus"/>
    <s v="Standaard"/>
    <n v="5"/>
  </r>
  <r>
    <n v="39660"/>
    <x v="0"/>
    <e v="#N/A"/>
    <e v="#N/A"/>
    <x v="0"/>
    <x v="302"/>
    <s v="https://delijn.sharepoint.com/:b:/r/teams/CTM-OTGentStad/Shared%20Documents/General/EAF/CSI(nieuwe%20sharepoint)%202025/2.%20Februari/EAF%202195%20Gentsesteenweg%20Deinze%2019.02.2025.pdf?csf=1&amp;web=1&amp;e=YKjxRO"/>
    <x v="10"/>
    <n v="2195"/>
    <s v="ja"/>
    <s v="Bus"/>
    <s v="Gelede"/>
    <n v="6"/>
  </r>
  <r>
    <n v="41246"/>
    <x v="272"/>
    <s v="Van Holsbeeck"/>
    <s v="Yana"/>
    <x v="7"/>
    <x v="303"/>
    <s v="https://delijn.sharepoint.com/:b:/r/teams/CTM-OTGentStad/Shared%20Documents/General/EAF/CSI(nieuwe%20sharepoint)%202025/2.%20Februari/EAF%205916%20Doornzelestraat%2020022025%20Yana%20Van%20Holsbeeck.pdf?csf=1&amp;web=1&amp;e=lS1Rma"/>
    <x v="180"/>
    <n v="5916"/>
    <s v="ja"/>
    <s v="Bus"/>
    <s v="Standaard"/>
    <n v="3"/>
  </r>
  <r>
    <n v="36569"/>
    <x v="0"/>
    <e v="#N/A"/>
    <e v="#N/A"/>
    <x v="0"/>
    <x v="303"/>
    <s v="https://delijn.sharepoint.com/:b:/r/teams/CTM-OTGentStad/Shared%20Documents/General/EAF/CSI(nieuwe%20sharepoint)%202025/2.%20Februari/EAF%206333%20Brusselsesteenweg%20Gentbrugge%2020022025.pdf?csf=1&amp;web=1&amp;e=Dzx6pC"/>
    <x v="56"/>
    <n v="6333"/>
    <s v="ja"/>
    <s v="Tram"/>
    <s v="Hermelijn"/>
    <n v="6"/>
  </r>
  <r>
    <n v="39712"/>
    <x v="68"/>
    <s v="Repaj"/>
    <s v="Ramazan"/>
    <x v="4"/>
    <x v="304"/>
    <m/>
    <x v="154"/>
    <s v="-"/>
    <s v="ja"/>
    <n v="0"/>
    <s v="-"/>
    <n v="4"/>
  </r>
  <r>
    <n v="39972"/>
    <x v="0"/>
    <e v="#N/A"/>
    <e v="#N/A"/>
    <x v="0"/>
    <x v="304"/>
    <s v="https://delijn.sharepoint.com/:b:/r/teams/CTM-OTGentStad/Shared%20Documents/General/EAF/CSI(nieuwe%20sharepoint)%202025/2.%20Februari/EAF%205229%20Rooigemlaan%20Gent%2021022025.pdf?csf=1&amp;web=1&amp;e=9rahT3"/>
    <x v="42"/>
    <n v="5229"/>
    <s v="ja"/>
    <s v="Bus"/>
    <s v="Gelede"/>
    <n v="1"/>
  </r>
  <r>
    <n v="40744"/>
    <x v="179"/>
    <s v="Gözüküçük"/>
    <s v="Ugur"/>
    <x v="4"/>
    <x v="304"/>
    <s v="https://delijn.sharepoint.com/:b:/r/teams/CTM-OTGentStad/Shared%20Documents/General/EAF/CSI(nieuwe%20sharepoint)%202025/2.%20Februari/EAF%205929%20Koer%20stelplaats%20Gentbrugge%2021.02.2025.pdf?csf=1&amp;web=1&amp;e=WcuRMe"/>
    <x v="32"/>
    <n v="5929"/>
    <s v="ja"/>
    <s v="Bus"/>
    <s v="Standaard"/>
    <n v="6"/>
  </r>
  <r>
    <n v="37509"/>
    <x v="191"/>
    <s v="Abdulkader"/>
    <s v="Sabah"/>
    <x v="4"/>
    <x v="305"/>
    <s v="https://delijn.sharepoint.com/:b:/r/teams/CTM-OTGentStad/Shared%20Documents/General/EAF/CSI(nieuwe%20sharepoint)%202025/2.%20Februari/EAF%205043%20Steendam%20Gent%2022.02.2025%20om%2017u24.pdf?csf=1&amp;web=1&amp;e=5fwQvm"/>
    <x v="23"/>
    <n v="5043"/>
    <s v="ja"/>
    <s v="Bus"/>
    <s v="Gelede"/>
    <n v="3"/>
  </r>
  <r>
    <n v="39818"/>
    <x v="0"/>
    <e v="#N/A"/>
    <e v="#N/A"/>
    <x v="0"/>
    <x v="305"/>
    <s v="https://delijn.sharepoint.com/:b:/r/teams/CTM-OTGentStad/Shared%20Documents/General/EAF/CSI(nieuwe%20sharepoint)%202025/2.%20Februari/EAF%205929%20Keizer%20Karelstraat%20Gent%2022022025.pdf?csf=1&amp;web=1&amp;e=XmjMb6"/>
    <x v="88"/>
    <n v="5929"/>
    <s v="ja"/>
    <s v="Bus"/>
    <s v="Standaard"/>
    <n v="1"/>
  </r>
  <r>
    <n v="39831"/>
    <x v="273"/>
    <s v="Dolgiev"/>
    <s v="Mukhamed"/>
    <x v="2"/>
    <x v="305"/>
    <s v="EAF 5043 Brugsesteenweg Gent 22.02.2025 om 17u59.pdf"/>
    <x v="35"/>
    <n v="5043"/>
    <s v="Neen"/>
    <s v="Bus"/>
    <s v="Gelede"/>
    <n v="2"/>
  </r>
  <r>
    <n v="32387"/>
    <x v="168"/>
    <s v="Meersman"/>
    <s v="Herman"/>
    <x v="8"/>
    <x v="306"/>
    <s v="https://delijn.sharepoint.com/:b:/r/teams/CTM-OTGentStad/Shared%20Documents/General/EAF/CSI(nieuwe%20sharepoint)%202025/2.%20Februari/EAF%2023022025%205771%20Gent%20Herman%20Meersman%2032387.pdf?csf=1&amp;web=1&amp;e=UDMuQg"/>
    <x v="9"/>
    <n v="5771"/>
    <s v="ja"/>
    <s v="Bus"/>
    <s v="Standaard"/>
    <n v="4"/>
  </r>
  <r>
    <n v="40223"/>
    <x v="0"/>
    <e v="#N/A"/>
    <e v="#N/A"/>
    <x v="0"/>
    <x v="306"/>
    <s v="https://delijn.sharepoint.com/:b:/r/teams/CTM-OTGentStad/Shared%20Documents/General/EAF/CSI(nieuwe%20sharepoint)%202025/2.%20Februari/EAF%205049%20Rooigemlaan%2023022025%20Billy%20Teetaert.pdf?csf=1&amp;web=1&amp;e=4DNmAQ"/>
    <x v="42"/>
    <n v="5049"/>
    <s v="ja"/>
    <s v="Bus"/>
    <s v="Gelede"/>
    <n v="8"/>
  </r>
  <r>
    <n v="9824"/>
    <x v="274"/>
    <s v="De Meulenaere"/>
    <s v="Eric"/>
    <x v="8"/>
    <x v="306"/>
    <s v="https://delijn.sharepoint.com/:b:/r/teams/CTM-OTGentStad/Shared%20Documents/General/EAF/CSI(nieuwe%20sharepoint)%202025/2.%20Februari/EAF%206364%20Gent%2023022025%20De%20Meulenaere%20Eric%209824.pdf?csf=1&amp;web=1&amp;e=AkxaRL"/>
    <x v="56"/>
    <n v="6364"/>
    <s v="ja"/>
    <s v="Tram"/>
    <s v="Flexity"/>
    <n v="1"/>
  </r>
  <r>
    <n v="30121"/>
    <x v="27"/>
    <s v="Simons"/>
    <s v="Andreas"/>
    <x v="5"/>
    <x v="307"/>
    <s v="https://delijn.sharepoint.com/:b:/r/teams/CTM-OTGentStad/Shared%20Documents/General/EAF/CSI(nieuwe%20sharepoint)%202025/2.%20Februari/EAF%202206%20Gent%2024022025%2030121%20Simons%20Andreas.pdf?csf=1&amp;web=1&amp;e=GFU2jw"/>
    <x v="25"/>
    <n v="2206"/>
    <s v="ja"/>
    <s v="Bus"/>
    <s v="Gelede"/>
    <n v="3"/>
  </r>
  <r>
    <n v="35397"/>
    <x v="275"/>
    <s v="Minbari"/>
    <s v="Ako"/>
    <x v="6"/>
    <x v="308"/>
    <s v="https://delijn.sharepoint.com/:b:/r/teams/CTM-OTGentStad/Shared%20Documents/General/EAF/CSI(nieuwe%20sharepoint)%202025/2.%20Februari/EAF%205914%20Gent%20Stapelplein%2025.02.2025%20Minbari%20Ako.pdf?csf=1&amp;web=1&amp;e=jWNQjt"/>
    <x v="181"/>
    <n v="5914"/>
    <s v="ja"/>
    <s v="Bus"/>
    <s v="Standaard"/>
    <n v="3"/>
  </r>
  <r>
    <n v="39779"/>
    <x v="45"/>
    <s v="Avci"/>
    <s v="Muhammet Abdullah"/>
    <x v="4"/>
    <x v="309"/>
    <s v="https://delijn.sharepoint.com/:b:/r/teams/CTM-OTGentStad/Shared%20Documents/General/EAF/CSI(nieuwe%20sharepoint)%202025/2.%20Februari/EAF%205923%20Wondelgem%2027022025%2039779.pdf?csf=1&amp;web=1&amp;e=bosJkF"/>
    <x v="16"/>
    <n v="5923"/>
    <s v="ja"/>
    <s v="Bus"/>
    <s v="Standaard"/>
    <n v="7"/>
  </r>
  <r>
    <n v="39829"/>
    <x v="105"/>
    <s v="Demirkaya"/>
    <s v="Serkan"/>
    <x v="6"/>
    <x v="309"/>
    <s v="https://delijn.sharepoint.com/:b:/r/teams/CTM-OTGentStad/Shared%20Documents/General/EAF/CSI(nieuwe%20sharepoint)%202025/2.%20Februari/EAF%205046%20Gent%20Brusselsesteenweg%2027022025%20Demirkaya%20Serkan.pdf?csf=1&amp;web=1&amp;e=UghpSB"/>
    <x v="56"/>
    <n v="5046"/>
    <s v="ja"/>
    <s v="Bus"/>
    <s v="Gelede"/>
    <n v="2"/>
  </r>
  <r>
    <n v="40744"/>
    <x v="179"/>
    <s v="Gözüküçük"/>
    <s v="Ugur"/>
    <x v="4"/>
    <x v="309"/>
    <s v="https://delijn.sharepoint.com/:b:/r/teams/CTM-OTGentStad/Shared%20Documents/General/EAF/CSI(nieuwe%20sharepoint)%202025/2.%20Februari/EAF%202546%20Meeuwstraat%20Gent%2027.02.2025.pdf?csf=1&amp;web=1&amp;e=CQdWKK"/>
    <x v="101"/>
    <n v="2546"/>
    <s v="ja"/>
    <s v="Bus"/>
    <s v="E-bus"/>
    <n v="6"/>
  </r>
  <r>
    <n v="28737"/>
    <x v="263"/>
    <s v="El-Mohamed"/>
    <s v="Mohamed"/>
    <x v="6"/>
    <x v="309"/>
    <s v=" https://delijn.sharepoint.com/:b:/r/teams/CTM-OTGentStad/Shared%20Documents/General/EAF/CSI(nieuwe%20sharepoint)%202025/2.%20Februari/EAF%206320%20Gent%20Zonnestraat%2027022025%20El-Mohamed%20Mohamed.pdf?csf=1&amp;web=1&amp;e=Zqlj8f"/>
    <x v="93"/>
    <n v="6320"/>
    <s v="Neen"/>
    <s v="Tram"/>
    <s v="Hermelijn"/>
    <n v="4"/>
  </r>
  <r>
    <n v="41092"/>
    <x v="229"/>
    <s v="De Keyser"/>
    <s v="Dorien"/>
    <x v="7"/>
    <x v="310"/>
    <s v="https://delijn.sharepoint.com/:b:/r/teams/CTM-OTGentStad/Shared%20Documents/General/EAF/CSI(nieuwe%20sharepoint)%202025/2.%20Februari/EAF%202548%20Dampoort%20Gent%2028022025.pdf?csf=1&amp;web=1&amp;e=wRbrek"/>
    <x v="26"/>
    <n v="2548"/>
    <s v="ja"/>
    <s v="Bus"/>
    <s v="E-bus"/>
    <n v="9"/>
  </r>
  <r>
    <n v="40138"/>
    <x v="227"/>
    <s v="Moerman"/>
    <s v="Tjimmy"/>
    <x v="5"/>
    <x v="311"/>
    <s v="https://delijn.sharepoint.com/:b:/r/teams/CTM-OTGentStad/Shared%20Documents/General/EAF/CSI(nieuwe%20sharepoint)%202025/3.%20Maart/EAF%2001032025%205047%20Gent%2040138%20Tjimmy%20Moerman.pdf?csf=1&amp;web=1&amp;e=k6jnJu"/>
    <x v="53"/>
    <n v="5047"/>
    <s v="ja"/>
    <s v="Bus"/>
    <s v="Gelede"/>
    <n v="10"/>
  </r>
  <r>
    <n v="38807"/>
    <x v="101"/>
    <s v="Dossche"/>
    <s v="Caroline"/>
    <x v="5"/>
    <x v="312"/>
    <s v="https://delijn.sharepoint.com/:b:/r/teams/CTM-OTGentStad/Shared%20Documents/General/EAF/CSI(nieuwe%20sharepoint)%202025/3.%20Maart/EAF%2002032025%205929%20Gent%2038807%20Caroline%20Dossche.pdf?csf=1&amp;web=1&amp;e=fIHYeF"/>
    <x v="165"/>
    <n v="5929"/>
    <s v="ja"/>
    <s v="Bus"/>
    <s v="Standaard"/>
    <n v="4"/>
  </r>
  <r>
    <n v="26137"/>
    <x v="172"/>
    <s v="Hublau"/>
    <s v="Roland"/>
    <x v="8"/>
    <x v="313"/>
    <s v="https://delijn.sharepoint.com/:b:/r/teams/CTM-OTGentStad/Shared%20Documents/General/EAF/CSI(nieuwe%20sharepoint)%202025/3.%20Maart/EAF%206375%20Ferrelaan%20Gent%2003032025%20Hublau%20Roland%2026137.pdf?csf=1&amp;web=1&amp;e=aUJyEe"/>
    <x v="2"/>
    <n v="6375"/>
    <s v="ja"/>
    <s v="Tram"/>
    <s v="Flexity"/>
    <n v="4"/>
  </r>
  <r>
    <n v="19520"/>
    <x v="276"/>
    <s v="Van Steenbergen"/>
    <s v="Kris"/>
    <x v="2"/>
    <x v="314"/>
    <s v="https://delijn.sharepoint.com/:b:/r/teams/CTM-OTGentStad/Shared%20Documents/General/EAF/CSI(nieuwe%20sharepoint)%202025/3.%20Maart/EAF%202196%20Voskenslaan%20Gent%2004032025.pdf?csf=1&amp;web=1&amp;e=OzOqAI"/>
    <x v="29"/>
    <n v="2196"/>
    <s v="ja"/>
    <s v="Bus"/>
    <s v="Gelede"/>
    <n v="1"/>
  </r>
  <r>
    <n v="34019"/>
    <x v="277"/>
    <s v="Hoste"/>
    <s v="Tom"/>
    <x v="5"/>
    <x v="315"/>
    <s v="https://delijn.sharepoint.com/:b:/r/teams/CTM-OTGentStad/Shared%20Documents/General/EAF/CSI(nieuwe%20sharepoint)%202025/3.%20Maart/EAF%2005032025%205911%20Gent%20Tom%20Hoste.pdf?csf=1&amp;web=1&amp;e=DV4jWx"/>
    <x v="125"/>
    <n v="5911"/>
    <s v="ja"/>
    <s v="Bus"/>
    <s v="Standaard"/>
    <n v="1"/>
  </r>
  <r>
    <n v="40591"/>
    <x v="278"/>
    <s v="Hiloui"/>
    <s v="Mahmoud"/>
    <x v="7"/>
    <x v="315"/>
    <s v="https://delijn.sharepoint.com/:b:/r/teams/CTM-OTGentStad/Shared%20Documents/General/EAF/CSI(nieuwe%20sharepoint)%202025/3.%20Maart/EAF%2005032025%205042%20Gent%2040591%20Mahmoud%20Hiloui.pdf?csf=1&amp;web=1&amp;e=DLOqH0"/>
    <x v="59"/>
    <n v="5042"/>
    <s v="ja"/>
    <s v="Bus"/>
    <s v="Gelede"/>
    <n v="2"/>
  </r>
  <r>
    <n v="26960"/>
    <x v="85"/>
    <s v="Toubadie"/>
    <s v="Mossa"/>
    <x v="3"/>
    <x v="316"/>
    <s v="https://delijn.sharepoint.com/:b:/r/teams/CTM-OTGentStad/Shared%20Documents/General/EAF/CSI(nieuwe%20sharepoint)%202025/3.%20Maart/EAF%2006032025%205916%20Gent%2026960%20Toubadie%20Mossa.pdf?csf=1&amp;web=1&amp;e=4TEWyz"/>
    <x v="159"/>
    <n v="5916"/>
    <s v="ja"/>
    <s v="Bus"/>
    <s v="Standaard"/>
    <n v="3"/>
  </r>
  <r>
    <n v="32091"/>
    <x v="279"/>
    <s v="Köroglu"/>
    <s v="Ercan"/>
    <x v="1"/>
    <x v="316"/>
    <s v="https://delijn.sharepoint.com/:b:/r/teams/CTM-OTGentStad/Shared%20Documents/General/EAF/CSI(nieuwe%20sharepoint)%202025/3.%20Maart/EAF%205911%20Gent%2006032025%2032091%20Ercan%20Koroglu.pdf?csf=1&amp;web=1&amp;e=zVfHFi"/>
    <x v="2"/>
    <n v="5911"/>
    <s v="ja"/>
    <s v="Bus"/>
    <s v="Standaard"/>
    <n v="1"/>
  </r>
  <r>
    <n v="41092"/>
    <x v="229"/>
    <s v="De Keyser"/>
    <s v="Dorien"/>
    <x v="7"/>
    <x v="316"/>
    <s v="https://delijn.sharepoint.com/:b:/r/teams/CTM-OTGentStad/Shared%20Documents/General/EAF/CSI(nieuwe%20sharepoint)%202025/3.%20Maart/EAF%2006032025%205909%20Gent%2041092%20Dorien%20De%20Keyser.pdf?csf=1&amp;web=1&amp;e=ogf0tC"/>
    <x v="182"/>
    <n v="5909"/>
    <s v="ja"/>
    <s v="Bus"/>
    <s v="Standaard"/>
    <n v="9"/>
  </r>
  <r>
    <n v="29674"/>
    <x v="280"/>
    <s v="Martens"/>
    <s v="Geoffrey"/>
    <x v="7"/>
    <x v="316"/>
    <s v="https://delijn.sharepoint.com/:b:/r/teams/CTM-OTGentStad/Shared%20Documents/General/EAF/CSI(nieuwe%20sharepoint)%202025/3.%20Maart/EAF%2006032025%206313%20Gent%2029674%20Geoffrey%20Martens.pdf?csf=1&amp;web=1&amp;e=1wHBsm"/>
    <x v="56"/>
    <n v="6313"/>
    <s v="ja"/>
    <s v="Tram"/>
    <s v="Hermelijn"/>
    <n v="1"/>
  </r>
  <r>
    <n v="16897"/>
    <x v="239"/>
    <s v="VandenDaele"/>
    <s v="Andy"/>
    <x v="8"/>
    <x v="316"/>
    <s v="https://delijn.sharepoint.com/:b:/r/teams/CTM-OTGentStad/Shared%20Documents/General/EAF/CSI(nieuwe%20sharepoint)%202025/3.%20Maart/EAF%2006032025%206314%20Gent%2016897%20Andy%20Vandendaele.pdf?csf=1&amp;web=1&amp;e=qHBq9h"/>
    <x v="1"/>
    <n v="6314"/>
    <s v="ja"/>
    <s v="Tram"/>
    <s v="Hermelijn"/>
    <n v="2"/>
  </r>
  <r>
    <n v="25487"/>
    <x v="128"/>
    <s v="Devos"/>
    <s v="Stefaan"/>
    <x v="8"/>
    <x v="317"/>
    <s v="https://delijn.sharepoint.com/:b:/r/teams/CTM-OTGentStad/Shared%20Documents/General/EAF/CSI(nieuwe%20sharepoint)%202025/3.%20Maart/EAF%206303%20Gent%2009032025%2025487stefaan%20Devos.pdf?csf=1&amp;web=1&amp;e=jZwHkT"/>
    <x v="183"/>
    <n v="6303"/>
    <s v="ja"/>
    <s v="Tram"/>
    <s v="Hermelijn"/>
    <n v="4"/>
  </r>
  <r>
    <n v="28910"/>
    <x v="281"/>
    <s v="Gassa"/>
    <s v="Osmane"/>
    <x v="4"/>
    <x v="317"/>
    <s v="https://delijn.sharepoint.com/:b:/r/teams/CTM-OTGentStad/Shared%20Documents/General/EAF/CSI(nieuwe%20sharepoint)%202025/3.%20Maart/EAF%2009032025%205040%20Gent%2028910%20Gassa%20Osmane.pdf?csf=1&amp;web=1&amp;e=L9zGMT"/>
    <x v="118"/>
    <n v="5040"/>
    <s v="ja"/>
    <s v="Bus"/>
    <s v="Gelede"/>
    <n v="2"/>
  </r>
  <r>
    <n v="40939"/>
    <x v="282"/>
    <s v="Cisse"/>
    <s v="Sayon"/>
    <x v="1"/>
    <x v="317"/>
    <s v="https://delijn.sharepoint.com/:b:/r/teams/CTM-OTGentStad/Shared%20Documents/General/EAF/CSI(nieuwe%20sharepoint)%202025/3.%20Maart/EAF%2009032025%205932%20Gent%2040939%20Cisse%20Sayon.pdf?csf=1&amp;web=1&amp;e=Uoqenx"/>
    <x v="0"/>
    <n v="5932"/>
    <s v="ja"/>
    <s v="Bus"/>
    <s v="Standaard"/>
    <n v="4"/>
  </r>
  <r>
    <n v="35645"/>
    <x v="220"/>
    <s v="Jalili"/>
    <s v="Yaseeb"/>
    <x v="8"/>
    <x v="318"/>
    <s v="https://delijn.sharepoint.com/:b:/r/teams/CTM-OTGentStad/Shared%20Documents/General/EAF/CSI(nieuwe%20sharepoint)%202025/3.%20Maart/EAF%2010032025%205938%20Gent%2035845%20Yaseeb%20Jalili.pdf?csf=1&amp;web=1&amp;e=ybXXjV"/>
    <x v="82"/>
    <n v="5938"/>
    <s v="ja"/>
    <s v="Bus"/>
    <s v="Standaard"/>
    <n v="4"/>
  </r>
  <r>
    <n v="40138"/>
    <x v="227"/>
    <s v="Moerman"/>
    <s v="Tjimmy"/>
    <x v="5"/>
    <x v="319"/>
    <s v="https://delijn.sharepoint.com/:b:/r/teams/CTM-OTGentStad/Shared%20Documents/General/EAF/CSI(nieuwe%20sharepoint)%202025/3.%20Maart/EAF%205325%20Gent%2011032025%2040138%20Tjimmy%20Moerman.pdf?csf=1&amp;web=1&amp;e=dGpyn2"/>
    <x v="29"/>
    <n v="5325"/>
    <s v="ja"/>
    <s v="Bus"/>
    <s v="Gelede"/>
    <n v="10"/>
  </r>
  <r>
    <n v="39532"/>
    <x v="158"/>
    <s v="Sahin"/>
    <s v="Orhan"/>
    <x v="5"/>
    <x v="320"/>
    <s v="https://delijn.sharepoint.com/:b:/r/teams/CTM-OTGentStad/Shared%20Documents/General/EAF/CSI(nieuwe%20sharepoint)%202025/3.%20Maart/EAF%205237%20Gent%2012032025%2039532%20Orhan%20Sahin.pdf?csf=1&amp;web=1&amp;e=sOhFBm"/>
    <x v="109"/>
    <n v="5237"/>
    <s v="ja"/>
    <s v="Bus"/>
    <s v="Gelede"/>
    <n v="7"/>
  </r>
  <r>
    <n v="35379"/>
    <x v="233"/>
    <s v="Engels"/>
    <s v="Sam"/>
    <x v="3"/>
    <x v="321"/>
    <s v="https://delijn.sharepoint.com/:b:/r/teams/CTM-OTGentStad/Shared%20Documents/General/EAF/CSI(nieuwe%20sharepoint)%202025/3.%20Maart/EAF%205240%20Gent%2013032025%2035379%20Sam%20Engels.pdf?csf=1&amp;web=1&amp;e=pGWrsC"/>
    <x v="184"/>
    <n v="5240"/>
    <s v="ja"/>
    <s v="Bus"/>
    <s v="Gelede"/>
    <n v="2"/>
  </r>
  <r>
    <n v="37662"/>
    <x v="175"/>
    <s v="Van den Meerssche"/>
    <s v="Steven"/>
    <x v="4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x v="185"/>
    <n v="5915"/>
    <s v="ja"/>
    <s v="Bus"/>
    <s v="Standaard"/>
    <n v="9"/>
  </r>
  <r>
    <n v="35495"/>
    <x v="283"/>
    <s v="Razzaz"/>
    <s v="Mahmoud"/>
    <x v="1"/>
    <x v="322"/>
    <s v="https://delijn.sharepoint.com/:b:/r/teams/CTM-OTGentStad/Shared%20Documents/General/EAF/CSI(nieuwe%20sharepoint)%202025/3.%20Maart/EAF%206326%20gent%2015032025%2035495%20Mahmoud.pdf?csf=1&amp;web=1&amp;e=hjDdro"/>
    <x v="150"/>
    <n v="6326"/>
    <s v="Neen"/>
    <s v="Tram"/>
    <s v="Hermelijn"/>
    <n v="1"/>
  </r>
  <r>
    <n v="41246"/>
    <x v="272"/>
    <s v="Van Holsbeeck"/>
    <s v="Yana"/>
    <x v="7"/>
    <x v="323"/>
    <s v="https://delijn.sharepoint.com/:b:/r/teams/CTM-OTGentStad/Shared%20Documents/General/EAF/CSI(nieuwe%20sharepoint)%202025/3.%20Maart/EAF%20-%205928%20-%20gent%20-%2016032025%2041246%20Yana%20van%20Holsbeeck.pdf?csf=1&amp;web=1&amp;e=7EJ20S"/>
    <x v="111"/>
    <n v="5928"/>
    <s v="ja"/>
    <s v="Bus"/>
    <s v="Standaard"/>
    <n v="3"/>
  </r>
  <r>
    <n v="36635"/>
    <x v="46"/>
    <s v="Fadel"/>
    <s v="Husam"/>
    <x v="1"/>
    <x v="324"/>
    <s v="https://delijn.sharepoint.com/:b:/r/teams/CTM-OTGentStad/Shared%20Documents/General/EAF/CSI(nieuwe%20sharepoint)%202025/3.%20Maart/EAF%206331%20Gent%2017032025%2036635%20FAdel%20Husan.pdf?csf=1&amp;web=1&amp;e=dZDy2q"/>
    <x v="39"/>
    <n v="6331"/>
    <s v="ja"/>
    <s v="Tram"/>
    <s v="Hermelijn"/>
    <n v="4"/>
  </r>
  <r>
    <n v="35246"/>
    <x v="130"/>
    <s v="De Meyer"/>
    <s v="Karel"/>
    <x v="3"/>
    <x v="325"/>
    <s v="https://delijn.sharepoint.com/:b:/r/teams/CTM-OTGentStad/Shared%20Documents/General/EAF/CSI(nieuwe%20sharepoint)%202025/3.%20Maart/EAF%205922%20Kartuizerlaan%20Gent%2018.03.2025%20De%20Meyer%20Karel%2035246.pdf?csf=1&amp;web=1&amp;e=G2AA7e"/>
    <x v="165"/>
    <n v="5922"/>
    <s v="ja"/>
    <s v="Bus"/>
    <s v="Standaard"/>
    <n v="2"/>
  </r>
  <r>
    <n v="41012"/>
    <x v="271"/>
    <s v="Natad"/>
    <s v="Younes"/>
    <x v="3"/>
    <x v="325"/>
    <s v="https://delijn.sharepoint.com/:b:/r/teams/CTM-OTGentStad/Shared%20Documents/General/EAF/CSI(nieuwe%20sharepoint)%202025/3.%20Maart/EAF%205045%20Rooigemlaan%20Gent%2018032025.pdf?csf=1&amp;web=1&amp;e=9mZVNF"/>
    <x v="42"/>
    <n v="5045"/>
    <s v="ja"/>
    <s v="Bus"/>
    <s v="Gelede"/>
    <n v="2"/>
  </r>
  <r>
    <n v="41064"/>
    <x v="284"/>
    <s v="Ardic"/>
    <s v="Atilla"/>
    <x v="7"/>
    <x v="325"/>
    <s v="https://delijn.sharepoint.com/:b:/r/teams/CTM-OTGentStad/Shared%20Documents/General/EAF/CSI(nieuwe%20sharepoint)%202025/3.%20Maart/EAF%202549%20-%20gent%20-%2018032025%20Ardic%20Attila.pdf?csf=1&amp;web=1&amp;e=pKy5CP"/>
    <x v="2"/>
    <n v="2549"/>
    <s v="ja"/>
    <s v="Bus"/>
    <s v="E-bus"/>
    <n v="2"/>
  </r>
  <r>
    <n v="41092"/>
    <x v="229"/>
    <s v="De Keyser"/>
    <s v="Dorien"/>
    <x v="7"/>
    <x v="325"/>
    <s v="https://delijn.sharepoint.com/:b:/r/teams/CTM-OTGentStad/Shared%20Documents/General/EAF/CSI(nieuwe%20sharepoint)%202025/3.%20Maart/EAF%205770%20Gent%2019032025%20410092%20Dorien%20De%20Keyser.pdf?csf=1&amp;web=1&amp;e=FRC2cn"/>
    <x v="155"/>
    <n v="5770"/>
    <s v="ja"/>
    <s v="Bus"/>
    <s v="Standaard"/>
    <n v="9"/>
  </r>
  <r>
    <n v="35216"/>
    <x v="285"/>
    <s v="Coban"/>
    <s v="Mehmet"/>
    <x v="6"/>
    <x v="326"/>
    <s v="https://delijn.sharepoint.com/:b:/r/teams/CTM-OTGentStad/Shared%20Documents/General/EAF/CSI(nieuwe%20sharepoint)%202025/3.%20Maart/EAF%205924%20gent%2019032025%2035216%20Coban%20Mehmet.pdf?csf=1&amp;web=1&amp;e=4fakfe"/>
    <x v="186"/>
    <n v="5924"/>
    <s v="ja"/>
    <s v="Bus"/>
    <s v="Standaard"/>
    <n v="1"/>
  </r>
  <r>
    <n v="35450"/>
    <x v="107"/>
    <s v="Roos"/>
    <s v="Hugo"/>
    <x v="2"/>
    <x v="326"/>
    <s v="https://delijn.sharepoint.com/:b:/r/teams/CTM-OTGentStad/Shared%20Documents/General/EAF/CSI(nieuwe%20sharepoint)%202025/3.%20Maart/EAF%204665%20gent%2019032025%2035450%20Hugo%20Roos.pdf?csf=1&amp;web=1&amp;e=eihgTD"/>
    <x v="187"/>
    <n v="4665"/>
    <s v="ja"/>
    <s v="Bus"/>
    <s v="Citybus"/>
    <n v="4"/>
  </r>
  <r>
    <n v="39779"/>
    <x v="45"/>
    <s v="Avci"/>
    <s v="Muhammet Abdullah"/>
    <x v="4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x v="1"/>
    <n v="5054"/>
    <s v="Neen"/>
    <s v="Bus"/>
    <s v="Gelede"/>
    <n v="7"/>
  </r>
  <r>
    <n v="11120"/>
    <x v="286"/>
    <s v="De Vrieze"/>
    <s v="Ludo"/>
    <x v="6"/>
    <x v="326"/>
    <s v="https://delijn.sharepoint.com/:b:/r/teams/CTM-OTGentStad/Shared%20Documents/General/EAF/CSI(nieuwe%20sharepoint)%202025/3.%20Maart/EAF%206322%20Wondelgem%20Liefkensstraat%2019032025%20De%20Vrieze%20Ludo.pdf?csf=1&amp;web=1&amp;e=sc6lN9"/>
    <x v="188"/>
    <n v="6322"/>
    <s v="Neen"/>
    <s v="Tram"/>
    <s v="Hermelijn"/>
    <n v="1"/>
  </r>
  <r>
    <n v="41520"/>
    <x v="287"/>
    <s v="Smets"/>
    <s v="Avery"/>
    <x v="5"/>
    <x v="327"/>
    <s v="https://delijn.sharepoint.com/:b:/r/teams/CTM-OTGentStad/Shared%20Documents/General/EAF/CSI(nieuwe%20sharepoint)%202025/3.%20Maart/EAF%208138%20gent%2020032025%2041520%20Avery%20smets.pdf?csf=1&amp;web=1&amp;e=SuXtCv"/>
    <x v="189"/>
    <n v="8138"/>
    <s v="ja"/>
    <s v="Rijschool"/>
    <s v="Rijschool"/>
    <n v="3"/>
  </r>
  <r>
    <n v="31600"/>
    <x v="94"/>
    <s v="Mertens"/>
    <s v="Tom"/>
    <x v="2"/>
    <x v="328"/>
    <s v="https://delijn.sharepoint.com/:b:/r/teams/CTM-OTGentStad/Shared%20Documents/General/EAF/CSI(nieuwe%20sharepoint)%202025/3.%20Maart/EAF%202197%20Gent%2025032025%2031600%20Tom%20Mertens.pdf?csf=1&amp;web=1&amp;e=r4wap5"/>
    <x v="113"/>
    <n v="2197"/>
    <s v="Neen"/>
    <s v="Bus"/>
    <s v="Gelede"/>
    <n v="2"/>
  </r>
  <r>
    <n v="32611"/>
    <x v="288"/>
    <s v="Özer"/>
    <s v="Özgur"/>
    <x v="1"/>
    <x v="328"/>
    <s v="https://delijn.sharepoint.com/:b:/r/teams/CTM-OTGentStad/Shared%20Documents/General/EAF/CSI(nieuwe%20sharepoint)%202025/3.%20Maart/EAF%205922%20Gent%2021032025%2032611%20Ozer%20Ozgur.pdf?csf=1&amp;web=1&amp;e=JHQF0W"/>
    <x v="174"/>
    <n v="5922"/>
    <s v="ja"/>
    <s v="Bus"/>
    <s v="Standaard"/>
    <n v="3"/>
  </r>
  <r>
    <n v="37809"/>
    <x v="208"/>
    <s v="Sturtewagen"/>
    <s v="Kenny"/>
    <x v="8"/>
    <x v="329"/>
    <s v="https://delijn.sharepoint.com/:b:/r/teams/CTM-OTGentStad/Shared%20Documents/General/EAF/CSI(nieuwe%20sharepoint)%202025/3.%20Maart/EAF%205235%20Gent%2024032025%2037809%20Kenny%20Sturtewagen.pdf?csf=1&amp;web=1&amp;e=zHLmQm"/>
    <x v="59"/>
    <n v="5235"/>
    <s v="ja"/>
    <s v="Bus"/>
    <s v="Gelede"/>
    <n v="3"/>
  </r>
  <r>
    <n v="37179"/>
    <x v="162"/>
    <s v="Bashir"/>
    <s v="Muhammad Salman"/>
    <x v="4"/>
    <x v="330"/>
    <s v="https://delijn.sharepoint.com/:b:/r/teams/CTM-OTGentStad/Shared%20Documents/General/EAF/CSI(nieuwe%20sharepoint)%202025/3.%20Maart/EAF%205266%20Wondelgem%2026032025%2037179.pdf?csf=1&amp;web=1&amp;e=evHmMw"/>
    <x v="24"/>
    <n v="5266"/>
    <s v="ja"/>
    <s v="Bus"/>
    <s v="Gelede"/>
    <n v="2"/>
  </r>
  <r>
    <n v="38580"/>
    <x v="289"/>
    <s v="Smajla"/>
    <s v="Samet"/>
    <x v="2"/>
    <x v="330"/>
    <s v="https://delijn.sharepoint.com/:b:/r/teams/CTM-OTGentStad/Shared%20Documents/General/EAF/CSI(nieuwe%20sharepoint)%202025/3.%20Maart/EAF%205043%20Rooigemlaan%20-%20Drongensesteenweg%20Gent%2026032025.pdf?csf=1&amp;web=1&amp;e=P8MwT1"/>
    <x v="47"/>
    <n v="5043"/>
    <s v="ja"/>
    <s v="Bus"/>
    <s v="Gelede"/>
    <n v="2"/>
  </r>
  <r>
    <n v="31118"/>
    <x v="290"/>
    <s v="De Sutter"/>
    <s v="Michiel"/>
    <x v="2"/>
    <x v="331"/>
    <s v="https://delijn.sharepoint.com/:b:/r/teams/CTM-OTGentStad/Shared%20Documents/General/EAF/CSI(nieuwe%20sharepoint)%202025/3.%20Maart/EAF%205922%20Gent%2021032025%2031118%20Michiel%20de%20sutter.pdf?csf=1&amp;web=1&amp;e=m3qUKq"/>
    <x v="23"/>
    <n v="5922"/>
    <s v="ja"/>
    <s v="Bus"/>
    <s v="Standaard"/>
    <n v="2"/>
  </r>
  <r>
    <n v="39581"/>
    <x v="2"/>
    <s v="Vandenhaute"/>
    <s v="Linus"/>
    <x v="2"/>
    <x v="332"/>
    <s v="https://delijn.sharepoint.com/:b:/r/teams/CTM-OTGentStad/Shared%20Documents/General/EAF/CSI(nieuwe%20sharepoint)%202025/3.%20Maart/EAF%205261%20Morekstraat%20Gent%2028032025.pdf?csf=1&amp;web=1&amp;e=3wGupf"/>
    <x v="24"/>
    <n v="5261"/>
    <s v="ja"/>
    <s v="Bus"/>
    <s v="Gelede"/>
    <n v="5"/>
  </r>
  <r>
    <n v="36569"/>
    <x v="0"/>
    <e v="#N/A"/>
    <e v="#N/A"/>
    <x v="0"/>
    <x v="332"/>
    <s v="https://delijn.sharepoint.com/:b:/r/teams/CTM-OTGentStad/Shared%20Documents/General/EAF/CSI(nieuwe%20sharepoint)%202025/3.%20Maart/EAF%206325%20Gent%2028032025%2036569%20Jonas%20Stroobandt.pdf?csf=1&amp;web=1&amp;e=xEvO0k"/>
    <x v="190"/>
    <n v="6325"/>
    <s v="ja"/>
    <s v="Tram"/>
    <s v="Hermelijn"/>
    <n v="6"/>
  </r>
  <r>
    <n v="36358"/>
    <x v="246"/>
    <s v="De Nys"/>
    <s v="Elise"/>
    <x v="2"/>
    <x v="332"/>
    <s v="https://delijn.sharepoint.com/:b:/r/teams/CTM-OTGentStad/Shared%20Documents/General/EAF/CSI(nieuwe%20sharepoint)%202025/3.%20Maart/EAF%206370%20Gent%2028032025%2036358%20Elise%20Denys.pdf?csf=1&amp;web=1&amp;e=AlHjoP"/>
    <x v="159"/>
    <n v="6370"/>
    <s v="ja"/>
    <s v="Tram"/>
    <s v="Flexity"/>
    <n v="2"/>
  </r>
  <r>
    <n v="31668"/>
    <x v="19"/>
    <s v="Weemhof"/>
    <s v="Maurice"/>
    <x v="7"/>
    <x v="333"/>
    <s v="https://delijn.sharepoint.com/:b:/r/teams/CTM-OTGentStad/Shared%20Documents/General/EAF/CSI(nieuwe%20sharepoint)%202025/3.%20Maart/EAF%205918%20Gent%2024032025%2030668%20Maurice%20Weemhof.pdf?csf=1&amp;web=1&amp;e=xg0HDG"/>
    <x v="2"/>
    <n v="5918"/>
    <s v="ja"/>
    <s v="Bus"/>
    <s v="Standaard"/>
    <n v="5"/>
  </r>
  <r>
    <n v="17566"/>
    <x v="8"/>
    <s v="Praet"/>
    <s v="Reginald"/>
    <x v="4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x v="12"/>
    <n v="6324"/>
    <s v="ja"/>
    <s v="Tram"/>
    <s v="Hermelijn"/>
    <n v="2"/>
  </r>
  <r>
    <n v="32620"/>
    <x v="99"/>
    <s v="Saey"/>
    <s v="Elias"/>
    <x v="3"/>
    <x v="334"/>
    <s v="https://delijn.sharepoint.com/:b:/r/teams/CTM-OTGentStad/Shared%20Documents/General/EAF/CSI(nieuwe%20sharepoint)%202025/4.%20April/EAF%206329%20Botermarkt%20Ledeberg%2002042025.pdf?csf=1&amp;web=1&amp;e=JCdS2N"/>
    <x v="82"/>
    <n v="6329"/>
    <s v="ja"/>
    <s v="Tram"/>
    <s v="Hermelijn"/>
    <n v="3"/>
  </r>
  <r>
    <n v="38807"/>
    <x v="101"/>
    <s v="Dossche"/>
    <s v="Caroline"/>
    <x v="5"/>
    <x v="335"/>
    <s v="https://delijn.sharepoint.com/:b:/r/teams/CTM-OTGentStad/Shared%20Documents/General/EAF/CSI(nieuwe%20sharepoint)%202025/4.%20April/EAF%205046%20Gent%2003042025%2038807%20Caroline%20Dossche.pdf?csf=1&amp;web=1&amp;e=5g91m1"/>
    <x v="29"/>
    <n v="5046"/>
    <s v="ja"/>
    <s v="Bus"/>
    <s v="Gelede"/>
    <n v="4"/>
  </r>
  <r>
    <n v="32951"/>
    <x v="69"/>
    <s v="De Bruyne"/>
    <s v="Sonia"/>
    <x v="6"/>
    <x v="336"/>
    <s v="https://delijn.sharepoint.com/:b:/r/teams/CTM-OTGentStad/Shared%20Documents/General/EAF/CSI(nieuwe%20sharepoint)%202025/4.%20April/EAF%202198%20Gent%2004042025%2032951%20Sonia%20De%20Bruyne.pdf?csf=1&amp;web=1&amp;e=APR4gI"/>
    <x v="10"/>
    <n v="2198"/>
    <s v="ja"/>
    <s v="Bus"/>
    <s v="Gelede"/>
    <n v="6"/>
  </r>
  <r>
    <n v="40939"/>
    <x v="282"/>
    <s v="Cisse"/>
    <s v="Sayon"/>
    <x v="1"/>
    <x v="336"/>
    <s v="https://delijn.sharepoint.com/:b:/r/teams/CTM-OTGentStad/Shared%20Documents/General/EAF/CSI(nieuwe%20sharepoint)%202025/4.%20April/EAF%202198%20Deinze%2004042025%2040939%20Cisse%20Sayon.pdf?csf=1&amp;web=1&amp;e=ch8sPQ"/>
    <x v="10"/>
    <n v="2198"/>
    <s v="ja"/>
    <s v="Bus"/>
    <s v="Gelede"/>
    <n v="4"/>
  </r>
  <r>
    <n v="39677"/>
    <x v="291"/>
    <s v="Tacq"/>
    <s v="Joey"/>
    <x v="1"/>
    <x v="337"/>
    <s v="https://delijn.sharepoint.com/:b:/r/teams/CTM-OTGentStad/Shared%20Documents/General/EAF/CSI(nieuwe%20sharepoint)%202025/4.%20April/EAF%202197%20Gent%2007042025.pdf?csf=1&amp;web=1&amp;e=g7lPyX"/>
    <x v="191"/>
    <n v="2197"/>
    <s v="Neen"/>
    <s v="Bus"/>
    <s v="Gelede"/>
    <n v="1"/>
  </r>
  <r>
    <n v="41092"/>
    <x v="229"/>
    <s v="De Keyser"/>
    <s v="Dorien"/>
    <x v="7"/>
    <x v="337"/>
    <s v="https://delijn.sharepoint.com/:b:/r/teams/CTM-OTGentStad/Shared%20Documents/General/EAF/CSI(nieuwe%20sharepoint)%202025/4.%20April/EAF%205766%20Hoogstraat%20Gent%2007042025.pdf?csf=1&amp;web=1&amp;e=s0oe3V"/>
    <x v="11"/>
    <n v="5766"/>
    <s v="ja"/>
    <s v="Bus"/>
    <s v="Standaard"/>
    <n v="9"/>
  </r>
  <r>
    <n v="35619"/>
    <x v="292"/>
    <s v="El Mezroui"/>
    <s v="Zouheir"/>
    <x v="8"/>
    <x v="338"/>
    <s v="https://delijn.sharepoint.com/:b:/r/teams/CTM-OTGentStad/Shared%20Documents/General/EAF/CSI(nieuwe%20sharepoint)%202025/4.%20April/EAF%2008042025%206306%20Gent%20Zouheir%20El%20Mezroui%2035619.pdf?csf=1&amp;web=1&amp;e=5XbEdT"/>
    <x v="71"/>
    <n v="6306"/>
    <s v="ja"/>
    <s v="Tram"/>
    <s v="Hermelijn"/>
    <n v="1"/>
  </r>
  <r>
    <n v="25679"/>
    <x v="264"/>
    <s v="Vanrenterghem"/>
    <s v="Serge"/>
    <x v="5"/>
    <x v="339"/>
    <s v="https://delijn.sharepoint.com/:b:/r/teams/CTM-OTGentStad/Shared%20Documents/General/EAF/CSI(nieuwe%20sharepoint)%202025/4.%20April/EAF%206308%20gent%2009042025%2025679%20Serge%20Van%20Rentergem.pdf?csf=1&amp;web=1&amp;e=TIvMp3"/>
    <x v="56"/>
    <n v="6308"/>
    <s v="ja"/>
    <s v="Tram"/>
    <s v="Hermelijn"/>
    <n v="2"/>
  </r>
  <r>
    <n v="38035"/>
    <x v="293"/>
    <s v="Simsek"/>
    <s v="Isa"/>
    <x v="4"/>
    <x v="339"/>
    <s v="https://delijn.sharepoint.com/:b:/r/teams/CTM-OTGentStad/Shared%20Documents/General/EAF/CSI(nieuwe%20sharepoint)%202025/4.%20April/EAF%205765%20Gent%20Nieuwe%20Wandeling%2009042025%20Isa%20Simsek%2038035.pdf?csf=1&amp;web=1&amp;e=NbEzg8"/>
    <x v="59"/>
    <n v="5765"/>
    <s v="ja"/>
    <s v="Bus"/>
    <s v="Standaard"/>
    <n v="1"/>
  </r>
  <r>
    <n v="39358"/>
    <x v="40"/>
    <s v="Weeks Aracena"/>
    <s v="Jimmy Alexander"/>
    <x v="5"/>
    <x v="339"/>
    <s v="https://delijn.sharepoint.com/:b:/r/teams/CTM-OTGentStad/Shared%20Documents/General/EAF/CSI(nieuwe%20sharepoint)%202025/4.%20April/EAF%205238%20Gent%2009042025%2039358%20Jimmy%20weeks%20Arcena.pdf?csf=1&amp;web=1&amp;e=jumpLS"/>
    <x v="42"/>
    <n v="5238"/>
    <s v="ja"/>
    <s v="Bus"/>
    <s v="Gelede"/>
    <n v="5"/>
  </r>
  <r>
    <n v="39929"/>
    <x v="65"/>
    <s v="Staneva"/>
    <s v="Mariyana"/>
    <x v="5"/>
    <x v="339"/>
    <s v="https://delijn.sharepoint.com/:b:/r/teams/CTM-OTGentStad/Shared%20Documents/General/EAF/CSI(nieuwe%20sharepoint)%202025/4.%20April/EAF%202197%20Gent%2009042025%2039929%20Mariyana%20Staneva.pdf?csf=1&amp;web=1&amp;e=e8TW4G"/>
    <x v="115"/>
    <n v="2197"/>
    <s v="ja"/>
    <s v="Bus"/>
    <s v="Gelede"/>
    <n v="9"/>
  </r>
  <r>
    <n v="34325"/>
    <x v="50"/>
    <s v="Eid"/>
    <s v="Mathyn"/>
    <x v="8"/>
    <x v="340"/>
    <s v="https://delijn.sharepoint.com/:b:/r/teams/CTM-OTGentStad/Shared%20Documents/General/EAF/CSI(nieuwe%20sharepoint)%202025/4.%20April/EAF%2010042025%206364%20Gent%20Mathyn%20Eid%2034325.pdf?csf=1&amp;web=1&amp;e=CedThL"/>
    <x v="192"/>
    <n v="6364"/>
    <s v="ja"/>
    <s v="Tram"/>
    <s v="Flexity"/>
    <n v="5"/>
  </r>
  <r>
    <n v="35645"/>
    <x v="220"/>
    <s v="Jalili"/>
    <s v="Yaseeb"/>
    <x v="8"/>
    <x v="341"/>
    <s v="https://delijn.sharepoint.com/:b:/r/teams/CTM-OTGentStad/Shared%20Documents/General/EAF/CSI(nieuwe%20sharepoint)%202025/4.%20April/EAF%2011042025%205238%20Gent%20%20Jaseeb%20Jalili%2035645.pdf?csf=1&amp;web=1&amp;e=tX3YgF"/>
    <x v="0"/>
    <n v="5238"/>
    <s v="ja"/>
    <s v="Bus"/>
    <s v="Gelede"/>
    <n v="4"/>
  </r>
  <r>
    <n v="9158"/>
    <x v="294"/>
    <s v="De Weirdt"/>
    <s v="Ronny"/>
    <x v="8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x v="56"/>
    <n v="6373"/>
    <s v="ja"/>
    <s v="Tram"/>
    <s v="Flexity"/>
    <n v="1"/>
  </r>
  <r>
    <n v="36820"/>
    <x v="295"/>
    <s v="Haché"/>
    <s v="Philip"/>
    <x v="8"/>
    <x v="342"/>
    <s v="https://delijn.sharepoint.com/:b:/r/teams/CTM-OTGentStad/Shared%20Documents/General/EAF/CSI(nieuwe%20sharepoint)%202025/4.%20April/EAF%2012042025%205229%20Gent%20%20Philip%20Hach%C3%A9%2036820.pdf?csf=1&amp;web=1&amp;e=dlplTh"/>
    <x v="23"/>
    <n v="5229"/>
    <s v="ja"/>
    <s v="Bus"/>
    <s v="Gelede"/>
    <n v="1"/>
  </r>
  <r>
    <n v="25733"/>
    <x v="296"/>
    <s v="Simsek"/>
    <s v="Abdullah"/>
    <x v="3"/>
    <x v="342"/>
    <s v="https://delijn.sharepoint.com/:b:/r/teams/CTM-OTGentStad/Shared%20Documents/General/EAF/CSI(nieuwe%20sharepoint)%202025/4.%20April/EAF%206329%20Gent%20Muidebrug%2012-04-2025%20Simsek%20Abdullah%2025733.pdf?csf=1&amp;web=1&amp;e=9NY0hU"/>
    <x v="116"/>
    <n v="6329"/>
    <s v="ja"/>
    <s v="Tram"/>
    <s v="Hermelijn"/>
    <n v="2"/>
  </r>
  <r>
    <n v="40443"/>
    <x v="297"/>
    <s v="Fakash"/>
    <s v="Mahmoud"/>
    <x v="4"/>
    <x v="343"/>
    <s v="https://delijn.sharepoint.com/:b:/r/teams/CTM-OTGentStad/Shared%20Documents/General/EAF/CSI(nieuwe%20sharepoint)%202025/4.%20April/EAF%205767%20Noordstraat%20Gent%2015.05.2025%20Mahmoud%20Fakash%2040443.pdf?csf=1&amp;web=1&amp;e=OdSrea"/>
    <x v="193"/>
    <n v="5767"/>
    <s v="ja"/>
    <s v="Bus"/>
    <s v="Standaard"/>
    <n v="1"/>
  </r>
  <r>
    <n v="23700"/>
    <x v="139"/>
    <s v="Byosière"/>
    <s v="Christof"/>
    <x v="7"/>
    <x v="344"/>
    <s v="https://delijn.sharepoint.com/:b:/r/teams/CTM-OTGentStad/Shared%20Documents/General/EAF/CSI(nieuwe%20sharepoint)%202025/4.%20April/EAF%205235%20Arsenaal%2016042025%20Christof%20Byosi%C3%A8re.pdf?csf=1&amp;web=1&amp;e=GJjy9d"/>
    <x v="56"/>
    <n v="5235"/>
    <s v="Neen"/>
    <s v="Bus"/>
    <s v="Gelede"/>
    <n v="2"/>
  </r>
  <r>
    <n v="34445"/>
    <x v="21"/>
    <s v="Wulleput"/>
    <s v="Illya"/>
    <x v="7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x v="82"/>
    <n v="6357"/>
    <s v="ja"/>
    <s v="Tram"/>
    <s v="Flexity"/>
    <n v="6"/>
  </r>
  <r>
    <n v="21582"/>
    <x v="0"/>
    <e v="#N/A"/>
    <e v="#N/A"/>
    <x v="0"/>
    <x v="345"/>
    <s v="https://delijn.sharepoint.com/:b:/r/teams/CTM-OTGentStad/Shared%20Documents/General/EAF/CSI(nieuwe%20sharepoint)%202025/4.%20April/EAF%206305%20GENT%2018042025%2021582%20Patrick%20De%20Grom.pdf?csf=1&amp;web=1&amp;e=QSQh2H"/>
    <x v="2"/>
    <n v="6305"/>
    <s v="ja"/>
    <s v="Tram"/>
    <s v="Hermelijn"/>
    <n v="3"/>
  </r>
  <r>
    <n v="37744"/>
    <x v="298"/>
    <s v="De Lange"/>
    <s v="Frank"/>
    <x v="7"/>
    <x v="345"/>
    <s v="https://delijn.sharepoint.com/:b:/r/teams/CTM-OTGentStad/Shared%20Documents/General/EAF/CSI(nieuwe%20sharepoint)%202025/4.%20April/EAF%205325%20Baarle%20Dorp%2018042025.pdf?csf=1&amp;web=1&amp;e=ib906o"/>
    <x v="194"/>
    <n v="5325"/>
    <s v="ja"/>
    <s v="Bus"/>
    <s v="Gelede"/>
    <n v="1"/>
  </r>
  <r>
    <n v="41230"/>
    <x v="299"/>
    <s v="De Witte"/>
    <s v="Bart"/>
    <x v="7"/>
    <x v="345"/>
    <s v="https://delijn.sharepoint.com/:b:/r/teams/CTM-OTGentStad/Shared%20Documents/General/EAF/CSI(nieuwe%20sharepoint)%202025/4.%20April/EAF%205910%20Gent%2018042025%2041230%20Bart%20De%20witte.pdf?csf=1&amp;web=1&amp;e=Mbhzfg"/>
    <x v="180"/>
    <n v="5910"/>
    <s v="ja"/>
    <s v="Bus"/>
    <s v="Standaard"/>
    <n v="2"/>
  </r>
  <r>
    <n v="38938"/>
    <x v="28"/>
    <s v="Sedighi"/>
    <s v="Hamid"/>
    <x v="6"/>
    <x v="345"/>
    <s v="https://delijn.sharepoint.com/:b:/r/teams/CTM-OTGentStad/Shared%20Documents/General/EAF/CSI(nieuwe%20sharepoint)%202025/4.%20April/EAF%206339%20Sint%20Salvatorstraat%2018-04-2025%20Sedighi%20Hamid%2038938.pdf?csf=1&amp;web=1&amp;e=knkhJQ"/>
    <x v="175"/>
    <n v="6339"/>
    <s v="ja"/>
    <s v="Tram"/>
    <s v="Hermelijn"/>
    <n v="7"/>
  </r>
  <r>
    <n v="32245"/>
    <x v="300"/>
    <s v="Verlinden"/>
    <s v="Bianca"/>
    <x v="3"/>
    <x v="346"/>
    <s v="https://delijn.sharepoint.com/:b:/r/teams/CTM-OTGentStad/Shared%20Documents/General/EAF/CSI(nieuwe%20sharepoint)%202025/4.%20April/EAF%205918%20E17%2019042025.pdf?csf=1&amp;web=1&amp;e=jKaDuv"/>
    <x v="0"/>
    <n v="5918"/>
    <s v="ja"/>
    <s v="Bus"/>
    <s v="Standaard"/>
    <n v="2"/>
  </r>
  <r>
    <n v="40110"/>
    <x v="121"/>
    <s v="Vanlerberghe"/>
    <s v="Sandra"/>
    <x v="5"/>
    <x v="346"/>
    <s v="https://delijn.sharepoint.com/:b:/r/teams/CTM-OTGentStad/Shared%20Documents/General/EAF/CSI(nieuwe%20sharepoint)%202025/4.%20April/EAF%202197%20Gent%2019042025%2040110%20Sandra%20Vanlerberghe.pdf?csf=1&amp;web=1&amp;e=E3vM9R"/>
    <x v="34"/>
    <n v="2197"/>
    <s v="ja"/>
    <s v="Bus"/>
    <s v="Gelede"/>
    <n v="7"/>
  </r>
  <r>
    <n v="41520"/>
    <x v="287"/>
    <s v="Smets"/>
    <s v="Avery"/>
    <x v="5"/>
    <x v="346"/>
    <s v="https://delijn.sharepoint.com/:b:/r/teams/CTM-OTGentStad/Shared%20Documents/General/EAF/CSI(nieuwe%20sharepoint)%202025/4.%20April/EAF%205919%20Gent%2019042025%2041520%20Avery%20Smets.pdf?csf=1&amp;web=1&amp;e=b7Xzf4"/>
    <x v="195"/>
    <n v="5919"/>
    <s v="ja"/>
    <s v="Bus"/>
    <s v="Standaard"/>
    <n v="3"/>
  </r>
  <r>
    <n v="40478"/>
    <x v="167"/>
    <s v="Hashimi"/>
    <s v="Ali Mir"/>
    <x v="4"/>
    <x v="347"/>
    <s v="https://delijn.sharepoint.com/:b:/r/teams/CTM-OTGentStad/Shared%20Documents/General/EAF/CSI(nieuwe%20sharepoint)%202025/4.%20April/EAF%205772%20Gent%20220425%20401478%20Hashimi.pdf?csf=1&amp;web=1&amp;e=guL8Ss"/>
    <x v="196"/>
    <n v="5772"/>
    <s v="ja"/>
    <s v="Bus"/>
    <s v="Standaard"/>
    <n v="4"/>
  </r>
  <r>
    <n v="41588"/>
    <x v="301"/>
    <s v="Naessens"/>
    <s v="Yves"/>
    <x v="1"/>
    <x v="347"/>
    <s v="https://delijn.sharepoint.com/:b:/r/teams/CTM-OTGentStad/Shared%20Documents/General/EAF/CSI(nieuwe%20sharepoint)%202025/4.%20April/EAF%207897%20GENT%2022042025%2041588%20Naessens%20Yves.pdf?csf=1&amp;web=1&amp;e=FxTbpk"/>
    <x v="197"/>
    <n v="7897"/>
    <s v="ja"/>
    <s v="Rijschool"/>
    <s v="Rijschool"/>
    <n v="2"/>
  </r>
  <r>
    <n v="36512"/>
    <x v="174"/>
    <s v="Van Herreweghe"/>
    <s v="Branco"/>
    <x v="8"/>
    <x v="348"/>
    <s v="https://delijn.sharepoint.com/:b:/r/teams/CTM-OTGentStad/Shared%20Documents/General/EAF/CSI(nieuwe%20sharepoint)%202025/4.%20April/EAF%2023042025%206313%20Gent%20Branco%20Van%20Herreweghe%2036512.pdf?csf=1&amp;web=1&amp;e=foryxp"/>
    <x v="12"/>
    <n v="6313"/>
    <s v="ja"/>
    <s v="Tram"/>
    <s v="Hermelijn"/>
    <n v="3"/>
  </r>
  <r>
    <n v="37132"/>
    <x v="302"/>
    <s v="Dacic"/>
    <s v="Esmir"/>
    <x v="7"/>
    <x v="348"/>
    <s v="https://delijn.sharepoint.com/:b:/r/teams/CTM-OTGentStad/Shared%20Documents/General/EAF/CSI(nieuwe%20sharepoint)%202025/4.%20April/EAF%206320%20Gent%2023042025%2037132%20Esmir.pdf?csf=1&amp;web=1&amp;e=fCIvWZ"/>
    <x v="138"/>
    <n v="6320"/>
    <s v="Neen"/>
    <s v="Tram"/>
    <s v="Hermelijn"/>
    <n v="2"/>
  </r>
  <r>
    <n v="33965"/>
    <x v="0"/>
    <e v="#N/A"/>
    <e v="#N/A"/>
    <x v="0"/>
    <x v="349"/>
    <s v="https://delijn.sharepoint.com/:b:/r/teams/CTM-OTGentStad/Shared%20Documents/General/EAF/CSI(nieuwe%20sharepoint)%202025/4.%20April/EAF%205917%20Gent%2024042025%2033965%20Van%20De%20Gehuchte%20Gilles.pdf?csf=1&amp;web=1&amp;e=FrsqZD"/>
    <x v="6"/>
    <n v="5917"/>
    <s v="ja"/>
    <s v="Bus"/>
    <s v="Standaard"/>
    <n v="10"/>
  </r>
  <r>
    <n v="38475"/>
    <x v="55"/>
    <s v="Verschraegen"/>
    <s v="Katleen"/>
    <x v="2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x v="38"/>
    <n v="5933"/>
    <s v="ja"/>
    <s v="Bus"/>
    <s v="Standaard"/>
    <n v="4"/>
  </r>
  <r>
    <n v="9999"/>
    <x v="0"/>
    <e v="#N/A"/>
    <e v="#N/A"/>
    <x v="0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x v="56"/>
    <n v="8232"/>
    <s v="ja"/>
    <s v="Rijschool"/>
    <s v="Rijschool"/>
    <n v="59"/>
  </r>
  <r>
    <n v="33085"/>
    <x v="303"/>
    <s v="Van Hoe"/>
    <s v="Ivo"/>
    <x v="1"/>
    <x v="350"/>
    <s v="https://delijn.sharepoint.com/:b:/r/teams/CTM-OTGentStad/Shared%20Documents/General/EAF/CSI(nieuwe%20sharepoint)%202025/4.%20April/EAF%202198%2026042025%20Gent%2033085%20Ivo%20Van%20Hoe.pdf?csf=1&amp;web=1&amp;e=ulTovn"/>
    <x v="198"/>
    <n v="2198"/>
    <s v="ja"/>
    <s v="Bus"/>
    <s v="Gelede"/>
    <n v="2"/>
  </r>
  <r>
    <n v="32002"/>
    <x v="304"/>
    <s v="Hasni"/>
    <s v="Helmi"/>
    <x v="8"/>
    <x v="350"/>
    <s v="https://delijn.sharepoint.com/:b:/r/teams/CTM-OTGentStad/Shared%20Documents/General/EAF/CSI(nieuwe%20sharepoint)%202025/4.%20April/EAF%206372%20Gent%2026042025%2032002%20Helmi%20Hasni.pdf?csf=1&amp;web=1&amp;e=N5XBjf"/>
    <x v="56"/>
    <n v="6372"/>
    <s v="Neen"/>
    <s v="Tram"/>
    <s v="Flexity"/>
    <n v="2"/>
  </r>
  <r>
    <n v="38475"/>
    <x v="55"/>
    <s v="Verschraegen"/>
    <s v="Katleen"/>
    <x v="2"/>
    <x v="351"/>
    <s v="https://delijn.sharepoint.com/:b:/r/teams/CTM-OTGentStad/Shared%20Documents/General/EAF/CSI(nieuwe%20sharepoint)%202025/4.%20April/EAF%205930%20Gent%2028042025%2038475%20Kathleen%20Verschraegen.pdf?csf=1&amp;web=1&amp;e=UOYKOY"/>
    <x v="75"/>
    <n v="5930"/>
    <s v="ja"/>
    <s v="Bus"/>
    <s v="Standaard"/>
    <n v="4"/>
  </r>
  <r>
    <n v="40134"/>
    <x v="228"/>
    <s v="Cardon"/>
    <s v="Sharon"/>
    <x v="7"/>
    <x v="351"/>
    <s v="https://delijn.sharepoint.com/:b:/r/teams/CTM-OTGentStad/Shared%20Documents/General/EAF/CSI(nieuwe%20sharepoint)%202025/4.%20April/EAF%205770%20Gent%2028042025%2040134%20Sharon%20Cardon.pdf?csf=1&amp;web=1&amp;e=WyYZ7y"/>
    <x v="135"/>
    <n v="5770"/>
    <s v="ja"/>
    <s v="Bus"/>
    <s v="Standaard"/>
    <n v="4"/>
  </r>
  <r>
    <n v="40591"/>
    <x v="278"/>
    <s v="Hiloui"/>
    <s v="Mahmoud"/>
    <x v="7"/>
    <x v="351"/>
    <s v="https://delijn.sharepoint.com/:b:/r/teams/CTM-OTGentStad/Shared%20Documents/General/EAF/CSI(nieuwe%20sharepoint)%202025/4.%20April/EAF%202208%20Gent%2028042025%2040591%20Mahmoud.pdf?csf=1&amp;web=1&amp;e=32VpYX"/>
    <x v="134"/>
    <n v="2208"/>
    <s v="ja"/>
    <s v="Bus"/>
    <s v="Gelede"/>
    <n v="2"/>
  </r>
  <r>
    <n v="24155"/>
    <x v="305"/>
    <s v="Luttens"/>
    <s v="Koen"/>
    <x v="3"/>
    <x v="352"/>
    <s v="https://delijn.sharepoint.com/:b:/r/teams/CTM-OTGentStad/Shared%20Documents/General/EAF/CSI(nieuwe%20sharepoint)%202025/4.%20April/EAF%206368%20Edelsteenstraat%2029042025.pdf?csf=1&amp;web=1&amp;e=ofwXCs"/>
    <x v="199"/>
    <n v="6368"/>
    <s v="ja"/>
    <s v="Tram"/>
    <s v="Flexity"/>
    <n v="1"/>
  </r>
  <r>
    <n v="38740"/>
    <x v="306"/>
    <s v="Meskens"/>
    <s v="Anthony"/>
    <x v="5"/>
    <x v="353"/>
    <s v="https://delijn.sharepoint.com/:b:/r/teams/CTM-OTGentStad/Shared%20Documents/General/EAF/CSI(nieuwe%20sharepoint)%202025/4.%20April/EAF%206322%20Gent%2030042025%2038740%20Anthony%20Meskens.pdf?csf=1&amp;web=1&amp;e=dwADs0"/>
    <x v="131"/>
    <n v="6322"/>
    <s v="Neen"/>
    <s v="Tram"/>
    <s v="Hermelijn"/>
    <n v="3"/>
  </r>
  <r>
    <n v="37908"/>
    <x v="307"/>
    <s v="Vandenberghe"/>
    <s v="Michael"/>
    <x v="8"/>
    <x v="353"/>
    <s v="https://delijn.sharepoint.com/:b:/r/teams/CTM-OTGentStad/Shared%20Documents/General/EAF/CSI(nieuwe%20sharepoint)%202025/4.%20April/EAF5054%20Rooigemlaan%2030042025%20Michael%20Vandenberghe.pdf?csf=1&amp;web=1&amp;e=nqvJts"/>
    <x v="42"/>
    <n v="5054"/>
    <s v="ja"/>
    <s v="Bus"/>
    <s v="Gelede"/>
    <n v="1"/>
  </r>
  <r>
    <n v="41092"/>
    <x v="229"/>
    <s v="De Keyser"/>
    <s v="Dorien"/>
    <x v="7"/>
    <x v="353"/>
    <s v="https://delijn.sharepoint.com/:b:/r/teams/CTM-OTGentStad/Shared%20Documents/General/EAF/CSI(nieuwe%20sharepoint)%202025/4.%20April/EAF%205912%20Meulesteedsesteenweg%2030042025%20Dorien%20De%20Keyser.pdf?csf=1&amp;web=1&amp;e=WgWR9h"/>
    <x v="116"/>
    <n v="5912"/>
    <s v="ja"/>
    <s v="Bus"/>
    <s v="Standaard"/>
    <n v="9"/>
  </r>
  <r>
    <n v="30967"/>
    <x v="226"/>
    <s v="Taser"/>
    <s v="Fatih"/>
    <x v="7"/>
    <x v="354"/>
    <s v="https://delijn.sharepoint.com/:b:/r/teams/CTM-OTGentStad/Shared%20Documents/General/EAF/CSI(nieuwe%20sharepoint)%202025/5.%20Mei/EAF%20Gent%2001052025%2030967.pdf?csf=1&amp;web=1&amp;e=BefRdN"/>
    <x v="8"/>
    <n v="2205"/>
    <s v="ja"/>
    <s v="Bus"/>
    <s v="Gelede"/>
    <n v="3"/>
  </r>
  <r>
    <n v="40652"/>
    <x v="207"/>
    <s v="Van Damme"/>
    <s v="Gilyann"/>
    <x v="3"/>
    <x v="355"/>
    <s v="https://delijn.sharepoint.com/:b:/r/teams/CTM-OTGentStad/Shared%20Documents/General/EAF/CSI(nieuwe%20sharepoint)%202025/1.%20Januari/EAF%205039%20Gent%20Smet%20Antoon%208394%2020012025.pdf?csf=1&amp;web=1&amp;e=1JqeX6"/>
    <x v="29"/>
    <n v="5039"/>
    <s v="ja"/>
    <s v="Bus"/>
    <s v="Gelede"/>
    <n v="8"/>
  </r>
  <r>
    <n v="40652"/>
    <x v="207"/>
    <s v="Van Damme"/>
    <s v="Gilyann"/>
    <x v="3"/>
    <x v="355"/>
    <s v="https://delijn.sharepoint.com/:b:/r/teams/CTM-OTGentStad/Shared%20Documents/General/EAF/CSI(nieuwe%20sharepoint)%202025/5.%20Mei/EAF%202198%20Voskenslaan%2002052025.pdf?csf=1&amp;web=1&amp;e=ks6CAK"/>
    <x v="29"/>
    <n v="2198"/>
    <s v="ja"/>
    <s v="Bus"/>
    <s v="Gelede"/>
    <n v="8"/>
  </r>
  <r>
    <n v="4608"/>
    <x v="308"/>
    <s v="Steenbrugge"/>
    <s v="Johan"/>
    <x v="6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x v="26"/>
    <n v="2208"/>
    <s v="ja"/>
    <s v="Bus"/>
    <s v="Gelede"/>
    <n v="1"/>
  </r>
  <r>
    <n v="33965"/>
    <x v="0"/>
    <e v="#N/A"/>
    <e v="#N/A"/>
    <x v="0"/>
    <x v="357"/>
    <s v="https://delijn.sharepoint.com/:b:/r/teams/CTM-OTGentStad/Shared%20Documents/General/EAF/CSI(nieuwe%20sharepoint)%202025/5.%20Mei/EAF%206325%20Gent%2004052025%20Gent%2033965%20Gilles%20van%20de%20Gehuchte.pdf?csf=1&amp;web=1&amp;e=n3bOu7"/>
    <x v="56"/>
    <n v="6325"/>
    <s v="ja"/>
    <s v="Tram"/>
    <s v="Hermelijn"/>
    <n v="10"/>
  </r>
  <r>
    <n v="38731"/>
    <x v="309"/>
    <s v="Ben Sidhom"/>
    <s v="Samir"/>
    <x v="5"/>
    <x v="358"/>
    <s v="https://delijn.sharepoint.com/:b:/r/teams/CTM-OTGentStad/Shared%20Documents/General/EAF/CSI(nieuwe%20sharepoint)%202025/5.%20Mei/EAF%205053%20Gent%2006052025%2038731%20Ben%20Samir%20Sidhom.pdf?csf=1&amp;web=1&amp;e=IH2ioZ"/>
    <x v="0"/>
    <n v="5053"/>
    <s v="ja"/>
    <s v="Bus"/>
    <s v="Gelede"/>
    <n v="1"/>
  </r>
  <r>
    <n v="39633"/>
    <x v="0"/>
    <e v="#N/A"/>
    <e v="#N/A"/>
    <x v="0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x v="46"/>
    <n v="4667"/>
    <s v="Neen"/>
    <s v="Bus"/>
    <s v="Citybus"/>
    <n v="2"/>
  </r>
  <r>
    <n v="37662"/>
    <x v="175"/>
    <s v="Van den Meerssche"/>
    <s v="Steven"/>
    <x v="4"/>
    <x v="359"/>
    <s v="https://delijn.sharepoint.com/:b:/r/teams/CTM-OTGentStad/Shared%20Documents/General/EAF/CSI(nieuwe%20sharepoint)%202025/5.%20Mei/EAF%205044%20Dampoort%2006052025.pdf?csf=1&amp;web=1&amp;e=AOYsIO"/>
    <x v="26"/>
    <n v="5044"/>
    <s v="Neen"/>
    <s v="Bus"/>
    <s v="Gelede"/>
    <n v="9"/>
  </r>
  <r>
    <n v="40938"/>
    <x v="310"/>
    <s v="Hasnaoui"/>
    <s v="Nejmeddine"/>
    <x v="7"/>
    <x v="359"/>
    <s v="https://delijn.sharepoint.com/:b:/r/teams/CTM-OTGentStad/Shared%20Documents/General/EAF/CSI(nieuwe%20sharepoint)%202025/5.%20Mei/EAF%20Gent%2006052025%2040938%20Nejmeddine%20Hasnaoui.pdf?csf=1&amp;web=1&amp;e=VZ70Ah"/>
    <x v="10"/>
    <n v="2196"/>
    <s v="ja"/>
    <s v="Bus"/>
    <s v="Gelede"/>
    <n v="4"/>
  </r>
  <r>
    <n v="40652"/>
    <x v="207"/>
    <s v="Van Damme"/>
    <s v="Gilyann"/>
    <x v="3"/>
    <x v="360"/>
    <s v="https://delijn.sharepoint.com/:b:/r/teams/CTM-OTGentStad/Shared%20Documents/General/EAF/CSI(nieuwe%20sharepoint)%202025/5.%20Mei/EAF%202196%20Gentsesteenweg%20Deinze%2007052025.pdf?csf=1&amp;web=1&amp;e=uwsq2j"/>
    <x v="200"/>
    <n v="2196"/>
    <s v="ja"/>
    <s v="Bus"/>
    <s v="Gelede"/>
    <n v="8"/>
  </r>
  <r>
    <n v="38931"/>
    <x v="14"/>
    <s v="Sancak"/>
    <s v="Eyuphan"/>
    <x v="4"/>
    <x v="361"/>
    <s v="https://delijn.sharepoint.com/:b:/r/teams/CTM-OTGentStad/Shared%20Documents/General/EAF/CSI(nieuwe%20sharepoint)%202025/5.%20Mei/EAF%204678%20Gent%2009052025%2038931%20Sancak.pdf?csf=1&amp;web=1&amp;e=inxfnO"/>
    <x v="201"/>
    <n v="4678"/>
    <s v="ja"/>
    <s v="Bus"/>
    <s v="Citybus"/>
    <n v="4"/>
  </r>
  <r>
    <n v="27672"/>
    <x v="311"/>
    <s v="Criel"/>
    <s v="Veronique"/>
    <x v="8"/>
    <x v="362"/>
    <s v="https://delijn.sharepoint.com/:b:/r/teams/CTM-OTGentStad/Shared%20Documents/General/EAF/CSI(nieuwe%20sharepoint)%202025/5.%20Mei/EAF10052025%206311%20Gent%20%20Veronique%20Criel%2027672.pdf?csf=1&amp;web=1&amp;e=950cWa"/>
    <x v="1"/>
    <n v="6311"/>
    <s v="ja"/>
    <s v="Tram"/>
    <s v="Hermelijn"/>
    <n v="1"/>
  </r>
  <r>
    <n v="31165"/>
    <x v="178"/>
    <s v="Govaerts"/>
    <s v="Sandro"/>
    <x v="6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x v="202"/>
    <n v="5048"/>
    <s v="ja"/>
    <s v="Bus"/>
    <s v="Gelede"/>
    <n v="2"/>
  </r>
  <r>
    <n v="40138"/>
    <x v="227"/>
    <s v="Moerman"/>
    <s v="Tjimmy"/>
    <x v="5"/>
    <x v="363"/>
    <s v=" https://delijn.sharepoint.com/:b:/r/teams/CTM-OTGentStad/Shared%20Documents/General/EAF/CSI(nieuwe%20sharepoint)%202025/5.%20Mei/EAF%205047%20Einde%20Were%20Gent%2011052025.pdf?csf=1&amp;web=1&amp;e=YoZLwz"/>
    <x v="42"/>
    <n v="5047"/>
    <s v="ja"/>
    <s v="Bus"/>
    <s v="Gelede"/>
    <n v="10"/>
  </r>
  <r>
    <n v="39856"/>
    <x v="312"/>
    <s v="Curukcu"/>
    <s v="Bayram"/>
    <x v="1"/>
    <x v="364"/>
    <s v="https://delijn.sharepoint.com/:b:/r/teams/CTM-OTGentStad/Shared%20Documents/General/EAF/CSI(nieuwe%20sharepoint)%202025/5.%20Mei/EAF%205265%20Gent%2013052025.pdf?csf=1&amp;web=1&amp;e=d43suw"/>
    <x v="70"/>
    <n v="5265"/>
    <s v="ja"/>
    <s v="Bus"/>
    <s v="Gelede"/>
    <n v="2"/>
  </r>
  <r>
    <n v="29746"/>
    <x v="313"/>
    <s v="Huyse"/>
    <s v="Annicke"/>
    <x v="4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x v="0"/>
    <n v="5231"/>
    <s v="ja"/>
    <s v="Bus"/>
    <s v="Gelede"/>
    <n v="3"/>
  </r>
  <r>
    <n v="36428"/>
    <x v="173"/>
    <s v="Abdi Shaiye"/>
    <s v="Rashid"/>
    <x v="6"/>
    <x v="366"/>
    <s v="https://delijn.sharepoint.com/:b:/r/teams/CTM-OTGentStad/Shared%20Documents/General/EAF/CSI(nieuwe%20sharepoint)%202025/5.%20Mei/EAF%206367%20Gent%2015052025%2036428%20Abdi%20Shaiye.pdf?csf=1&amp;web=1&amp;e=qs7FK3"/>
    <x v="2"/>
    <n v="6367"/>
    <s v="ja"/>
    <s v="Tram"/>
    <s v="Flexity"/>
    <n v="6"/>
  </r>
  <r>
    <n v="40393"/>
    <x v="314"/>
    <s v="Salimova"/>
    <s v="Eydzhan"/>
    <x v="7"/>
    <x v="366"/>
    <s v="EAF 7897 15052024 Nederzwalmsesteenweg Eydzhan Salimova.pdf"/>
    <x v="203"/>
    <n v="7897"/>
    <s v="ja"/>
    <s v="Rijschool"/>
    <s v="Rijschool"/>
    <n v="1"/>
  </r>
  <r>
    <n v="41230"/>
    <x v="299"/>
    <s v="De Witte"/>
    <s v="Bart"/>
    <x v="7"/>
    <x v="367"/>
    <s v="https://delijn.sharepoint.com/:b:/r/teams/CTM-OTGentStad/Shared%20Documents/General/EAF/CSI(nieuwe%20sharepoint)%202025/5.%20Mei/EAF%205924%20Gent%2017052025%2041230%20Bart%20De%20Witte.pdf?csf=1&amp;web=1&amp;e=evidHQ"/>
    <x v="204"/>
    <n v="5924"/>
    <s v="ja"/>
    <s v="Bus"/>
    <s v="Standaard"/>
    <n v="2"/>
  </r>
  <r>
    <n v="26960"/>
    <x v="85"/>
    <s v="Toubadie"/>
    <s v="Mossa"/>
    <x v="3"/>
    <x v="368"/>
    <s v="https://delijn.sharepoint.com/:b:/r/teams/CTM-OTGentStad/Shared%20Documents/General/EAF/CSI(nieuwe%20sharepoint)%202025/5.%20Mei/EAF%205935%20Gent%2021052025%2026960%20Mossa%20Toubadie.pdf?csf=1&amp;web=1&amp;e=36Xu6a"/>
    <x v="180"/>
    <n v="5935"/>
    <s v="Neen"/>
    <s v="Bus"/>
    <s v="Standaard"/>
    <n v="3"/>
  </r>
  <r>
    <n v="41710"/>
    <x v="315"/>
    <s v="Ghani"/>
    <s v="Fazal"/>
    <x v="3"/>
    <x v="368"/>
    <s v="https://delijn.sharepoint.com/:b:/r/teams/CTM-OTGentStad/Shared%20Documents/General/EAF/CSI(nieuwe%20sharepoint)%202025/5.%20Mei/EAF%202546%20Gent%2021052025%2041710%20Ghani%20Fazal.pdf?csf=1&amp;web=1&amp;e=DhRjBv"/>
    <x v="181"/>
    <n v="2546"/>
    <s v="ja"/>
    <s v="Bus"/>
    <s v="E-bus"/>
    <n v="1"/>
  </r>
  <r>
    <n v="38648"/>
    <x v="67"/>
    <s v="Uckuyulu"/>
    <s v="Muhammet Emin"/>
    <x v="6"/>
    <x v="368"/>
    <s v="https://delijn.sharepoint.com/:b:/r/teams/CTM-OTGentStad/Shared%20Documents/General/EAF/CSI(nieuwe%20sharepoint)%202025/5.%20Mei/EAF%206333%20Gent%2021052025%2038648%20%20Emin.pdf?csf=1&amp;web=1&amp;e=FrdmuB"/>
    <x v="205"/>
    <n v="6333"/>
    <s v="ja"/>
    <s v="Tram"/>
    <s v="Hermelijn"/>
    <n v="4"/>
  </r>
  <r>
    <n v="41671"/>
    <x v="316"/>
    <s v="Hasan"/>
    <s v="Salem"/>
    <x v="4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x v="82"/>
    <n v="8232"/>
    <s v="ja"/>
    <s v="Rijschool"/>
    <s v="Rijschool"/>
    <n v="1"/>
  </r>
  <r>
    <n v="39651"/>
    <x v="188"/>
    <s v="Kallenbach"/>
    <s v="Sunny"/>
    <x v="1"/>
    <x v="370"/>
    <s v="https://delijn.sharepoint.com/:b:/r/teams/CTM-OTGentStad/Shared%20Documents/General/EAF/CSI(nieuwe%20sharepoint)%202025/5.%20Mei/EAF%2039651%2023052025%2039651.pdf?csf=1&amp;web=1&amp;e=mQcewX"/>
    <x v="2"/>
    <n v="5238"/>
    <s v="Neen"/>
    <s v="Bus"/>
    <s v="Gelede"/>
    <n v="4"/>
  </r>
  <r>
    <n v="41482"/>
    <x v="317"/>
    <s v="Özdemir"/>
    <s v="Osman"/>
    <x v="4"/>
    <x v="370"/>
    <s v="https://delijn.sharepoint.com/:b:/r/teams/CTM-OTGentStad/Shared%20Documents/General/EAF/CSI(nieuwe%20sharepoint)%202025/5.%20Mei/EAF%205928%20Gent%2023052025%2041482.pdf?csf=1&amp;web=1&amp;e=sFqO7G"/>
    <x v="26"/>
    <n v="5928"/>
    <s v="ja"/>
    <s v="Bus"/>
    <s v="Standaard"/>
    <n v="3"/>
  </r>
  <r>
    <n v="40278"/>
    <x v="213"/>
    <s v="Ates"/>
    <s v="Firat"/>
    <x v="5"/>
    <x v="370"/>
    <s v="EAF bij chauffeur verloren. Via planning west naar schade gestuurd"/>
    <x v="23"/>
    <s v="-"/>
    <s v="ja"/>
    <n v="0"/>
    <s v="-"/>
    <n v="5"/>
  </r>
  <r>
    <n v="36438"/>
    <x v="231"/>
    <s v="Agil"/>
    <s v="Birol"/>
    <x v="4"/>
    <x v="371"/>
    <s v="https://delijn.sharepoint.com/:b:/r/teams/CTM-OTGentStad/Shared%20Documents/General/EAF/CSI(nieuwe%20sharepoint)%202025/5.%20Mei/EAF%206314%20gent%2026052025%2036438.pdf?csf=1&amp;web=1&amp;e=Z7eZiV"/>
    <x v="162"/>
    <n v="6314"/>
    <s v="ja"/>
    <s v="Tram"/>
    <s v="Hermelijn"/>
    <n v="5"/>
  </r>
  <r>
    <n v="15282"/>
    <x v="10"/>
    <s v="Marinx"/>
    <s v="Kristoff"/>
    <x v="1"/>
    <x v="371"/>
    <s v="https://delijn.sharepoint.com/:b:/r/teams/CTM-OTGentStad/Shared%20Documents/General/EAF/CSI(nieuwe%20sharepoint)%202025/5.%20Mei/EAF%2026052025.pdf?csf=1&amp;web=1&amp;e=PnI5yR"/>
    <x v="143"/>
    <n v="6322"/>
    <s v="ja"/>
    <s v="Tram"/>
    <s v="Hermelijn"/>
    <n v="2"/>
  </r>
  <r>
    <n v="15412"/>
    <x v="318"/>
    <s v="Dhondt"/>
    <s v="Frank"/>
    <x v="4"/>
    <x v="371"/>
    <s v="https://delijn.sharepoint.com/:b:/r/teams/CTM-OTGentStad/Shared%20Documents/General/EAF/CSI(nieuwe%20sharepoint)%202025/5.%20Mei/EAF%205266%20Burggravenlaan%20Gent%2026.05.2025%20Frank%20Dhondt%2015412.pdf?csf=1&amp;web=1&amp;e=FpluUD"/>
    <x v="184"/>
    <n v="5266"/>
    <s v="ja"/>
    <s v="Bus"/>
    <s v="Gelede"/>
    <n v="2"/>
  </r>
  <r>
    <n v="40856"/>
    <x v="260"/>
    <s v="Neissi"/>
    <s v="Sadegh"/>
    <x v="1"/>
    <x v="372"/>
    <s v="https://delijn.sharepoint.com/:b:/r/teams/CTM-OTGentStad/Shared%20Documents/General/EAF/CSI(nieuwe%20sharepoint)%202025/5.%20Mei/EAF%205630%20Gent%2029052025%2040856.pdf?csf=1&amp;web=1&amp;e=qbBgJn"/>
    <x v="19"/>
    <n v="5360"/>
    <s v="ja"/>
    <s v="Bus"/>
    <s v="Gelede"/>
    <n v="5"/>
  </r>
  <r>
    <n v="41619"/>
    <x v="319"/>
    <s v="Bachiri"/>
    <s v="Ousama"/>
    <x v="4"/>
    <x v="373"/>
    <s v="https://delijn.sharepoint.com/:b:/r/teams/CTM-OTGentStad/Shared%20Documents/General/EAF/CSI(nieuwe%20sharepoint)%202025/6.%20Juni/EAF%205927%20Gent%2030052025%2041619%20Ousama.pdf?csf=1&amp;web=1&amp;e=hrQO2G"/>
    <x v="167"/>
    <n v="5927"/>
    <s v="ja"/>
    <s v="Bus"/>
    <s v="Standaard"/>
    <n v="3"/>
  </r>
  <r>
    <n v="39927"/>
    <x v="113"/>
    <s v="De Wilde"/>
    <s v="Jordy"/>
    <x v="5"/>
    <x v="374"/>
    <s v="https://delijn.sharepoint.com/:b:/r/teams/CTM-OTGentStad/Shared%20Documents/General/EAF/CSI(nieuwe%20sharepoint)%202025/5.%20Mei/EAF%206355%20Gent%2031052025%2039927%20Jordy%20Dewilde.pdf?csf=1&amp;web=1&amp;e=MnwuV8"/>
    <x v="56"/>
    <n v="6355"/>
    <s v="ja"/>
    <s v="Tram"/>
    <s v="Flexity"/>
    <n v="2"/>
  </r>
  <r>
    <n v="40036"/>
    <x v="149"/>
    <s v="Karakaya"/>
    <s v="Oguz"/>
    <x v="7"/>
    <x v="375"/>
    <s v="https://delijn.sharepoint.com/:b:/r/teams/CTM-OTGentStad/Shared%20Documents/General/EAF/CSI(nieuwe%20sharepoint)%202025/6.%20Juni/EAF%205931%20Gent%2002062025%2040036%20Oguz%20Karakaya.pdf?csf=1&amp;web=1&amp;e=oarPZJ"/>
    <x v="174"/>
    <n v="5931"/>
    <s v="ja"/>
    <s v="Bus"/>
    <s v="Standaard"/>
    <n v="2"/>
  </r>
  <r>
    <n v="40278"/>
    <x v="213"/>
    <s v="Ates"/>
    <s v="Firat"/>
    <x v="5"/>
    <x v="375"/>
    <s v="https://delijn.sharepoint.com/:b:/r/teams/CTM-OTGentStad/Shared%20Documents/General/EAF/CSI(nieuwe%20sharepoint)%202025/6.%20Juni/EAF%205236%20Gent%2002062025%2040278%20Ates%20Firat.pdf?csf=1&amp;web=1&amp;e=U99UKS"/>
    <x v="119"/>
    <n v="5236"/>
    <s v="ja"/>
    <s v="Bus"/>
    <s v="Gelede"/>
    <n v="5"/>
  </r>
  <r>
    <n v="41384"/>
    <x v="320"/>
    <s v="Hillaert"/>
    <s v="Thimo"/>
    <x v="5"/>
    <x v="375"/>
    <s v="https://delijn.sharepoint.com/:b:/r/teams/CTM-OTGentStad/Shared%20Documents/General/EAF/CSI(nieuwe%20sharepoint)%202025/6.%20Juni/EAF%205489%20Gent%2002062025%2041384%20Thimo%20Hillaert.pdf?csf=1&amp;web=1&amp;e=RbemFP"/>
    <x v="9"/>
    <n v="5489"/>
    <s v="ja"/>
    <s v="Bus"/>
    <s v="Standaard"/>
    <n v="4"/>
  </r>
  <r>
    <n v="23918"/>
    <x v="205"/>
    <s v="D'Haeyere"/>
    <s v="Bernard"/>
    <x v="3"/>
    <x v="376"/>
    <s v="https://delijn.sharepoint.com/:b:/r/teams/CTM-OTGentStad/Shared%20Documents/General/EAF/CSI(nieuwe%20sharepoint)%202025/6.%20Juni/EAF%205931%20Gent%2003062025%2023918%20Bernard%20Dhaeyere.pdf?csf=1&amp;web=1&amp;e=mBlqK4"/>
    <x v="206"/>
    <n v="5931"/>
    <s v="ja"/>
    <s v="Bus"/>
    <s v="Standaard"/>
    <n v="3"/>
  </r>
  <r>
    <n v="41064"/>
    <x v="284"/>
    <s v="Ardic"/>
    <s v="Atilla"/>
    <x v="7"/>
    <x v="376"/>
    <s v="https://delijn.sharepoint.com/:b:/r/teams/CTM-OTGentStad/Shared%20Documents/General/EAF/CSI(nieuwe%20sharepoint)%202025/6.%20Juni/EAF%205048%20Gent%2003062025%2041064%20Ardic%20Attila.pdf?csf=1&amp;web=1&amp;e=b3pliq"/>
    <x v="56"/>
    <n v="5048"/>
    <s v="ja"/>
    <s v="Bus"/>
    <s v="Gelede"/>
    <n v="2"/>
  </r>
  <r>
    <n v="41246"/>
    <x v="272"/>
    <s v="Van Holsbeeck"/>
    <s v="Yana"/>
    <x v="7"/>
    <x v="376"/>
    <s v="https://delijn.sharepoint.com/:b:/r/teams/CTM-OTGentStad/Shared%20Documents/General/EAF/CSI(nieuwe%20sharepoint)%202025/6.%20Juni/EAF%205920%20Gent%2003062025%2041246%20yana%20van%20holsbeek.pdf?csf=1&amp;web=1&amp;e=dfnO9S"/>
    <x v="207"/>
    <n v="5920"/>
    <s v="ja"/>
    <s v="Bus"/>
    <s v="Standaard"/>
    <n v="3"/>
  </r>
  <r>
    <n v="36154"/>
    <x v="321"/>
    <s v="De Clercq"/>
    <s v="Sven"/>
    <x v="6"/>
    <x v="376"/>
    <s v="https://delijn.sharepoint.com/:b:/r/teams/CTM-OTGentStad/Shared%20Documents/General/EAF/CSI(nieuwe%20sharepoint)%202025/6.%20Juni/EAF%206356%20Gent%2003062025%2036154%20Sven%20Declercq.pdf?csf=1&amp;web=1&amp;e=JmLfhD"/>
    <x v="49"/>
    <n v="6356"/>
    <s v="ja"/>
    <s v="Tram"/>
    <s v="Flexity"/>
    <n v="1"/>
  </r>
  <r>
    <n v="38481"/>
    <x v="96"/>
    <s v="Sari"/>
    <s v="Devrim"/>
    <x v="1"/>
    <x v="377"/>
    <s v="https://delijn.sharepoint.com/:b:/r/teams/CTM-OTGentStad/Shared%20Documents/General/EAF/CSI(nieuwe%20sharepoint)%202025/6.%20Juni/EAF%20Gent%2004062025%2038481%20Sari%20Devrim.pdf?csf=1&amp;web=1&amp;e=3Hc70Q"/>
    <x v="208"/>
    <s v="-"/>
    <s v="ja"/>
    <n v="0"/>
    <s v="-"/>
    <n v="4"/>
  </r>
  <r>
    <n v="30119"/>
    <x v="219"/>
    <s v="Haerens"/>
    <s v="Tom"/>
    <x v="7"/>
    <x v="378"/>
    <s v="https://delijn.sharepoint.com/:b:/r/teams/CTM-OTGentStad/Shared%20Documents/General/EAF/CSI(nieuwe%20sharepoint)%202025/6.%20Juni/EAF%206323%20Gent%2005062025%2030119%20Tom%20Haerens.pdf?csf=1&amp;web=1&amp;e=yyXOZV"/>
    <x v="12"/>
    <n v="6323"/>
    <s v="Neen"/>
    <s v="Tram"/>
    <s v="Hermelijn"/>
    <n v="2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Bevrijdingslaan%20Gent%2005062025.pdf?csf=1&amp;web=1&amp;e=DezH5m"/>
    <x v="114"/>
    <n v="5237"/>
    <s v="ja"/>
    <s v="Bus"/>
    <s v="Gelede"/>
    <n v="4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Dampoort%20Gent%2005062025.pdf?csf=1&amp;web=1&amp;e=ggtBJR"/>
    <x v="26"/>
    <n v="5237"/>
    <s v="ja"/>
    <s v="Bus"/>
    <s v="Gelede"/>
    <n v="4"/>
  </r>
  <r>
    <n v="36627"/>
    <x v="18"/>
    <s v="Dobbelaere"/>
    <s v="David"/>
    <x v="2"/>
    <x v="379"/>
    <s v="https://delijn.sharepoint.com/:b:/r/teams/CTM-OTGentStad/Shared%20Documents/General/EAF/CSI(nieuwe%20sharepoint)%202025/6.%20Juni/EAF%206374%20gent%2006062025%2036627%20david%20dobbelaere.pdf?csf=1&amp;web=1&amp;e=zDht8o"/>
    <x v="1"/>
    <n v="6374"/>
    <s v="ja"/>
    <s v="Tram"/>
    <s v="Flexity"/>
    <n v="5"/>
  </r>
  <r>
    <n v="37208"/>
    <x v="322"/>
    <s v="Catar"/>
    <s v="Gökhan"/>
    <x v="1"/>
    <x v="380"/>
    <s v="https://delijn.sharepoint.com/:b:/r/teams/CTM-OTGentStad/Shared%20Documents/General/EAF/CSI(nieuwe%20sharepoint)%202025/6.%20Juni/EAF%206329%20Gent%2007062025%2037208%20Catar%20Gohhan.pdf?csf=1&amp;web=1&amp;e=tPaG0w"/>
    <x v="2"/>
    <n v="6329"/>
    <s v="ja"/>
    <s v="Tram"/>
    <s v="Hermelijn"/>
    <n v="1"/>
  </r>
  <r>
    <n v="40645"/>
    <x v="323"/>
    <s v="Bytebier"/>
    <s v="Jason"/>
    <x v="2"/>
    <x v="381"/>
    <s v="https://delijn.sharepoint.com/:b:/r/teams/CTM-OTGentStad/Shared%20Documents/General/EAF/CSI(nieuwe%20sharepoint)%202025/6.%20Juni/EAF%205909%20Gent%2010062025%2040645%20Jason%20Bytebier.pdf?csf=1&amp;web=1&amp;e=rQFKXA"/>
    <x v="32"/>
    <n v="5909"/>
    <s v="ja"/>
    <s v="Bus"/>
    <s v="Standaard"/>
    <n v="2"/>
  </r>
  <r>
    <n v="36512"/>
    <x v="174"/>
    <s v="Van Herreweghe"/>
    <s v="Branco"/>
    <x v="8"/>
    <x v="382"/>
    <s v="https://delijn.sharepoint.com/:b:/r/teams/CTM-OTGentStad/Shared%20Documents/General/EAF/CSI(nieuwe%20sharepoint)%202025/6.%20Juni/EAF%2011062025%205934%20Gent%20Branco%20Van%20Herreweghe%2036512.pdf?csf=1&amp;web=1&amp;e=3EdBHe"/>
    <x v="194"/>
    <n v="5934"/>
    <s v="ja"/>
    <s v="Bus"/>
    <s v="Standaard"/>
    <n v="3"/>
  </r>
  <r>
    <n v="7746"/>
    <x v="324"/>
    <s v="Aelterman"/>
    <s v="Didier"/>
    <x v="5"/>
    <x v="383"/>
    <s v="https://delijn.sharepoint.com/:b:/r/teams/CTM-OTGentStad/Shared%20Documents/General/EAF/CSI(nieuwe%20sharepoint)%202025/6.%20Juni/EAF%205488%20Gent%2012062025%207746%20Didier%20Aelterman.pdf?csf=1&amp;web=1&amp;e=544rWn"/>
    <x v="209"/>
    <n v="5488"/>
    <s v="ja"/>
    <s v="Bus"/>
    <s v="Standaard"/>
    <n v="1"/>
  </r>
  <r>
    <n v="31150"/>
    <x v="325"/>
    <s v="Oueslati"/>
    <s v="Mohamed Ali"/>
    <x v="1"/>
    <x v="383"/>
    <s v="https://delijn.sharepoint.com/:b:/r/teams/CTM-OTGentStad/Shared%20Documents/General/EAF/CSI(nieuwe%20sharepoint)%202025/6.%20Juni/EAF%205039%2012062025%2031150%20Ouslati%20Mohamed.pdf?csf=1&amp;web=1&amp;e=oKVgph"/>
    <x v="8"/>
    <n v="5039"/>
    <s v="ja"/>
    <s v="Bus"/>
    <s v="Gelede"/>
    <n v="1"/>
  </r>
  <r>
    <n v="26695"/>
    <x v="326"/>
    <s v="Lippens"/>
    <s v="Miguel"/>
    <x v="5"/>
    <x v="384"/>
    <s v="https://delijn.sharepoint.com/:b:/r/teams/CTM-OTGentStad/Shared%20Documents/General/EAF/CSI(nieuwe%20sharepoint)%202025/6.%20Juni/EAF%20Gent%2013062025%2026695%20Miquel%20Lippens.pdf?csf=1&amp;web=1&amp;e=PfzS3d"/>
    <x v="209"/>
    <n v="5489"/>
    <s v="Neen"/>
    <s v="Bus"/>
    <s v="Standaard"/>
    <n v="2"/>
  </r>
  <r>
    <n v="14625"/>
    <x v="327"/>
    <s v="Rodrigue"/>
    <s v="Vincent"/>
    <x v="6"/>
    <x v="385"/>
    <s v="https://delijn.sharepoint.com/:b:/r/teams/CTM-OTGentStad/Shared%20Documents/General/EAF/CSI(nieuwe%20sharepoint)%202025/6.%20Juni/EAF%202209%20Oostakker%2020062025%20Vincent%20Rodrigue.pdf?csf=1&amp;web=1&amp;e=QbeGWm"/>
    <x v="21"/>
    <n v="2209"/>
    <s v="Neen"/>
    <s v="Bus"/>
    <s v="Gelede"/>
    <n v="1"/>
  </r>
  <r>
    <n v="36569"/>
    <x v="0"/>
    <e v="#N/A"/>
    <e v="#N/A"/>
    <x v="0"/>
    <x v="385"/>
    <s v="https://delijn.sharepoint.com/:b:/r/teams/CTM-OTGentStad/Shared%20Documents/General/EAF/CSI(nieuwe%20sharepoint)%202025/6.%20Juni/EAF%206321%20Zwijnaardsesteenweg%20Gent%2020062025.pdf?csf=1&amp;web=1&amp;e=OYMdOD"/>
    <x v="12"/>
    <n v="6321"/>
    <s v="ja"/>
    <s v="Tram"/>
    <s v="Hermelijn"/>
    <n v="6"/>
  </r>
  <r>
    <n v="41721"/>
    <x v="328"/>
    <s v="Nolf"/>
    <s v="Philippe"/>
    <x v="1"/>
    <x v="385"/>
    <s v="https://delijn.sharepoint.com/:b:/r/teams/CTM-OTGentStad/Shared%20Documents/General/EAF/CSI(nieuwe%20sharepoint)%202025/6.%20Juni/EAF%205938%20Gent%2020062025%20Nolf%20Phillipe%2041721.pdf?csf=1&amp;web=1&amp;e=sjXUdI"/>
    <x v="167"/>
    <n v="5938"/>
    <s v="ja"/>
    <s v="Bus"/>
    <s v="Standaard"/>
    <n v="1"/>
  </r>
  <r>
    <n v="26847"/>
    <x v="244"/>
    <s v="De Meester"/>
    <s v="David"/>
    <x v="4"/>
    <x v="385"/>
    <s v="https://delijn.sharepoint.com/:b:/r/teams/CTM-OTGentStad/Shared%20Documents/General/EAF/CSI(nieuwe%20sharepoint)%202025/6.%20Juni/EAF6341%2020062025%20Gent%2026847%20DAvid%20De%20Meester.pdf?csf=1&amp;web=1&amp;e=Axtmjn"/>
    <x v="2"/>
    <n v="6361"/>
    <s v="ja"/>
    <s v="Tram"/>
    <s v="Flexity"/>
    <n v="2"/>
  </r>
  <r>
    <n v="36426"/>
    <x v="249"/>
    <s v="Mohamed Yassin"/>
    <s v="Abdulhamid"/>
    <x v="4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x v="65"/>
    <n v="6364"/>
    <s v="ja"/>
    <s v="Tram"/>
    <s v="Flexity"/>
    <n v="3"/>
  </r>
  <r>
    <n v="36624"/>
    <x v="141"/>
    <s v="De Meulenaere"/>
    <s v="Kurt"/>
    <x v="7"/>
    <x v="386"/>
    <s v="https://delijn.sharepoint.com/:b:/r/teams/CTM-OTGentStad/Shared%20Documents/General/EAF/CSI(nieuwe%20sharepoint)%202025/6.%20Juni/EAF%205910%20Gent%2021062025%2036624%20Kurt%20De%20Meulenaere.pdf?csf=1&amp;web=1&amp;e=FkSgzE"/>
    <x v="91"/>
    <n v="5910"/>
    <s v="ja"/>
    <s v="Bus"/>
    <s v="Standaard"/>
    <n v="3"/>
  </r>
  <r>
    <n v="41690"/>
    <x v="329"/>
    <s v="Van de Winckel"/>
    <s v="Kelly"/>
    <x v="2"/>
    <x v="386"/>
    <s v="https://delijn.sharepoint.com/:b:/r/teams/CTM-OTGentStad/Shared%20Documents/General/EAF/CSI(nieuwe%20sharepoint)%202025/6.%20Juni/EAF%205771%2021062025%20Gent%2041690%20Kelly%20Van%20De%20Winckel.pdf?csf=1&amp;web=1&amp;e=5ekswn"/>
    <x v="14"/>
    <n v="5771"/>
    <s v="ja"/>
    <s v="Bus"/>
    <s v="Standaard"/>
    <n v="1"/>
  </r>
  <r>
    <n v="38808"/>
    <x v="36"/>
    <s v="Wasen"/>
    <s v="Jens"/>
    <x v="2"/>
    <x v="387"/>
    <s v="https://delijn.sharepoint.com/:b:/r/teams/CTM-OTGentStad/Shared%20Documents/General/EAF/CSI(nieuwe%20sharepoint)%202025/6.%20Juni/EAF%205926%20Gent%2022062025%2038808%20Jens%20Wasen.pdf?csf=1&amp;web=1&amp;e=BlwXj0"/>
    <x v="32"/>
    <n v="5926"/>
    <s v="ja"/>
    <s v="Bus"/>
    <s v="Standaard"/>
    <n v="5"/>
  </r>
  <r>
    <n v="38633"/>
    <x v="182"/>
    <s v="Stomphorst"/>
    <s v="Mattanja"/>
    <x v="2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x v="9"/>
    <n v="2269"/>
    <s v="ja"/>
    <s v="Rijschool"/>
    <s v="Rijschool"/>
    <n v="3"/>
  </r>
  <r>
    <n v="19917"/>
    <x v="11"/>
    <s v="Vandevyvere"/>
    <s v="Frank"/>
    <x v="4"/>
    <x v="388"/>
    <s v="https://delijn.sharepoint.com/:b:/r/teams/CTM-OTGentStad/Shared%20Documents/General/EAF/CSI(nieuwe%20sharepoint)%202025/6.%20Juni/EAF%205260%2023062025%20Gent%2019917%20Frank%20Vandevyvere.pdf?csf=1&amp;web=1&amp;e=f3iwKC"/>
    <x v="24"/>
    <n v="5260"/>
    <s v="ja"/>
    <s v="Bus"/>
    <s v="Gelede"/>
    <n v="10"/>
  </r>
  <r>
    <n v="40478"/>
    <x v="167"/>
    <s v="Hashimi"/>
    <s v="Ali Mir"/>
    <x v="4"/>
    <x v="388"/>
    <s v="https://delijn.sharepoint.com/:b:/r/teams/CTM-OTGentStad/Shared%20Documents/General/EAF/CSI(nieuwe%20sharepoint)%202025/6.%20Juni/EAF%205911%20Gent23062025%2040478%20Ali%20Mir%20Hashimi.pdf?csf=1&amp;web=1&amp;e=LpDw5m"/>
    <x v="75"/>
    <n v="5911"/>
    <s v="ja"/>
    <s v="Bus"/>
    <s v="Standaard"/>
    <n v="4"/>
  </r>
  <r>
    <n v="29746"/>
    <x v="313"/>
    <s v="Huyse"/>
    <s v="Annicke"/>
    <x v="4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x v="110"/>
    <n v="6368"/>
    <s v="Neen"/>
    <s v="Tram"/>
    <s v="Flexity"/>
    <n v="3"/>
  </r>
  <r>
    <n v="38634"/>
    <x v="9"/>
    <s v="Asskale"/>
    <s v="Zouhir"/>
    <x v="4"/>
    <x v="389"/>
    <s v="https://delijn.sharepoint.com/:b:/r/teams/CTM-OTGentStad/Shared%20Documents/General/EAF/CSI(nieuwe%20sharepoint)%202025/6.%20Juni/EAF%206339%20Gent%2024062025%2038634.pdf?csf=1&amp;web=1&amp;e=4abjDJ"/>
    <x v="17"/>
    <n v="6339"/>
    <s v="ja"/>
    <s v="Tram"/>
    <s v="Hermelijn"/>
    <n v="3"/>
  </r>
  <r>
    <n v="15412"/>
    <x v="318"/>
    <s v="Dhondt"/>
    <s v="Frank"/>
    <x v="4"/>
    <x v="390"/>
    <s v="https://delijn.sharepoint.com/:b:/r/teams/CTM-OTGentStad/Shared%20Documents/General/EAF/CSI(nieuwe%20sharepoint)%202025/6.%20Juni/EAF%205261%20Gent%2025062025%2015412%20Frank%20Dhond.pdf?csf=1&amp;web=1&amp;e=BT24uc"/>
    <x v="210"/>
    <n v="5261"/>
    <s v="ja"/>
    <s v="Bus"/>
    <s v="Gelede"/>
    <n v="2"/>
  </r>
  <r>
    <n v="40362"/>
    <x v="330"/>
    <s v="Kuru"/>
    <s v="Cetin"/>
    <x v="1"/>
    <x v="390"/>
    <s v="https://delijn.sharepoint.com/:b:/r/teams/CTM-OTGentStad/Shared%20Documents/General/EAF/CSI(nieuwe%20sharepoint)%202025/6.%20Juni/EAF%205235%20Gent%2025062025%2040362%20Cetin%20Keru.pdf?csf=1&amp;web=1&amp;e=G2pviC"/>
    <x v="193"/>
    <n v="5235"/>
    <s v="ja"/>
    <s v="Bus"/>
    <s v="Gelede"/>
    <n v="3"/>
  </r>
  <r>
    <n v="29646"/>
    <x v="331"/>
    <s v="Özer"/>
    <s v="Mesut"/>
    <x v="7"/>
    <x v="391"/>
    <s v="https://delijn.sharepoint.com/:b:/r/teams/CTM-OTGentStad/Shared%20Documents/General/EAF/CSI(nieuwe%20sharepoint)%202025/6.%20Juni/EAF%2028062025%20Ozer%20Mesut.pdf?csf=1&amp;web=1&amp;e=gqAGpG"/>
    <x v="211"/>
    <n v="5912"/>
    <s v="Neen"/>
    <s v="Bus"/>
    <s v="Standaard"/>
    <n v="1"/>
  </r>
  <r>
    <n v="15088"/>
    <x v="123"/>
    <s v="Laute"/>
    <s v="Dirk"/>
    <x v="3"/>
    <x v="392"/>
    <s v="https://delijn.sharepoint.com/:b:/r/teams/CTM-OTGentStad/Shared%20Documents/General/EAF/CSI(nieuwe%20sharepoint)%202025/6.%20Juni/EAF%205046%20Morekstraat%20Wondelgem%2029062025.pdf?csf=1&amp;web=1&amp;e=qHNve5"/>
    <x v="24"/>
    <n v="5046"/>
    <s v="Neen"/>
    <s v="Bus"/>
    <s v="Gelede"/>
    <n v="2"/>
  </r>
  <r>
    <n v="39850"/>
    <x v="332"/>
    <s v="Helleputte"/>
    <s v="William"/>
    <x v="7"/>
    <x v="392"/>
    <s v="https://delijn.sharepoint.com/:b:/r/teams/CTM-OTGentStad/Shared%20Documents/General/EAF/CSI(nieuwe%20sharepoint)%202025/6.%20Juni/EAF%205042%2029062025%20Gent%2039850%20William%20Helleput.pdf?csf=1&amp;web=1&amp;e=0SwyMY"/>
    <x v="11"/>
    <n v="5042"/>
    <s v="ja"/>
    <s v="Bus"/>
    <s v="Gelede"/>
    <n v="3"/>
  </r>
  <r>
    <n v="40223"/>
    <x v="0"/>
    <e v="#N/A"/>
    <e v="#N/A"/>
    <x v="0"/>
    <x v="392"/>
    <s v="https://delijn.sharepoint.com/:b:/r/teams/CTM-OTGentStad/Shared%20Documents/General/EAF/CSI(nieuwe%20sharepoint)%202025/6.%20Juni/EAF%205047%20Gent%2029062025%2040223%20Teetaert%20Billy.pdf?csf=1&amp;web=1&amp;e=nq4b2m"/>
    <x v="212"/>
    <n v="5047"/>
    <s v="ja"/>
    <s v="Bus"/>
    <s v="Gelede"/>
    <n v="8"/>
  </r>
  <r>
    <n v="21509"/>
    <x v="61"/>
    <s v="De Craemer"/>
    <s v="Kris"/>
    <x v="7"/>
    <x v="393"/>
    <s v="https://delijn.sharepoint.com/:b:/r/teams/CTM-OTGentStad/Shared%20Documents/General/EAF/CSI(nieuwe%20sharepoint)%202025/7.%20Juli/EAF%206319%2001072025%20Gent%2021509%20Kris%20De%20Craemer.pdf?csf=1&amp;web=1&amp;e=3Gwvl3"/>
    <x v="71"/>
    <n v="6319"/>
    <s v="ja"/>
    <s v="Tram"/>
    <s v="Hermelijn"/>
    <n v="6"/>
  </r>
  <r>
    <n v="4419"/>
    <x v="247"/>
    <s v="Maelbrancke"/>
    <s v="Eddy"/>
    <x v="6"/>
    <x v="393"/>
    <s v="https://delijn.sharepoint.com/:b:/r/teams/CTM-OTGentStad/Shared%20Documents/General/EAF/CSI(nieuwe%20sharepoint)%202025/7.%20Juli/EAF%202195%20Gent%2001072025%204419%20Eddy%20Maelbraecke.pdf?csf=1&amp;web=1&amp;e=MkzgFf"/>
    <x v="213"/>
    <n v="2195"/>
    <s v="ja"/>
    <s v="Bus"/>
    <s v="Gelede"/>
    <n v="4"/>
  </r>
  <r>
    <n v="32528"/>
    <x v="76"/>
    <s v="Benjilali"/>
    <s v="Abdelhak"/>
    <x v="8"/>
    <x v="393"/>
    <s v="https://delijn.sharepoint.com/:b:/r/teams/CTM-OTGentStad/Shared%20Documents/General/EAF/CSI(nieuwe%20sharepoint)%202025/7.%20Juli/EAF%2001072025%205264%20Gent%2032528%20Abdelhak%20Benjalili.pdf?csf=1&amp;web=1&amp;e=r2qFIj"/>
    <x v="6"/>
    <n v="5264"/>
    <s v="ja"/>
    <s v="Bus"/>
    <s v="Gelede"/>
    <n v="2"/>
  </r>
  <r>
    <n v="37542"/>
    <x v="148"/>
    <s v="De Tandt"/>
    <s v="Hans"/>
    <x v="4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x v="82"/>
    <n v="6362"/>
    <s v="ja"/>
    <s v="Tram"/>
    <s v="Flexity"/>
    <n v="5"/>
  </r>
  <r>
    <n v="38648"/>
    <x v="67"/>
    <s v="Uckuyulu"/>
    <s v="Muhammet Emin"/>
    <x v="6"/>
    <x v="394"/>
    <s v="https://delijn.sharepoint.com/:b:/r/teams/CTM-OTGentStad/Shared%20Documents/General/EAF/CSI(nieuwe%20sharepoint)%202025/7.%20Juli/EAF%206368%20Gent%2002072025%2038648%20Emin%20Uckuyulu.pdf?csf=1&amp;web=1&amp;e=ztYK2l"/>
    <x v="56"/>
    <n v="6368"/>
    <s v="ja"/>
    <s v="Tram"/>
    <s v="Flexity"/>
    <n v="4"/>
  </r>
  <r>
    <n v="4419"/>
    <x v="247"/>
    <s v="Maelbrancke"/>
    <s v="Eddy"/>
    <x v="6"/>
    <x v="395"/>
    <s v="https://delijn.sharepoint.com/:b:/r/teams/CTM-OTGentStad/Shared%20Documents/General/EAF/CSI(nieuwe%20sharepoint)%202025/7.%20Juli/EAF%202193%20EKE%2003072025.pdf?csf=1&amp;web=1&amp;e=r3yMns"/>
    <x v="214"/>
    <n v="2193"/>
    <s v="Neen"/>
    <s v="Bus"/>
    <s v="Gelede"/>
    <n v="4"/>
  </r>
  <r>
    <n v="40745"/>
    <x v="333"/>
    <s v="Ivanov"/>
    <s v="Ivan"/>
    <x v="4"/>
    <x v="395"/>
    <s v="https://delijn.sharepoint.com/:b:/r/teams/CTM-OTGentStad/Shared%20Documents/General/EAF/CSI(nieuwe%20sharepoint)%202025/7.%20Juli/EAF%205259%2003072025%20GENT%2040745%20Ivan%20Ivanov.pdf?csf=1&amp;web=1&amp;e=pJwYiX"/>
    <x v="119"/>
    <n v="5259"/>
    <s v="ja"/>
    <s v="Bus"/>
    <s v="Gelede"/>
    <n v="1"/>
  </r>
  <r>
    <n v="28737"/>
    <x v="263"/>
    <s v="El-Mohamed"/>
    <s v="Mohamed"/>
    <x v="6"/>
    <x v="396"/>
    <s v="https://delijn.sharepoint.com/:b:/r/teams/CTM-OTGentStad/Shared%20Documents/General/EAF/CSI(nieuwe%20sharepoint)%202025/7.%20Juli/EAF%205046%2004072025%20Gent%2028737%20Mohamed%20El%20Mohamed.pdf?csf=1&amp;web=1&amp;e=9pPmNB"/>
    <x v="26"/>
    <n v="5046"/>
    <s v="ja"/>
    <s v="Bus"/>
    <s v="Gelede"/>
    <n v="4"/>
  </r>
  <r>
    <n v="39660"/>
    <x v="0"/>
    <e v="#N/A"/>
    <e v="#N/A"/>
    <x v="0"/>
    <x v="396"/>
    <s v="https://delijn.sharepoint.com/:b:/r/teams/CTM-OTGentStad/Shared%20Documents/General/EAF/CSI(nieuwe%20sharepoint)%202025/7.%20Juli/EAF%202190%2004072025%20Gent%2039660%20Glenn%20Loyd.pdf?csf=1&amp;web=1&amp;e=GWNfVE"/>
    <x v="213"/>
    <n v="2190"/>
    <s v="Neen"/>
    <s v="Bus"/>
    <s v="Gelede"/>
    <n v="6"/>
  </r>
  <r>
    <n v="22416"/>
    <x v="334"/>
    <s v="Bicici"/>
    <s v="Abdul Kadir"/>
    <x v="5"/>
    <x v="397"/>
    <s v="https://delijn.sharepoint.com/:b:/r/teams/CTM-OTGentStad/Shared%20Documents/General/EAF/CSI(nieuwe%20sharepoint)%202025/7.%20Juli/EAF%206355%20Gent%2005072025%2022416%20Abdul%20Kadir%20Bicici.pdf?csf=1&amp;web=1&amp;e=0CzNqL"/>
    <x v="215"/>
    <n v="6355"/>
    <s v="ja"/>
    <s v="Tram"/>
    <s v="Flexity"/>
    <n v="1"/>
  </r>
  <r>
    <n v="40939"/>
    <x v="282"/>
    <s v="Cisse"/>
    <s v="Sayon"/>
    <x v="1"/>
    <x v="397"/>
    <s v="https://delijn.sharepoint.com/:b:/r/teams/CTM-OTGentStad/Shared%20Documents/General/EAF/CSI(nieuwe%20sharepoint)%202025/7.%20Juli/EAF%205046%2005072025%20Gent%2040939%20Cisse%20Sayon.pdf?csf=1&amp;web=1&amp;e=9wBhrq"/>
    <x v="59"/>
    <n v="5046"/>
    <s v="ja"/>
    <s v="Bus"/>
    <s v="Gelede"/>
    <n v="4"/>
  </r>
  <r>
    <n v="31776"/>
    <x v="335"/>
    <s v="Famelaer"/>
    <s v="Steve"/>
    <x v="7"/>
    <x v="398"/>
    <s v="https://delijn.sharepoint.com/:b:/r/teams/CTM-OTGentStad/Shared%20Documents/General/EAF/CSI(nieuwe%20sharepoint)%202025/7.%20Juli/EAF%202198%20Gent%2007062025%2031776%20Steve%20Famelaer.pdf?csf=1&amp;web=1&amp;e=pYcdqJ"/>
    <x v="8"/>
    <n v="2198"/>
    <s v="ja"/>
    <s v="Bus"/>
    <s v="Gelede"/>
    <n v="1"/>
  </r>
  <r>
    <n v="37439"/>
    <x v="93"/>
    <s v="Demirkazik"/>
    <s v="Mustafa"/>
    <x v="1"/>
    <x v="398"/>
    <s v="https://delijn.sharepoint.com/:b:/r/teams/CTM-OTGentStad/Shared%20Documents/General/EAF/CSI(nieuwe%20sharepoint)%202025/7.%20Juli/EAF%205486%2009072025%20Gent%2037439%20Mustafa%20Demirkazik.pdf?csf=1&amp;web=1&amp;e=5VXRjB"/>
    <x v="47"/>
    <n v="5486"/>
    <s v="ja"/>
    <s v="Bus"/>
    <s v="Standaard"/>
    <n v="4"/>
  </r>
  <r>
    <n v="41859"/>
    <x v="0"/>
    <e v="#N/A"/>
    <e v="#N/A"/>
    <x v="0"/>
    <x v="398"/>
    <s v="https://delijn.sharepoint.com/:b:/r/teams/CTM-OTGentStad/Shared%20Documents/General/EAF/CSI(nieuwe%20sharepoint)%202025/7.%20Juli/EAF%205921%2007072025%20Gent%2041859%20Palit%20Ramazan.pdf?csf=1&amp;web=1&amp;e=d6bv5u"/>
    <x v="32"/>
    <n v="5921"/>
    <s v="ja"/>
    <s v="Bus"/>
    <s v="Standaard"/>
    <n v="1"/>
  </r>
  <r>
    <n v="18987"/>
    <x v="0"/>
    <e v="#N/A"/>
    <e v="#N/A"/>
    <x v="0"/>
    <x v="399"/>
    <s v="https://delijn.sharepoint.com/:b:/r/teams/CTM-OTGentStad/Shared%20Documents/General/EAF/CSI(nieuwe%20sharepoint)%202025/7.%20Juli/EAF%206313%2008072025%20Gent%2018987%20De%20Geyter%20Dolly.pdf?csf=1&amp;web=1&amp;e=jvHB5m"/>
    <x v="39"/>
    <n v="6313"/>
    <s v="ja"/>
    <s v="Tram"/>
    <s v="Hermelijn"/>
    <n v="3"/>
  </r>
  <r>
    <n v="4720"/>
    <x v="336"/>
    <s v="De Roo"/>
    <s v="Jo"/>
    <x v="3"/>
    <x v="400"/>
    <s v="https://delijn.sharepoint.com/:b:/r/teams/CTM-OTGentStad/Shared%20Documents/General/EAF/CSI(nieuwe%20sharepoint)%202025/7.%20Juli/EAF%205772%2009072025%20Gent%204720%20De%20Roo%20Jo.pdf?csf=1&amp;web=1&amp;e=zjOxtW"/>
    <x v="216"/>
    <n v="5772"/>
    <s v="ja"/>
    <s v="Bus"/>
    <s v="Standaard"/>
    <n v="1"/>
  </r>
  <r>
    <n v="22877"/>
    <x v="337"/>
    <s v="Goossens"/>
    <s v="Gunther"/>
    <x v="2"/>
    <x v="400"/>
    <s v="https://delijn.sharepoint.com/:b:/r/teams/CTM-OTGentStad/Shared%20Documents/General/EAF/CSI(nieuwe%20sharepoint)%202025/7.%20Juli/EAF%202189%2009072025%20Gent%2022877Gunther%20Goossens.pdf?csf=1&amp;web=1&amp;e=dfhXP2"/>
    <x v="19"/>
    <n v="2189"/>
    <s v="ja"/>
    <s v="Bus"/>
    <s v="Gelede"/>
    <n v="1"/>
  </r>
  <r>
    <n v="12684"/>
    <x v="230"/>
    <s v="Van Den Bossche"/>
    <s v="Martine"/>
    <x v="3"/>
    <x v="401"/>
    <s v="https://delijn.sharepoint.com/:b:/r/teams/CTM-OTGentStad/Shared%20Documents/General/EAF/CSI(nieuwe%20sharepoint)%202025/7.%20Juli/EAF%205046%2010072025%20Gent%2012684%20Martine%20Vandenbossche.pdf?csf=1&amp;web=1&amp;e=lw5xjo"/>
    <x v="23"/>
    <n v="5046"/>
    <s v="ja"/>
    <s v="Bus"/>
    <s v="Gelede"/>
    <n v="3"/>
  </r>
  <r>
    <n v="31668"/>
    <x v="19"/>
    <s v="Weemhof"/>
    <s v="Maurice"/>
    <x v="7"/>
    <x v="401"/>
    <s v="https://delijn.sharepoint.com/:b:/r/teams/CTM-OTGentStad/Shared%20Documents/General/EAF/CSI(nieuwe%20sharepoint)%202025/7.%20Juli/EAF%202196%2010072025%20Gent.pdf?csf=1&amp;web=1&amp;e=TUzY3P"/>
    <x v="32"/>
    <n v="2196"/>
    <s v="ja"/>
    <s v="Bus"/>
    <s v="Gelede"/>
    <n v="5"/>
  </r>
  <r>
    <n v="40362"/>
    <x v="330"/>
    <s v="Kuru"/>
    <s v="Cetin"/>
    <x v="1"/>
    <x v="401"/>
    <s v="https://delijn.sharepoint.com/:b:/r/teams/CTM-OTGentStad/Shared%20Documents/General/EAF/CSI(nieuwe%20sharepoint)%202025/7.%20Juli/EAF%205915%2010072025%20Gent%2040362%20Kuru%20Centin.pdf?csf=1&amp;web=1&amp;e=8JdEb2"/>
    <x v="55"/>
    <n v="5915"/>
    <s v="ja"/>
    <s v="Bus"/>
    <s v="Standaard"/>
    <n v="3"/>
  </r>
  <r>
    <n v="32002"/>
    <x v="304"/>
    <s v="Hasni"/>
    <s v="Helmi"/>
    <x v="8"/>
    <x v="401"/>
    <s v="https://delijn.sharepoint.com/:b:/r/teams/CTM-OTGentStad/Shared%20Documents/General/EAF/CSI(nieuwe%20sharepoint)%202025/7.%20Juli/EAF%206355%2010072025%20Gent%2032002%20Helmi%20Hasni.pdf?csf=1&amp;web=1&amp;e=vaLlvQ"/>
    <x v="217"/>
    <n v="6355"/>
    <s v="ja"/>
    <s v="Tram"/>
    <s v="Flexity"/>
    <n v="2"/>
  </r>
  <r>
    <n v="41091"/>
    <x v="268"/>
    <s v="Yavas"/>
    <s v="Talha"/>
    <x v="7"/>
    <x v="402"/>
    <s v=" https://delijn.sharepoint.com/:b:/r/teams/CTM-OTGentStad/Shared%20Documents/General/EAF/CSI(nieuwe%20sharepoint)%202025/7.%20Juli/EAF%20532411072025%20Gent%2041091.pdf?csf=1&amp;web=1&amp;e=bklbFI"/>
    <x v="202"/>
    <n v="5324"/>
    <s v="ja"/>
    <s v="Bus"/>
    <s v="Gelede"/>
    <n v="2"/>
  </r>
  <r>
    <n v="40856"/>
    <x v="260"/>
    <s v="Neissi"/>
    <s v="Sadegh"/>
    <x v="1"/>
    <x v="403"/>
    <s v="https://delijn.sharepoint.com/:b:/r/teams/CTM-OTGentStad/Shared%20Documents/General/EAF/CSI(nieuwe%20sharepoint)%202025/7.%20Juli/EAF%205043%2012072025%20Gent%2040856%20Neissi%20Sadegh.pdf?csf=1&amp;web=1&amp;e=wEjUSf"/>
    <x v="8"/>
    <n v="5043"/>
    <s v="ja"/>
    <s v="Bus"/>
    <s v="Gelede"/>
    <n v="5"/>
  </r>
  <r>
    <n v="36428"/>
    <x v="173"/>
    <s v="Abdi Shaiye"/>
    <s v="Rashid"/>
    <x v="6"/>
    <x v="404"/>
    <s v="https://delijn.sharepoint.com/:b:/r/teams/CTM-OTGentStad/Shared%20Documents/General/EAF/CSI(nieuwe%20sharepoint)%202025/7.%20Juli/EAF%205763%2013072025%20Gent%2036428%20Rashid%20Abdi%20Shaiye.pdf?csf=1&amp;web=1&amp;e=Ly7On9"/>
    <x v="218"/>
    <n v="5763"/>
    <s v="ja"/>
    <s v="Bus"/>
    <s v="Standaard"/>
    <n v="6"/>
  </r>
  <r>
    <n v="37936"/>
    <x v="143"/>
    <s v="Detaeye"/>
    <s v="Alexander"/>
    <x v="8"/>
    <x v="404"/>
    <s v="https://delijn.sharepoint.com/:b:/r/teams/CTM-OTGentStad/Shared%20Documents/General/EAF/CSI(nieuwe%20sharepoint)%202025/7.%20Juli/EAF%205911%20Gent%2013072025%2037936%20Detaeye%20Alexander.pdf?csf=1&amp;web=1&amp;e=1kDqga"/>
    <x v="219"/>
    <n v="5911"/>
    <s v="ja"/>
    <s v="Bus"/>
    <s v="Standaard"/>
    <n v="2"/>
  </r>
  <r>
    <n v="36577"/>
    <x v="338"/>
    <s v="De Smet"/>
    <s v="Martine"/>
    <x v="2"/>
    <x v="405"/>
    <s v="https://delijn.sharepoint.com/:b:/r/teams/CTM-OTGentStad/Shared%20Documents/General/EAF/CSI(nieuwe%20sharepoint)%202025/7.%20Juli/EAF%206353%2014072025%20Gent%2036577%20Martine%20Desmet.pdf?csf=1&amp;web=1&amp;e=yvmkmw"/>
    <x v="71"/>
    <n v="6353"/>
    <s v="ja"/>
    <s v="Tram"/>
    <s v="Flexity"/>
    <n v="1"/>
  </r>
  <r>
    <n v="39529"/>
    <x v="159"/>
    <s v="Desmet"/>
    <s v="Patricia"/>
    <x v="5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x v="148"/>
    <n v="6375"/>
    <s v="Neen"/>
    <s v="Tram"/>
    <s v="Flexity"/>
    <n v="4"/>
  </r>
  <r>
    <n v="12684"/>
    <x v="230"/>
    <s v="Van Den Bossche"/>
    <s v="Martine"/>
    <x v="3"/>
    <x v="406"/>
    <s v="https://delijn.sharepoint.com/:b:/r/teams/CTM-OTGentStad/Shared%20Documents/General/EAF/CSI(nieuwe%20sharepoint)%202025/7.%20Juli/EAF%205044%20Hagelandkaai%20Gent%2015072025.pdf?csf=1&amp;web=1&amp;e=UeBZGh"/>
    <x v="89"/>
    <n v="5044"/>
    <s v="ja"/>
    <s v="Bus"/>
    <s v="Gelede"/>
    <n v="3"/>
  </r>
  <r>
    <n v="19917"/>
    <x v="11"/>
    <s v="Vandevyvere"/>
    <s v="Frank"/>
    <x v="4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x v="9"/>
    <n v="5231"/>
    <s v="ja"/>
    <s v="Bus"/>
    <s v="Gelede"/>
    <n v="10"/>
  </r>
  <r>
    <n v="30271"/>
    <x v="339"/>
    <s v="Bracke"/>
    <s v="Jeroen"/>
    <x v="2"/>
    <x v="407"/>
    <s v="https://delijn.sharepoint.com/:b:/r/teams/CTM-OTGentStad/Shared%20Documents/General/EAF/CSI(nieuwe%20sharepoint)%202025/7.%20Juli/EAF%202807%2016072025%20Gent%2030271%20Jeroen%20Bracke.pdf?csf=1&amp;web=1&amp;e=O6TV35"/>
    <x v="2"/>
    <n v="2207"/>
    <s v="ja"/>
    <s v="Bus"/>
    <s v="Gelede"/>
    <n v="1"/>
  </r>
  <r>
    <n v="26331"/>
    <x v="80"/>
    <s v="Van Semmertier"/>
    <s v="Pascal"/>
    <x v="4"/>
    <x v="408"/>
    <s v="https://delijn.sharepoint.com/:b:/r/teams/CTM-OTGentStad/Shared%20Documents/General/EAF/CSI(nieuwe%20sharepoint)%202025/7.%20Juli/EAF%205266%20Brugsepoort%20Gent%2019072025.pdf?csf=1&amp;web=1&amp;e=CPSUQU"/>
    <x v="220"/>
    <n v="5266"/>
    <s v="ja"/>
    <s v="Bus"/>
    <s v="Gelede"/>
    <n v="3"/>
  </r>
  <r>
    <n v="41137"/>
    <x v="340"/>
    <s v="De smet"/>
    <s v="Dirk"/>
    <x v="7"/>
    <x v="409"/>
    <s v="https://delijn.sharepoint.com/:b:/r/teams/CTM-OTGentStad/Shared%20Documents/General/EAF/CSI(nieuwe%20sharepoint)%202025/7.%20Juli/EAF%205767%20Gent%2021072025.pdf?csf=1&amp;web=1&amp;e=L7JGQk"/>
    <x v="176"/>
    <n v="5767"/>
    <s v="ja"/>
    <s v="Bus"/>
    <s v="Standaard"/>
    <n v="1"/>
  </r>
  <r>
    <n v="35397"/>
    <x v="275"/>
    <s v="Minbari"/>
    <s v="Ako"/>
    <x v="6"/>
    <x v="410"/>
    <s v="https://delijn.sharepoint.com/:b:/r/teams/CTM-OTGentStad/Shared%20Documents/General/EAF/CSI(nieuwe%20sharepoint)%202025/7.%20Juli/EAF%206323%20Gent%20Opge%C3%ABistenlaan%2023072025%20Minbari%20Ako.pdf?csf=1&amp;web=1&amp;e=2hk38C"/>
    <x v="4"/>
    <n v="6323"/>
    <s v="ja"/>
    <s v="Tram"/>
    <s v="Hermelijn"/>
    <n v="3"/>
  </r>
  <r>
    <n v="39581"/>
    <x v="2"/>
    <s v="Vandenhaute"/>
    <s v="Linus"/>
    <x v="2"/>
    <x v="410"/>
    <s v="https://delijn.sharepoint.com/:b:/r/teams/CTM-OTGentStad/Shared%20Documents/General/EAF/CSI(nieuwe%20sharepoint)%202025/7.%20Juli/EAF%205260%2023072025%2039581%20Linus%20Vandenhoutte.pdf?csf=1&amp;web=1&amp;e=4u80bg"/>
    <x v="35"/>
    <n v="5260"/>
    <s v="ja"/>
    <s v="Bus"/>
    <s v="Gelede"/>
    <n v="5"/>
  </r>
  <r>
    <n v="41162"/>
    <x v="254"/>
    <s v="Hoeckman"/>
    <s v="Jeroen"/>
    <x v="7"/>
    <x v="410"/>
    <s v="https://delijn.sharepoint.com/:b:/r/teams/CTM-OTGentStad/Shared%20Documents/General/EAF/CSI(nieuwe%20sharepoint)%202025/7.%20Juli/EAF%205046%2023072025%20Gent%2041162%20Jeroen%20Hoeckman.pdf?csf=1&amp;web=1&amp;e=5joert"/>
    <x v="141"/>
    <n v="5046"/>
    <s v="ja"/>
    <s v="Bus"/>
    <s v="Gelede"/>
    <n v="5"/>
  </r>
  <r>
    <n v="11213"/>
    <x v="341"/>
    <s v="De Plus"/>
    <s v="Gunter"/>
    <x v="4"/>
    <x v="411"/>
    <s v="https://delijn.sharepoint.com/:b:/r/teams/CTM-OTGentStad/Shared%20Documents/General/EAF/CSI(nieuwe%20sharepoint)%202025/7.%20Juli/EAF%206331%20Gent%2024072025%2011213%20De%20Plus%20Gunther.pdf?csf=1&amp;web=1&amp;e=MhEOdn"/>
    <x v="221"/>
    <n v="6331"/>
    <s v="ja"/>
    <s v="Tram"/>
    <s v="Hermelijn"/>
    <n v="1"/>
  </r>
  <r>
    <n v="23918"/>
    <x v="205"/>
    <s v="D'Haeyere"/>
    <s v="Bernard"/>
    <x v="3"/>
    <x v="411"/>
    <s v="https://delijn.sharepoint.com/:b:/r/teams/CTM-OTGentStad/Shared%20Documents/General/EAF/CSI(nieuwe%20sharepoint)%202025/7.%20Juli/EAF%205933%20Gent%2024072025%2023918%20Bernard%20Dhaeyere.pdf?csf=1&amp;web=1&amp;e=tutFuS"/>
    <x v="32"/>
    <n v="5933"/>
    <s v="ja"/>
    <s v="Bus"/>
    <s v="Standaard"/>
    <n v="3"/>
  </r>
  <r>
    <n v="42002"/>
    <x v="342"/>
    <s v="Bogaert"/>
    <s v="Kevin"/>
    <x v="3"/>
    <x v="411"/>
    <s v="https://delijn.sharepoint.com/:b:/r/teams/CTM-OTGentStad/Shared%20Documents/General/EAF/CSI(nieuwe%20sharepoint)%202025/7.%20Juli/EAF%205924%20Gent%2024072025%2042007%20Kevin%20bogaert.pdf?csf=1&amp;web=1&amp;e=M0Mio5"/>
    <x v="32"/>
    <n v="5924"/>
    <s v="Neen"/>
    <s v="Bus"/>
    <s v="Standaard"/>
    <n v="3"/>
  </r>
  <r>
    <n v="18051"/>
    <x v="343"/>
    <s v="Van Wittenberge"/>
    <s v="Filip"/>
    <x v="5"/>
    <x v="412"/>
    <s v="https://delijn.sharepoint.com/:b:/r/teams/CTM-OTGentStad/Shared%20Documents/General/EAF/CSI(nieuwe%20sharepoint)%202025/7.%20Juli/EAF%206359%20Gent%2025072025%2018051%20Filip%20Van%20wittenberge.pdf?csf=1&amp;web=1&amp;e=aPbN9H"/>
    <x v="93"/>
    <n v="6359"/>
    <s v="Neen"/>
    <s v="Tram"/>
    <s v="Flexity"/>
    <n v="3"/>
  </r>
  <r>
    <n v="12819"/>
    <x v="344"/>
    <s v="Van Eenaeme"/>
    <s v="David"/>
    <x v="4"/>
    <x v="412"/>
    <s v="https://delijn.sharepoint.com/:b:/r/teams/CTM-OTGentStad/Shared%20Documents/General/EAF/CSI(nieuwe%20sharepoint)%202025/7.%20Juli/EAF%205041%20Gent%2025072025%2012819%20David%20Van%20Eename.pdf?csf=1&amp;web=1&amp;e=J8HFtY"/>
    <x v="15"/>
    <n v="5041"/>
    <s v="ja"/>
    <s v="Bus"/>
    <s v="Gelede"/>
    <n v="1"/>
  </r>
  <r>
    <n v="41384"/>
    <x v="320"/>
    <s v="Hillaert"/>
    <s v="Thimo"/>
    <x v="5"/>
    <x v="413"/>
    <s v="https://delijn.sharepoint.com/:b:/r/teams/CTM-OTGentStad/Shared%20Documents/General/EAF/CSI(nieuwe%20sharepoint)%202025/7.%20Juli/EAF%205767%20GEnt%2026072025%2041384%20Thimo%20Hillaert.pdf?csf=1&amp;web=1&amp;e=LokqEX"/>
    <x v="181"/>
    <n v="5767"/>
    <s v="Neen"/>
    <s v="Bus"/>
    <s v="Standaard"/>
    <n v="4"/>
  </r>
  <r>
    <n v="37258"/>
    <x v="0"/>
    <e v="#N/A"/>
    <e v="#N/A"/>
    <x v="0"/>
    <x v="414"/>
    <s v=" https://delijn.sharepoint.com/:b:/r/teams/CTM-OTGentStad/Shared%20Documents/General/EAF/CSI(nieuwe%20sharepoint)%202025/8.%20Augustus/EAF%202195%20Gent%20Sint-Pietersstation%2028072025%20-%2037258.pdf?csf=1&amp;web=1&amp;e=hvNFFF"/>
    <x v="8"/>
    <n v="2195"/>
    <s v="ja"/>
    <s v="Bus"/>
    <s v="Gelede"/>
    <n v="1"/>
  </r>
  <r>
    <n v="39673"/>
    <x v="17"/>
    <s v="Steurbaut"/>
    <s v="Henri"/>
    <x v="3"/>
    <x v="414"/>
    <s v="https://delijn.sharepoint.com/:b:/r/teams/CTM-OTGentStad/Shared%20Documents/General/EAF/CSI(nieuwe%20sharepoint)%202025/7.%20Juli/EAF%202192%2028072025%20Gent.pdf?csf=1&amp;web=1&amp;e=MYEecx"/>
    <x v="222"/>
    <n v="2192"/>
    <s v="ja"/>
    <s v="Bus"/>
    <s v="Gelede"/>
    <n v="5"/>
  </r>
  <r>
    <n v="20653"/>
    <x v="63"/>
    <s v="Mestdag"/>
    <s v="Marius"/>
    <x v="4"/>
    <x v="415"/>
    <s v="https://delijn.sharepoint.com/:b:/r/teams/CTM-OTGentStad/Shared%20Documents/General/EAF/CSI(nieuwe%20sharepoint)%202025/7.%20Juli/EAF%206325%20Gent%2029072025%2020653%20Mestdag.pdf?csf=1&amp;web=1&amp;e=4seyHD"/>
    <x v="116"/>
    <n v="6325"/>
    <s v="Neen"/>
    <s v="Tram"/>
    <s v="Hermelijn"/>
    <n v="3"/>
  </r>
  <r>
    <n v="41007"/>
    <x v="0"/>
    <e v="#N/A"/>
    <e v="#N/A"/>
    <x v="0"/>
    <x v="415"/>
    <s v="https://delijn.sharepoint.com/:b:/r/teams/CTM-OTGentStad/Shared%20Documents/General/EAF/CSI(nieuwe%20sharepoint)%202025/7.%20Juli/EAF%205923%2029072025%20stelplaats%20GBR.pdf?csf=1&amp;web=1&amp;e=kIxIf8"/>
    <x v="32"/>
    <n v="5923"/>
    <s v="ja"/>
    <s v="Bus"/>
    <s v="Standaard"/>
    <n v="1"/>
  </r>
  <r>
    <n v="41296"/>
    <x v="241"/>
    <s v="Abulehia"/>
    <s v="Oday"/>
    <x v="5"/>
    <x v="415"/>
    <s v="https://delijn.sharepoint.com/:b:/r/teams/CTM-OTGentStad/Shared%20Documents/General/EAF/CSI(nieuwe%20sharepoint)%202025/7.%20Juli/EAF%205271%20Gent%2031072025.pdf?csf=1&amp;web=1&amp;e=BoHWZf"/>
    <x v="223"/>
    <n v="5271"/>
    <s v="Neen"/>
    <s v="Bus"/>
    <s v="Gelede"/>
    <n v="2"/>
  </r>
  <r>
    <n v="10782"/>
    <x v="345"/>
    <s v="De Kee"/>
    <s v="Ina"/>
    <x v="1"/>
    <x v="416"/>
    <s v="https://delijn.sharepoint.com/:b:/r/teams/CTM-OTGentStad/Shared%20Documents/General/EAF/CSI(nieuwe%20sharepoint)%202025/7.%20Juli/EAF%206337%20Gent%2030072025%2010782%20Ina%20De%20Kee.pdf?csf=1&amp;web=1&amp;e=6ptLXK"/>
    <x v="224"/>
    <n v="6337"/>
    <s v="Neen"/>
    <s v="Tram"/>
    <s v="Hermelijn"/>
    <n v="1"/>
  </r>
  <r>
    <n v="34890"/>
    <x v="0"/>
    <e v="#N/A"/>
    <e v="#N/A"/>
    <x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x v="23"/>
    <n v="5042"/>
    <s v="ja"/>
    <s v="Bus"/>
    <s v="Gelede"/>
    <n v="1"/>
  </r>
  <r>
    <n v="40138"/>
    <x v="227"/>
    <s v="Moerman"/>
    <s v="Tjimmy"/>
    <x v="5"/>
    <x v="418"/>
    <s v="https://delijn.sharepoint.com/:b:/r/teams/CTM-OTGentStad/Shared%20Documents/General/EAF/CSI(nieuwe%20sharepoint)%202025/8.%20Augustus/EAF%205915%20Rooigemlaan%20Gent%2002082025%2040138%20Tjimmy%20Moerman.pdf?csf=1&amp;web=1&amp;e=79fOBd"/>
    <x v="42"/>
    <n v="5915"/>
    <s v="ja"/>
    <s v="Bus"/>
    <s v="Standaard"/>
    <n v="10"/>
  </r>
  <r>
    <n v="40859"/>
    <x v="210"/>
    <s v="Yagoub"/>
    <s v="Abdelali"/>
    <x v="3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x v="225"/>
    <n v="2190"/>
    <s v="ja"/>
    <s v="Bus"/>
    <s v="Gelede"/>
    <n v="4"/>
  </r>
  <r>
    <n v="36021"/>
    <x v="346"/>
    <s v="Boelaert"/>
    <s v="Frederik"/>
    <x v="6"/>
    <x v="420"/>
    <s v="https://delijn.sharepoint.com/:b:/r/teams/CTM-OTGentStad/Shared%20Documents/General/EAF/CSI(nieuwe%20sharepoint)%202025/8.%20Augustus/EAF%2005082025%20Gent%2036021%20Frederik%20Boelaert.pdf?csf=1&amp;web=1&amp;e=BPGPuk"/>
    <x v="193"/>
    <n v="5042"/>
    <s v="Neen"/>
    <s v="Bus"/>
    <s v="Gelede"/>
    <n v="3"/>
  </r>
  <r>
    <n v="41162"/>
    <x v="254"/>
    <s v="Hoeckman"/>
    <s v="Jeroen"/>
    <x v="7"/>
    <x v="420"/>
    <s v="https://delijn.sharepoint.com/:b:/r/teams/CTM-OTGentStad/Shared%20Documents/General/EAF/CSI(nieuwe%20sharepoint)%202025/8.%20Augustus/EAF%202200%20Gent%20Sint%20Pieters%2006-08-2025%20Hoeckman%20Jeroen.pdf?csf=1&amp;web=1&amp;e=Go5Pgz"/>
    <x v="8"/>
    <n v="2200"/>
    <s v="ja"/>
    <s v="Bus"/>
    <s v="Gelede"/>
    <n v="5"/>
  </r>
  <r>
    <n v="37345"/>
    <x v="132"/>
    <s v="Walleyn"/>
    <s v="Renaat"/>
    <x v="6"/>
    <x v="420"/>
    <s v="https://delijn.sharepoint.com/:b:/r/teams/CTM-OTGentStad/Shared%20Documents/General/EAF/CSI(nieuwe%20sharepoint)%202025/8.%20Augustus/EAF%206372%20Gent%2005-08-2025%20Walleyn%20Renaat.pdf?csf=1&amp;web=1&amp;e=7JItzV"/>
    <x v="2"/>
    <n v="6372"/>
    <s v="ja"/>
    <s v="Tram"/>
    <s v="Flexity"/>
    <n v="3"/>
  </r>
  <r>
    <n v="37254"/>
    <x v="232"/>
    <s v="Coulon"/>
    <s v="Rayan"/>
    <x v="1"/>
    <x v="421"/>
    <s v="https://delijn.sharepoint.com/:b:/r/teams/CTM-OTGentStad/Shared%20Documents/General/EAF/CSI(nieuwe%20sharepoint)%202025/8.%20Augustus/EAF%205043%2007082025%20Gent%2037254%20Coulon%20Rayan.pdf?csf=1&amp;web=1&amp;e=4jFWhM"/>
    <x v="26"/>
    <n v="5053"/>
    <s v="ja"/>
    <s v="Bus"/>
    <s v="Gelede"/>
    <n v="2"/>
  </r>
  <r>
    <n v="41874"/>
    <x v="347"/>
    <s v="Dobbeleire"/>
    <s v="Bruno"/>
    <x v="7"/>
    <x v="421"/>
    <s v="https://delijn.sharepoint.com/:b:/r/teams/CTM-OTGentStad/Shared%20Documents/General/EAF/CSI(nieuwe%20sharepoint)%202025/8.%20Augustus/EAF%205923%20Gent%20%2007082025%2041874%20Bruno%20Dobbeleire.pdf?csf=1&amp;web=1&amp;e=vWcu13"/>
    <x v="14"/>
    <n v="5923"/>
    <s v="ja"/>
    <s v="Bus"/>
    <s v="Standaard"/>
    <n v="3"/>
  </r>
  <r>
    <n v="41092"/>
    <x v="229"/>
    <s v="De Keyser"/>
    <s v="Dorien"/>
    <x v="7"/>
    <x v="422"/>
    <s v="https://delijn.sharepoint.com/:b:/r/teams/CTM-OTGentStad/Shared%20Documents/General/EAF/CSI(nieuwe%20sharepoint)%202025/8.%20Augustus/EAF%202194%2009082025%20Gent%2041092%20Dorien%20De%20Keyser.pdf?csf=1&amp;web=1&amp;e=ZuBDXU"/>
    <x v="226"/>
    <n v="2194"/>
    <s v="ja"/>
    <s v="Bus"/>
    <s v="Gelede"/>
    <n v="9"/>
  </r>
  <r>
    <n v="38740"/>
    <x v="306"/>
    <s v="Meskens"/>
    <s v="Anthony"/>
    <x v="5"/>
    <x v="423"/>
    <s v="https://delijn.sharepoint.com/:b:/r/teams/CTM-OTGentStad/Shared%20Documents/General/EAF/CSI(nieuwe%20sharepoint)%202025/8.%20Augustus/EAF%206321%20GEnt%2010082025%2038740%20Anthony%20Meskens.pdf?csf=1&amp;web=1&amp;e=xdQry7"/>
    <x v="56"/>
    <n v="6321"/>
    <s v="ja"/>
    <s v="Tram"/>
    <s v="Hermelijn"/>
    <n v="3"/>
  </r>
  <r>
    <n v="22202"/>
    <x v="348"/>
    <s v="Pluym"/>
    <s v="Pascal"/>
    <x v="8"/>
    <x v="424"/>
    <s v=" https://delijn.sharepoint.com/:b:/r/teams/CTM-OTGentStad/Shared%20Documents/General/EAF/CSI(nieuwe%20sharepoint)%202025/8.%20Augustus/EAF%2014082025%205266%20Gent.pdf?csf=1&amp;web=1&amp;e=lRG0mc"/>
    <x v="8"/>
    <n v="5266"/>
    <s v="ja"/>
    <s v="Bus"/>
    <s v="Gelede"/>
    <n v="1"/>
  </r>
  <r>
    <n v="41348"/>
    <x v="349"/>
    <s v="Van Huffel"/>
    <s v="Tim"/>
    <x v="5"/>
    <x v="424"/>
    <s v="https://delijn.sharepoint.com/:b:/r/teams/CTM-OTGentStad/Shared%20Documents/General/EAF/CSI(nieuwe%20sharepoint)%202025/8.%20Augustus/EAF%205927%2014082025%20Gent%2041348%20Tim%20Van%20Huffel.pdf?csf=1&amp;web=1&amp;e=Alupbn"/>
    <x v="2"/>
    <n v="5927"/>
    <s v="Neen"/>
    <s v="Bus"/>
    <s v="Standaard"/>
    <n v="1"/>
  </r>
  <r>
    <n v="41871"/>
    <x v="350"/>
    <s v="Karanfil"/>
    <s v="Ibrahim"/>
    <x v="7"/>
    <x v="425"/>
    <s v="https://delijn.sharepoint.com/:b:/r/teams/CTM-OTGentStad/Shared%20Documents/General/EAF/CSI(nieuwe%20sharepoint)%202025/8.%20Augustus/EAF%205912%2015082025%2041871%20Karanfil%20Ibrahim.pdf?csf=1&amp;web=1&amp;e=6QiGxw"/>
    <x v="86"/>
    <n v="5912"/>
    <s v="ja"/>
    <s v="Bus"/>
    <s v="Standaard"/>
    <n v="2"/>
  </r>
  <r>
    <n v="25487"/>
    <x v="128"/>
    <s v="Devos"/>
    <s v="Stefaan"/>
    <x v="8"/>
    <x v="426"/>
    <s v=" https://delijn.sharepoint.com/:b:/r/teams/CTM-OTGentStad/Shared%20Documents/General/EAF/CSI(nieuwe%20sharepoint)%202025/8.%20Augustus/EAF%2018082025%206315%20Gent.pdf?csf=1&amp;web=1&amp;e=TBR6j6"/>
    <x v="152"/>
    <n v="6315"/>
    <s v="ja"/>
    <s v="Tram"/>
    <s v="Hermelijn"/>
    <n v="4"/>
  </r>
  <r>
    <n v="18051"/>
    <x v="343"/>
    <s v="Van Wittenberge"/>
    <s v="Filip"/>
    <x v="5"/>
    <x v="427"/>
    <s v=" https://delijn.sharepoint.com/:b:/r/teams/CTM-OTGentStad/Shared%20Documents/General/EAF/CSI(nieuwe%20sharepoint)%202025/8.%20Augustus/EAF%205233%2021082025%20Gent%2018051%20Filip%20van%20wittenberge.pdf?csf=1&amp;web=1&amp;e=KbKSGg"/>
    <x v="185"/>
    <n v="5233"/>
    <s v="ja"/>
    <s v="Bus"/>
    <s v="Gelede"/>
    <n v="3"/>
  </r>
  <r>
    <n v="40403"/>
    <x v="171"/>
    <s v="Prové"/>
    <s v="Michaël"/>
    <x v="7"/>
    <x v="427"/>
    <s v=" https://delijn.sharepoint.com/:b:/r/teams/CTM-OTGentStad/Shared%20Documents/General/EAF/CSI(nieuwe%20sharepoint)%202025/8.%20Augustus/EAF%205239%2021082025%20Gent%2040403%20Prove%20Michael.pdf?csf=1&amp;web=1&amp;e=fjpcUT"/>
    <x v="26"/>
    <n v="5239"/>
    <s v="Neen"/>
    <s v="Bus"/>
    <s v="Gelede"/>
    <n v="3"/>
  </r>
  <r>
    <n v="25829"/>
    <x v="351"/>
    <s v="Kayim"/>
    <s v="Akin"/>
    <x v="8"/>
    <x v="428"/>
    <s v=" https://delijn.sharepoint.com/:b:/r/teams/CTM-OTGentStad/Shared%20Documents/General/EAF/CSI(nieuwe%20sharepoint)%202025/8.%20Augustus/EAF%2022082025%206307%20Gent.pdf?csf=1&amp;web=1&amp;e=qKZXVA"/>
    <x v="150"/>
    <n v="6307"/>
    <s v="Neen"/>
    <s v="Tram"/>
    <s v="Hermelijn"/>
    <n v="1"/>
  </r>
  <r>
    <n v="39651"/>
    <x v="188"/>
    <s v="Kallenbach"/>
    <s v="Sunny"/>
    <x v="1"/>
    <x v="428"/>
    <s v=" https://delijn.sharepoint.com/:b:/r/teams/CTM-OTGentStad/Shared%20Documents/General/EAF/CSI(nieuwe%20sharepoint)%202025/8.%20Augustus/EAF%205052%2022082025%20Gent%2039651%20Sunny%20Kallenbach.pdf?csf=1&amp;web=1&amp;e=hGccC2"/>
    <x v="35"/>
    <n v="5052"/>
    <s v="ja"/>
    <s v="Bus"/>
    <s v="Gelede"/>
    <n v="4"/>
  </r>
  <r>
    <n v="39654"/>
    <x v="90"/>
    <s v="Camacho Encarnacion"/>
    <s v="Lisandro Javier"/>
    <x v="1"/>
    <x v="428"/>
    <s v=" https://delijn.sharepoint.com/:b:/r/teams/CTM-OTGentStad/Shared%20Documents/General/EAF/CSI(nieuwe%20sharepoint)%202025/8.%20Augustus/EAF%205238%20Nieuwe%20Wandeling%20Gent%2022082025%20-%2039654.pdf?csf=1&amp;web=1&amp;e=3anq1l"/>
    <x v="59"/>
    <n v="5238"/>
    <s v="ja"/>
    <s v="Bus"/>
    <s v="Gelede"/>
    <n v="2"/>
  </r>
  <r>
    <n v="41190"/>
    <x v="0"/>
    <e v="#N/A"/>
    <e v="#N/A"/>
    <x v="0"/>
    <x v="428"/>
    <s v="https://delijn.sharepoint.com/:b:/r/teams/CTM-OTGentStad/Shared%20Documents/General/EAF/CSI(nieuwe%20sharepoint)%202025/8.%20Augustus/EAF%205765%2041190%20Horst%20Demeyer.pdf?csf=1&amp;web=1&amp;e=pTb6Am"/>
    <x v="56"/>
    <n v="5765"/>
    <s v="ja"/>
    <s v="Bus"/>
    <s v="Standaard"/>
    <n v="1"/>
  </r>
  <r>
    <n v="41619"/>
    <x v="319"/>
    <s v="Bachiri"/>
    <s v="Ousama"/>
    <x v="4"/>
    <x v="429"/>
    <s v=" https://delijn.sharepoint.com/:b:/r/teams/CTM-OTGentStad/Shared%20Documents/General/EAF/CSI(nieuwe%20sharepoint)%202025/8.%20Augustus/EAF%205048%20Gent%2023082025%2041619%20Bachiri%20Ousama.pdf?csf=1&amp;web=1&amp;e=zWKH6v"/>
    <x v="193"/>
    <n v="5048"/>
    <s v="ja"/>
    <s v="Bus"/>
    <s v="Gelede"/>
    <n v="3"/>
  </r>
  <r>
    <n v="42145"/>
    <x v="352"/>
    <s v="Gys"/>
    <s v="Shayya"/>
    <x v="8"/>
    <x v="430"/>
    <s v=" https://delijn.sharepoint.com/:b:/r/teams/CTM-OTGentStad/Shared%20Documents/General/EAF/CSI(nieuwe%20sharepoint)%202025/8.%20Augustus/EAF%2025082025%208137%20Gent.pdf?csf=1&amp;web=1&amp;e=rhSGdw"/>
    <x v="227"/>
    <n v="8137"/>
    <s v="ja"/>
    <s v="Rijschool"/>
    <s v="Rijschool"/>
    <n v="2"/>
  </r>
  <r>
    <n v="34198"/>
    <x v="41"/>
    <s v="Pelfrene"/>
    <s v="Toby"/>
    <x v="3"/>
    <x v="431"/>
    <s v=" https://delijn.sharepoint.com/:b:/r/teams/CTM-OTGentStad/Shared%20Documents/General/EAF/CSI(nieuwe%20sharepoint)%202025/8.%20Augustus/EAF%206308%20Brusselsesteenweg%20Gent%2026082025%20-%2034198.pdf?csf=1&amp;web=1&amp;e=bxIYHZ"/>
    <x v="56"/>
    <n v="6308"/>
    <s v="ja"/>
    <s v="Tram"/>
    <s v="Hermelijn"/>
    <n v="2"/>
  </r>
  <r>
    <n v="16895"/>
    <x v="222"/>
    <s v="Van Lauwe"/>
    <s v="Freddy"/>
    <x v="4"/>
    <x v="432"/>
    <s v=" https://delijn.sharepoint.com/:b:/r/teams/CTM-OTGentStad/Shared%20Documents/General/EAF/CSI(nieuwe%20sharepoint)%202025/8.%20Augustus/EAF%206332%20GEnt%2028082025.pdf?csf=1&amp;web=1&amp;e=aAVqVH"/>
    <x v="228"/>
    <n v="6332"/>
    <s v="ja"/>
    <s v="Tram"/>
    <s v="Hermelijn"/>
    <n v="6"/>
  </r>
  <r>
    <n v="11236"/>
    <x v="59"/>
    <s v="Baert"/>
    <s v="Freddy"/>
    <x v="4"/>
    <x v="432"/>
    <s v=" https://delijn.sharepoint.com/:b:/r/teams/CTM-OTGentStad/Shared%20Documents/General/EAF/CSI(nieuwe%20sharepoint)%202025/8.%20Augustus/EAF%205046%2028082025%20Gent%2011236%20Freddy%20Baert.pdf?csf=1&amp;web=1&amp;e=PXPs08"/>
    <x v="229"/>
    <n v="5046"/>
    <s v="ja"/>
    <s v="Bus"/>
    <s v="Gelede"/>
    <n v="4"/>
  </r>
  <r>
    <n v="33488"/>
    <x v="215"/>
    <s v="Holub"/>
    <s v="Patrik"/>
    <x v="3"/>
    <x v="433"/>
    <s v=" https://delijn.sharepoint.com/:b:/r/teams/CTM-OTGentStad/Shared%20Documents/General/EAF/CSI(nieuwe%20sharepoint)%202025/8.%20Augustus/EAF%205327%20Palingshuizen%20Gent%2029082025%20-%2033488.pdf?csf=1&amp;web=1&amp;e=Ru45GI"/>
    <x v="230"/>
    <n v="5327"/>
    <s v="ja"/>
    <s v="Bus"/>
    <s v="Gelede"/>
    <n v="2"/>
  </r>
  <r>
    <n v="40856"/>
    <x v="260"/>
    <s v="Neissi"/>
    <s v="Sadegh"/>
    <x v="1"/>
    <x v="433"/>
    <s v=" https://delijn.sharepoint.com/:b:/r/teams/CTM-OTGentStad/Shared%20Documents/General/EAF/CSI(nieuwe%20sharepoint)%202025/8.%20Augustus/EAF%202193%2029082025%20Gent%2040856.pdf?csf=1&amp;web=1&amp;e=As2ZFk"/>
    <x v="56"/>
    <n v="2193"/>
    <s v="ja"/>
    <s v="Bus"/>
    <s v="Gelede"/>
    <n v="5"/>
  </r>
  <r>
    <n v="39673"/>
    <x v="17"/>
    <s v="Steurbaut"/>
    <s v="Henri"/>
    <x v="3"/>
    <x v="434"/>
    <s v=" https://delijn.sharepoint.com/:b:/r/teams/CTM-OTGentStad/Shared%20Documents/General/EAF/CSI(nieuwe%20sharepoint)%202025/8.%20Augustus/EAF%205044%20Snellaertplein%20Gent%2030082025%20-%2039673.pdf?csf=1&amp;web=1&amp;e=IIlcEP"/>
    <x v="68"/>
    <n v="5044"/>
    <s v="ja"/>
    <s v="Bus"/>
    <s v="Gelede"/>
    <n v="5"/>
  </r>
  <r>
    <n v="41874"/>
    <x v="347"/>
    <s v="Dobbeleire"/>
    <s v="Bruno"/>
    <x v="7"/>
    <x v="435"/>
    <s v=" https://delijn.sharepoint.com/:b:/r/teams/CTM-OTGentStad/Shared%20Documents/General/EAF/CSI(nieuwe%20sharepoint)%202025/9.%20September/EAF%205938%2001092025%20Gent%2041874%20Bruno%20Dobbeleire.pdf?csf=1&amp;web=1&amp;e=LBJ2FC"/>
    <x v="231"/>
    <n v="5938"/>
    <s v="ja"/>
    <s v="Bus"/>
    <s v="Standaard"/>
    <n v="3"/>
  </r>
  <r>
    <n v="27153"/>
    <x v="31"/>
    <s v="Oben"/>
    <s v="Thibaud"/>
    <x v="5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ja"/>
    <s v="Bus"/>
    <s v="Gelede"/>
    <n v="3"/>
  </r>
  <r>
    <n v="39528"/>
    <x v="136"/>
    <s v="Mihaylov"/>
    <s v="Plamen"/>
    <x v="5"/>
    <x v="436"/>
    <s v=" https://delijn.sharepoint.com/:b:/r/teams/CTM-OTGentStad/Shared%20Documents/General/EAF/CSI(nieuwe%20sharepoint)%202025/9.%20September/EAF%205233%2002092025%20Gent%2039528.pdf?csf=1&amp;web=1&amp;e=h3q8oW"/>
    <x v="3"/>
    <n v="5233"/>
    <s v="ja"/>
    <s v="Bus"/>
    <s v="Gelede"/>
    <n v="4"/>
  </r>
  <r>
    <n v="40938"/>
    <x v="310"/>
    <s v="Hasnaoui"/>
    <s v="Nejmeddine"/>
    <x v="7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Neen"/>
    <s v="Bus"/>
    <s v="Gelede"/>
    <n v="4"/>
  </r>
  <r>
    <n v="40134"/>
    <x v="228"/>
    <s v="Cardon"/>
    <s v="Sharon"/>
    <x v="7"/>
    <x v="436"/>
    <s v=" https://delijn.sharepoint.com/:b:/r/teams/CTM-OTGentStad/Shared%20Documents/General/EAF/CSI(nieuwe%20sharepoint)%202025/9.%20September/Scan_29076_1126_001.pdf?csf=1&amp;web=1&amp;e=TwnRmW"/>
    <x v="232"/>
    <n v="550311"/>
    <s v="ja"/>
    <s v="Bus"/>
    <s v="Gehuurd"/>
    <n v="4"/>
  </r>
  <r>
    <n v="24367"/>
    <x v="58"/>
    <s v="Tayefeh Arbab"/>
    <s v="Ali"/>
    <x v="4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x v="233"/>
    <n v="6319"/>
    <s v="ja"/>
    <s v="Tram"/>
    <s v="Hermelijn"/>
    <n v="3"/>
  </r>
  <r>
    <n v="20656"/>
    <x v="353"/>
    <s v="Vonck"/>
    <s v="Bart"/>
    <x v="3"/>
    <x v="437"/>
    <s v=" https://delijn.sharepoint.com/:b:/r/teams/CTM-OTGentStad/Shared%20Documents/General/EAF/CSI(nieuwe%20sharepoint)%202025/9.%20September/EAF%205324%20Malem%20Gent%2003092025%20-%2020656.pdf?csf=1&amp;web=1&amp;e=Qmuair"/>
    <x v="234"/>
    <n v="5324"/>
    <s v="ja"/>
    <s v="Bus"/>
    <s v="Gelede"/>
    <n v="1"/>
  </r>
  <r>
    <n v="33085"/>
    <x v="303"/>
    <s v="Van Hoe"/>
    <s v="Ivo"/>
    <x v="1"/>
    <x v="438"/>
    <s v=" https://delijn.sharepoint.com/:b:/r/teams/CTM-OTGentStad/Shared%20Documents/General/EAF/CSI(nieuwe%20sharepoint)%202025/9.%20September/EAF%206316%2004092025%20Gent.pdf?csf=1&amp;web=1&amp;e=0ICZBu"/>
    <x v="56"/>
    <n v="6316"/>
    <s v="ja"/>
    <s v="Tram"/>
    <s v="Hermelijn"/>
    <n v="2"/>
  </r>
  <r>
    <n v="42082"/>
    <x v="354"/>
    <s v="Ahmad"/>
    <s v="Othman"/>
    <x v="7"/>
    <x v="438"/>
    <s v=" https://delijn.sharepoint.com/:b:/r/teams/CTM-OTGentStad/Shared%20Documents/General/EAF/CSI(nieuwe%20sharepoint)%202025/9.%20September/Scan_35348_1111_001.pdf?csf=1&amp;web=1&amp;e=bfqRxG"/>
    <x v="2"/>
    <n v="2548"/>
    <s v="ja"/>
    <s v="Bus"/>
    <s v="E-bus"/>
    <n v="1"/>
  </r>
  <r>
    <n v="22244"/>
    <x v="155"/>
    <s v="Kirdas"/>
    <s v="Süleyman"/>
    <x v="5"/>
    <x v="439"/>
    <s v=" https://delijn.sharepoint.com/:b:/r/teams/CTM-OTGentStad/Shared%20Documents/General/EAF/CSI(nieuwe%20sharepoint)%202025/9.%20September/EAF%205931%2005092025%20Gent%2022244%20Kirdas%20Suleyman.pdf?csf=1&amp;web=1&amp;e=ZfCQ5O"/>
    <x v="235"/>
    <n v="5931"/>
    <s v="ja"/>
    <s v="Bus"/>
    <s v="Standaard"/>
    <n v="2"/>
  </r>
  <r>
    <n v="37132"/>
    <x v="302"/>
    <s v="Dacic"/>
    <s v="Esmir"/>
    <x v="7"/>
    <x v="440"/>
    <s v=" https://delijn.sharepoint.com/:b:/r/teams/CTM-OTGentStad/Shared%20Documents/General/EAF/CSI(nieuwe%20sharepoint)%202025/9.%20September/EAF%205259%2007092025.pdf?csf=1&amp;web=1&amp;e=2COBhc"/>
    <x v="0"/>
    <n v="5259"/>
    <s v="ja"/>
    <s v="Bus"/>
    <s v="Gelede"/>
    <n v="2"/>
  </r>
  <r>
    <n v="16895"/>
    <x v="222"/>
    <s v="Van Lauwe"/>
    <s v="Freddy"/>
    <x v="4"/>
    <x v="441"/>
    <s v=" https://delijn.sharepoint.com/:b:/r/teams/CTM-OTGentStad/Shared%20Documents/General/EAF/CSI(nieuwe%20sharepoint)%202025/9.%20September/EAF%206331%2009092025%20Gent.pdf?csf=1&amp;web=1&amp;e=2bZEih"/>
    <x v="162"/>
    <n v="6331"/>
    <s v="ja"/>
    <s v="Tram"/>
    <s v="Hermelijn"/>
    <n v="6"/>
  </r>
  <r>
    <n v="35491"/>
    <x v="256"/>
    <s v="Toubadie"/>
    <s v="Zakaria"/>
    <x v="3"/>
    <x v="441"/>
    <s v=" https://delijn.sharepoint.com/:b:/r/teams/CTM-OTGentStad/Shared%20Documents/General/EAF/CSI(nieuwe%20sharepoint)%202025/9.%20September/EAF%205042%2009092025%20Gent.pdf?csf=1&amp;web=1&amp;e=9zhdeG"/>
    <x v="11"/>
    <n v="5042"/>
    <s v="ja"/>
    <s v="Bus"/>
    <s v="Gelede"/>
    <n v="2"/>
  </r>
  <r>
    <n v="41786"/>
    <x v="355"/>
    <s v="Diels"/>
    <s v="Nick"/>
    <x v="5"/>
    <x v="441"/>
    <s v=" https://delijn.sharepoint.com/:b:/r/teams/CTM-OTGentStad/Shared%20Documents/General/EAF/CSI(nieuwe%20sharepoint)%202025/9.%20September/EAF%204678%2009092025%20Gent%2041786.pdf?csf=1&amp;web=1&amp;e=GEpSTD"/>
    <x v="236"/>
    <n v="4678"/>
    <s v="ja"/>
    <s v="Bus"/>
    <s v="Citybus"/>
    <n v="1"/>
  </r>
  <r>
    <n v="16895"/>
    <x v="222"/>
    <s v="Van Lauwe"/>
    <s v="Freddy"/>
    <x v="4"/>
    <x v="442"/>
    <s v="https://delijn.sharepoint.com/:b:/r/teams/CTM-OTGentStad/Shared%20Documents/General/EAF/CSI(nieuwe%20sharepoint)%202025/9.%20September/EAF%206369%20Gent%2010092025.pdf?csf=1&amp;web=1&amp;e=yr5kh9"/>
    <x v="237"/>
    <n v="6369"/>
    <s v="ja"/>
    <s v="Tram"/>
    <s v="Flexity"/>
    <n v="6"/>
  </r>
  <r>
    <n v="9062"/>
    <x v="356"/>
    <s v="Westelinck"/>
    <s v="Davy"/>
    <x v="1"/>
    <x v="443"/>
    <s v=" https://delijn.sharepoint.com/:b:/r/teams/CTM-OTGentStad/Shared%20Documents/General/EAF/CSI(nieuwe%20sharepoint)%202025/9.%20September/EAF%206312%20Gent%2011092025%209062%20Davy%20Westelinck.pdf?csf=1&amp;web=1&amp;e=0CEE8i"/>
    <x v="83"/>
    <n v="6312"/>
    <s v="ja"/>
    <s v="Tram"/>
    <s v="Hermelijn"/>
    <n v="1"/>
  </r>
  <r>
    <n v="31634"/>
    <x v="357"/>
    <s v="Kirsan"/>
    <s v="Ömer"/>
    <x v="3"/>
    <x v="444"/>
    <s v=" https://delijn.sharepoint.com/:b:/r/teams/CTM-OTGentStad/Shared%20Documents/General/EAF/CSI(nieuwe%20sharepoint)%202025/9.%20September/EAF%205265%2012092025%20Gent%2031634.pdf?csf=1&amp;web=1&amp;e=IK4Ous"/>
    <x v="24"/>
    <n v="5265"/>
    <s v="ja"/>
    <s v="Bus"/>
    <s v="Gelede"/>
    <n v="1"/>
  </r>
  <r>
    <n v="41101"/>
    <x v="358"/>
    <s v="Shah"/>
    <s v="Sekandar"/>
    <x v="7"/>
    <x v="444"/>
    <s v=" https://delijn.sharepoint.com/:b:/r/teams/CTM-OTGentStad/Shared%20Documents/General/EAF/CSI(nieuwe%20sharepoint)%202025/9.%20September/EAF%202193%20Gent%2012092025%2041101.pdf?csf=1&amp;web=1&amp;e=qG6SdX"/>
    <x v="109"/>
    <n v="2193"/>
    <s v="ja"/>
    <s v="Bus"/>
    <s v="Gelede"/>
    <n v="1"/>
  </r>
  <r>
    <n v="11021"/>
    <x v="359"/>
    <s v="Seeuws"/>
    <s v="Marnic"/>
    <x v="8"/>
    <x v="445"/>
    <s v=" https://delijn.sharepoint.com/:b:/r/teams/CTM-OTGentStad/Shared%20Documents/General/EAF/CSI(nieuwe%20sharepoint)%202025/9.%20September/EAF%206374%2014092025%20Gent%2011021%20Marnix%20Seeuws.pdf?csf=1&amp;web=1&amp;e=YVeXMJ"/>
    <x v="238"/>
    <n v="6374"/>
    <s v="Neen"/>
    <s v="Tram"/>
    <s v="Flexity"/>
    <n v="1"/>
  </r>
  <r>
    <n v="37222"/>
    <x v="360"/>
    <s v="Blondeel"/>
    <s v="Dominique"/>
    <x v="6"/>
    <x v="446"/>
    <s v=" https://delijn.sharepoint.com/:b:/r/teams/CTM-OTGentStad/Shared%20Documents/General/EAF/CSI(nieuwe%20sharepoint)%202025/9.%20September/EAF%205237%20Gent%2015092025%20Gent%2037222%20Dominique%20Blondeel.pdf?csf=1&amp;web=1&amp;e=jqZuPg"/>
    <x v="42"/>
    <n v="5237"/>
    <s v="ja"/>
    <s v="Bus"/>
    <s v="Gelede"/>
    <n v="1"/>
  </r>
  <r>
    <n v="40645"/>
    <x v="323"/>
    <s v="Bytebier"/>
    <s v="Jason"/>
    <x v="2"/>
    <x v="446"/>
    <s v=" https://delijn.sharepoint.com/:b:/r/teams/CTM-OTGentStad/Shared%20Documents/General/EAF/CSI(nieuwe%20sharepoint)%202025/9.%20September/EAF%205763%20Gent%2015092025.pdf?csf=1&amp;web=1&amp;e=FGBfzI"/>
    <x v="193"/>
    <n v="5763"/>
    <s v="ja"/>
    <s v="Bus"/>
    <s v="Standaard"/>
    <n v="2"/>
  </r>
  <r>
    <n v="42146"/>
    <x v="361"/>
    <s v="Cichonski"/>
    <s v="Kamil"/>
    <x v="8"/>
    <x v="446"/>
    <s v=" https://delijn.sharepoint.com/:b:/r/teams/CTM-OTGentStad/Shared%20Documents/General/EAF/CSI(nieuwe%20sharepoint)%202025/9.%20September/EAF%205488%20Gent%2015092025%2042146%20Kamil%20Cichonski.pdf?csf=1&amp;web=1&amp;e=9ZopSI"/>
    <x v="238"/>
    <n v="5488"/>
    <s v="ja"/>
    <s v="Bus"/>
    <s v="Standaard"/>
    <n v="3"/>
  </r>
  <r>
    <n v="39529"/>
    <x v="159"/>
    <s v="Desmet"/>
    <s v="Patricia"/>
    <x v="5"/>
    <x v="447"/>
    <s v=" https://delijn.sharepoint.com/:b:/r/teams/CTM-OTGentStad/Shared%20Documents/General/EAF/CSI(nieuwe%20sharepoint)%202025/9.%20September/EAF%206334%20Gent%2016092025%2039529%20Patricia%20Desmet.pdf?csf=1&amp;web=1&amp;e=TVtW89"/>
    <x v="113"/>
    <n v="6334"/>
    <s v="Neen"/>
    <s v="Tram"/>
    <s v="Hermelijn"/>
    <n v="4"/>
  </r>
  <r>
    <n v="42120"/>
    <x v="362"/>
    <s v="De Bruycker"/>
    <s v="Dylan"/>
    <x v="1"/>
    <x v="448"/>
    <s v=" https://delijn.sharepoint.com/:b:/r/teams/CTM-OTGentStad/Shared%20Documents/General/EAF/CSI(nieuwe%20sharepoint)%202025/9.%20September/EAF%205913%2017092025%20Gent%20Hofbouwlaan.pdf?csf=1&amp;web=1&amp;e=uJ5qTo"/>
    <x v="239"/>
    <n v="5913"/>
    <s v="ja"/>
    <s v="Bus"/>
    <s v="Standaard"/>
    <n v="1"/>
  </r>
  <r>
    <n v="41918"/>
    <x v="363"/>
    <s v="Babai"/>
    <s v="Saber"/>
    <x v="5"/>
    <x v="448"/>
    <s v=" https://delijn.sharepoint.com/:b:/r/teams/CTM-OTGentStad/Shared%20Documents/General/EAF/CSI(nieuwe%20sharepoint)%202025/9.%20September/EAF%205488%2017092025%20Gent%2041918%20Saber%20Babai.pdf?csf=1&amp;web=1&amp;e=8UrHfT"/>
    <x v="9"/>
    <n v="5488"/>
    <s v="ja"/>
    <s v="Bus"/>
    <s v="Standaard"/>
    <n v="2"/>
  </r>
  <r>
    <n v="41948"/>
    <x v="364"/>
    <s v="Vervaecke"/>
    <s v="Wim"/>
    <x v="2"/>
    <x v="449"/>
    <s v=" https://delijn.sharepoint.com/:b:/r/teams/CTM-OTGentStad/Shared%20Documents/General/EAF/CSI(nieuwe%20sharepoint)%202025/9.%20September/EAF%205488%20Gent%2019092025%2041948.pdf?csf=1&amp;web=1&amp;e=mmR9gG"/>
    <x v="62"/>
    <n v="5488"/>
    <s v="Neen"/>
    <s v="Bus"/>
    <s v="Standaard"/>
    <n v="3"/>
  </r>
  <r>
    <n v="40856"/>
    <x v="260"/>
    <s v="Neissi"/>
    <s v="Sadegh"/>
    <x v="1"/>
    <x v="449"/>
    <s v=" https://delijn.sharepoint.com/:b:/r/teams/CTM-OTGentStad/Shared%20Documents/General/EAF/CSI(nieuwe%20sharepoint)%202025/9.%20September/EAF%205923%20Gent%2019092025%2040856.pdf?csf=1&amp;web=1&amp;e=etzA8f"/>
    <x v="75"/>
    <n v="5923"/>
    <s v="ja"/>
    <s v="Bus"/>
    <s v="Standaard"/>
    <n v="5"/>
  </r>
  <r>
    <n v="39850"/>
    <x v="332"/>
    <s v="Helleputte"/>
    <s v="William"/>
    <x v="7"/>
    <x v="450"/>
    <s v=" https://delijn.sharepoint.com/:b:/r/teams/CTM-OTGentStad/Shared%20Documents/General/EAF/CSI(nieuwe%20sharepoint)%202025/9.%20September/EAF%205225%20Gent%2022092025%2039850.pdf?csf=1&amp;web=1&amp;e=jZob1k"/>
    <x v="240"/>
    <n v="5225"/>
    <s v="ja"/>
    <s v="Bus"/>
    <s v="Gelede"/>
    <n v="3"/>
  </r>
  <r>
    <n v="31360"/>
    <x v="181"/>
    <s v="Simsek"/>
    <s v="Fatih"/>
    <x v="7"/>
    <x v="450"/>
    <s v=" https://delijn.sharepoint.com/:b:/r/teams/CTM-OTGentStad/Shared%20Documents/General/EAF/CSI(nieuwe%20sharepoint)%202025/9.%20September/EAF%206375%20Gent%2022092025%2031360.pdf?csf=1&amp;web=1&amp;e=MOHRys"/>
    <x v="56"/>
    <n v="6375"/>
    <s v="ja"/>
    <s v="Tram"/>
    <s v="Flexity"/>
    <n v="3"/>
  </r>
  <r>
    <n v="42252"/>
    <x v="365"/>
    <s v="Sular"/>
    <s v="Abdullah"/>
    <x v="5"/>
    <x v="450"/>
    <s v=" https://delijn.sharepoint.com/:b:/r/teams/CTM-OTGentStad/Shared%20Documents/General/EAF/CSI(nieuwe%20sharepoint)%202025/9.%20September/EAF%202047%20Gent%2022092025%2042252.pdf?csf=1&amp;web=1&amp;e=pdmsps"/>
    <x v="241"/>
    <n v="2047"/>
    <s v="ja"/>
    <s v="Rijschool"/>
    <s v="Rijschool"/>
    <n v="5"/>
  </r>
  <r>
    <n v="21509"/>
    <x v="61"/>
    <s v="De Craemer"/>
    <s v="Kris"/>
    <x v="7"/>
    <x v="451"/>
    <s v=" https://delijn.sharepoint.com/:b:/r/teams/CTM-OTGentStad/Shared%20Documents/General/EAF/CSI(nieuwe%20sharepoint)%202025/9.%20September/EAF%206328%20Gent%2023092025%2021509%20Kris%20De%20Craemer.pdf?csf=1&amp;web=1&amp;e=BIT70L"/>
    <x v="162"/>
    <n v="6328"/>
    <s v="Neen"/>
    <s v="Tram"/>
    <s v="Hermelijn"/>
    <n v="6"/>
  </r>
  <r>
    <n v="42252"/>
    <x v="365"/>
    <s v="Sular"/>
    <s v="Abdullah"/>
    <x v="5"/>
    <x v="451"/>
    <s v=" https://delijn.sharepoint.com/:b:/r/teams/CTM-OTGentStad/Shared%20Documents/General/EAF/CSI(nieuwe%20sharepoint)%202025/9.%20September/EAF%202047%20Gent%2023092025%2042252.pdf?csf=1&amp;web=1&amp;e=Nf2xIx"/>
    <x v="29"/>
    <n v="2047"/>
    <s v="ja"/>
    <s v="Rijschool"/>
    <s v="Rijschool"/>
    <n v="5"/>
  </r>
  <r>
    <n v="41888"/>
    <x v="366"/>
    <s v="De Rammelaere"/>
    <s v="Bjorn"/>
    <x v="1"/>
    <x v="452"/>
    <s v=" https://delijn.sharepoint.com/:b:/r/teams/CTM-OTGentStad/Shared%20Documents/General/EAF/CSI(nieuwe%20sharepoint)%202025/9.%20September/EAF%205922%20Gent%2024092025%2041888%20Bjorn%20De%20Rammelaere.pdf?csf=1&amp;web=1&amp;e=8iAsR4"/>
    <x v="242"/>
    <n v="5922"/>
    <s v="Neen"/>
    <s v="Bus"/>
    <s v="Standaard"/>
    <n v="1"/>
  </r>
  <r>
    <n v="19917"/>
    <x v="11"/>
    <s v="Vandevyvere"/>
    <s v="Frank"/>
    <x v="4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x v="35"/>
    <n v="2190"/>
    <s v="ja"/>
    <s v="Bus"/>
    <s v="Gelede"/>
    <n v="10"/>
  </r>
  <r>
    <n v="39728"/>
    <x v="193"/>
    <s v="Nohut"/>
    <s v="Baki"/>
    <x v="6"/>
    <x v="452"/>
    <s v=" https://delijn.sharepoint.com/:b:/r/teams/CTM-OTGentStad/Shared%20Documents/General/EAF/CSI(nieuwe%20sharepoint)%202025/9.%20September/EAF%205768%20Gent%2024092025%2039728.pdf?csf=1&amp;web=1&amp;e=dFhxqB"/>
    <x v="79"/>
    <n v="5768"/>
    <s v="ja"/>
    <s v="Bus"/>
    <s v="Standaard"/>
    <n v="2"/>
  </r>
  <r>
    <n v="42307"/>
    <x v="0"/>
    <e v="#N/A"/>
    <e v="#N/A"/>
    <x v="0"/>
    <x v="452"/>
    <s v=" https://delijn.sharepoint.com/:b:/r/teams/CTM-OTGentStad/Shared%20Documents/General/EAF/CSI(nieuwe%20sharepoint)%202025/9.%20September/EAF_2085_20250924.pdf?csf=1&amp;web=1&amp;e=rLWzky"/>
    <x v="241"/>
    <n v="2085"/>
    <s v="ja"/>
    <s v="Rijschool"/>
    <s v="Rijschool"/>
    <n v="3"/>
  </r>
  <r>
    <n v="40110"/>
    <x v="121"/>
    <s v="Vanlerberghe"/>
    <s v="Sandra"/>
    <x v="5"/>
    <x v="453"/>
    <s v=" https://delijn.sharepoint.com/:b:/r/teams/CTM-OTGentStad/Shared%20Documents/General/EAF/CSI(nieuwe%20sharepoint)%202025/9.%20September/EAF%202201%2025092025%2040110%20Gent.pdf?csf=1&amp;web=1&amp;e=roD8it"/>
    <x v="109"/>
    <n v="2201"/>
    <s v="Neen"/>
    <s v="Bus"/>
    <s v="Gelede"/>
    <n v="7"/>
  </r>
  <r>
    <n v="19917"/>
    <x v="11"/>
    <s v="Vandevyvere"/>
    <s v="Frank"/>
    <x v="4"/>
    <x v="453"/>
    <s v=" https://delijn.sharepoint.com/:b:/r/teams/CTM-OTGentStad/Shared%20Documents/General/EAF/CSI(nieuwe%20sharepoint)%202025/9.%20September/EAF%205938%20Gent%2025092025%20Frank%20Vandevijvere.pdf?csf=1&amp;web=1&amp;e=gWohjR"/>
    <x v="161"/>
    <n v="5938"/>
    <s v="Neen"/>
    <s v="Bus"/>
    <s v="Standaard"/>
    <n v="10"/>
  </r>
  <r>
    <n v="41874"/>
    <x v="347"/>
    <s v="Dobbeleire"/>
    <s v="Bruno"/>
    <x v="7"/>
    <x v="454"/>
    <s v=" https://delijn.sharepoint.com/:b:/r/teams/CTM-OTGentStad/Shared%20Documents/General/EAF/CSI(nieuwe%20sharepoint)%202025/9.%20September/EAF%205773%20Gent%2026092025%20-%2041874%20Bruno%20Dobbeleire.pdf?csf=1&amp;web=1&amp;e=6UYeiR"/>
    <x v="32"/>
    <n v="5773"/>
    <s v="ja"/>
    <s v="Bus"/>
    <s v="Standaard"/>
    <n v="3"/>
  </r>
  <r>
    <n v="42105"/>
    <x v="0"/>
    <e v="#N/A"/>
    <e v="#N/A"/>
    <x v="0"/>
    <x v="454"/>
    <s v=" https://delijn.sharepoint.com/:b:/r/teams/CTM-OTGentStad/Shared%20Documents/General/EAF/CSI(nieuwe%20sharepoint)%202025/9.%20September/EAF%205910%20Gent%2026092025%2042105%20Zwijnaardsesteenweg.pdf?csf=1&amp;web=1&amp;e=aWidl3"/>
    <x v="12"/>
    <n v="5910"/>
    <s v="ja"/>
    <s v="Bus"/>
    <s v="Standaard"/>
    <n v="2"/>
  </r>
  <r>
    <n v="42146"/>
    <x v="361"/>
    <s v="Cichonski"/>
    <s v="Kamil"/>
    <x v="8"/>
    <x v="454"/>
    <s v=" https://delijn.sharepoint.com/:b:/r/teams/CTM-OTGentStad/Shared%20Documents/General/EAF/CSI(nieuwe%20sharepoint)%202025/9.%20September/EAF%2026092025%205917%20Gent%20Kamil%20Cichonski%2042146.pdf?csf=1&amp;web=1&amp;e=OoB6oa"/>
    <x v="146"/>
    <n v="5917"/>
    <s v="ja"/>
    <s v="Bus"/>
    <s v="Standaard"/>
    <n v="3"/>
  </r>
  <r>
    <n v="42002"/>
    <x v="342"/>
    <s v="Bogaert"/>
    <s v="Kevin"/>
    <x v="3"/>
    <x v="454"/>
    <s v=" https://delijn.sharepoint.com/:b:/r/teams/CTM-OTGentStad/Shared%20Documents/General/EAF/CSI(nieuwe%20sharepoint)%202025/9.%20September/EAF%205913%20Gent%2026092025%2042007.pdf?csf=1&amp;web=1&amp;e=jQm52B"/>
    <x v="235"/>
    <n v="5913"/>
    <s v="ja"/>
    <s v="Bus"/>
    <s v="Standaard"/>
    <n v="3"/>
  </r>
  <r>
    <n v="39014"/>
    <x v="64"/>
    <s v="Genbrugge"/>
    <s v="Kyllian"/>
    <x v="4"/>
    <x v="454"/>
    <s v=" https://delijn.sharepoint.com/:b:/r/teams/CTM-OTGentStad/Shared%20Documents/General/EAF/CSI(nieuwe%20sharepoint)%202025/9.%20September/EAF%202191%20Gent%2026092025%2039014%20Kylian%20Genbrugge.pdf?csf=1&amp;web=1&amp;e=tteYzm"/>
    <x v="243"/>
    <n v="2191"/>
    <s v="ja"/>
    <s v="Bus"/>
    <s v="Gelede"/>
    <n v="3"/>
  </r>
  <r>
    <n v="36289"/>
    <x v="44"/>
    <s v="Van Rentergem"/>
    <s v="Steve"/>
    <x v="3"/>
    <x v="455"/>
    <s v=" https://delijn.sharepoint.com/:b:/r/teams/CTM-OTGentStad/Shared%20Documents/General/EAF/CSI(nieuwe%20sharepoint)%202025/9.%20September/EAF%20550822%20Gent%2030092025%2036289%20PARMENTIER%20Muidepoort.pdf?csf=1&amp;web=1&amp;e=7BJYEl"/>
    <x v="86"/>
    <n v="550822"/>
    <s v="ja"/>
    <s v="Bus"/>
    <s v="Gehuurd"/>
    <n v="3"/>
  </r>
  <r>
    <n v="21892"/>
    <x v="211"/>
    <s v="Dierick"/>
    <s v="Steve"/>
    <x v="8"/>
    <x v="456"/>
    <s v=" https://delijn.sharepoint.com/:b:/r/teams/CTM-OTGentStad/Shared%20Documents/General/EAF/CSI(nieuwe%20sharepoint)%202025/10.%20Oktober/EAF%206325%20Gent%2003102025%2021892.pdf?csf=1&amp;web=1&amp;e=OcDyzF"/>
    <x v="244"/>
    <n v="6325"/>
    <s v="Neen"/>
    <s v="Tram"/>
    <s v="Hermelijn"/>
    <n v="2"/>
  </r>
  <r>
    <n v="40058"/>
    <x v="125"/>
    <s v="Sögüt"/>
    <s v="Can"/>
    <x v="5"/>
    <x v="456"/>
    <s v=" https://delijn.sharepoint.com/:b:/r/teams/CTM-OTGentStad/Shared%20Documents/General/EAF/CSI(nieuwe%20sharepoint)%202025/10.%20Oktober/EAF%205265%20Gent%2030102025.pdf?csf=1&amp;web=1&amp;e=NaWAmZ"/>
    <x v="177"/>
    <n v="5265"/>
    <s v="ja"/>
    <s v="Bus"/>
    <s v="Gelede"/>
    <n v="3"/>
  </r>
  <r>
    <n v="42146"/>
    <x v="361"/>
    <s v="Cichonski"/>
    <s v="Kamil"/>
    <x v="8"/>
    <x v="456"/>
    <s v=" https://delijn.sharepoint.com/:b:/r/teams/CTM-OTGentStad/Shared%20Documents/General/EAF/CSI(nieuwe%20sharepoint)%202025/10.%20Oktober/EAF%205486%20Gent%2003102025%2042146.pdf?csf=1&amp;web=1&amp;e=rBSDdl"/>
    <x v="82"/>
    <n v="5486"/>
    <s v="ja"/>
    <s v="Bus"/>
    <s v="Standaard"/>
    <n v="3"/>
  </r>
  <r>
    <n v="40055"/>
    <x v="262"/>
    <s v="Afara"/>
    <s v="Ammar"/>
    <x v="3"/>
    <x v="456"/>
    <s v=" https://delijn.sharepoint.com/:b:/r/teams/CTM-OTGentStad/Shared%20Documents/General/EAF/CSI(nieuwe%20sharepoint)%202025/10.%20Oktober/EAF%205048%2003102025%2040055%20Gent.pdf?csf=1&amp;web=1&amp;e=Oq2hhn"/>
    <x v="193"/>
    <n v="5048"/>
    <s v="ja"/>
    <s v="Bus"/>
    <s v="Gelede"/>
    <n v="2"/>
  </r>
  <r>
    <n v="29271"/>
    <x v="367"/>
    <s v="Maes"/>
    <s v="Filip"/>
    <x v="2"/>
    <x v="456"/>
    <s v=" https://delijn.sharepoint.com/:b:/r/teams/CTM-OTGentStad/Shared%20Documents/General/EAF/CSI(nieuwe%20sharepoint)%202025/10.%20Oktober/EAF%205273%2003102025%2029271%20Gent%C2%B5.pdf?csf=1&amp;web=1&amp;e=hNe2Xz"/>
    <x v="56"/>
    <n v="5273"/>
    <s v="ja"/>
    <s v="Bus"/>
    <s v="Gelede"/>
    <n v="1"/>
  </r>
  <r>
    <n v="42044"/>
    <x v="368"/>
    <s v="El Gana"/>
    <s v="Karim"/>
    <x v="7"/>
    <x v="456"/>
    <s v=" https://delijn.sharepoint.com/:b:/r/teams/CTM-OTGentStad/Shared%20Documents/General/EAF/CSI(nieuwe%20sharepoint)%202025/10.%20Oktober/EAF%205765%2003102025%20Gent.pdf?csf=1&amp;web=1&amp;e=9pC8wS"/>
    <x v="2"/>
    <n v="5765"/>
    <s v="ja"/>
    <s v="Bus"/>
    <s v="Standaard"/>
    <n v="1"/>
  </r>
  <r>
    <n v="28910"/>
    <x v="281"/>
    <s v="Gassa"/>
    <s v="Osmane"/>
    <x v="4"/>
    <x v="456"/>
    <s v=" https://delijn.sharepoint.com/:b:/r/teams/CTM-OTGentStad/Shared%20Documents/General/EAF/CSI(nieuwe%20sharepoint)%202025/10.%20Oktober/EAF%205265%20Gent%2030102025.pdf?csf=1&amp;web=1&amp;e=NaWAmZ"/>
    <x v="177"/>
    <n v="5263"/>
    <s v="ja"/>
    <s v="Bus"/>
    <s v="Gelede"/>
    <n v="2"/>
  </r>
  <r>
    <n v="41619"/>
    <x v="319"/>
    <s v="Bachiri"/>
    <s v="Ousama"/>
    <x v="4"/>
    <x v="456"/>
    <s v=" https://delijn.sharepoint.com/:b:/r/teams/CTM-OTGentStad/Shared%20Documents/General/EAF/CSI(nieuwe%20sharepoint)%202025/10.%20Oktober/EAF%205042%2003102025%20Gent%2041619.pdf?csf=1&amp;web=1&amp;e=Pocfje"/>
    <x v="193"/>
    <n v="5042"/>
    <s v="ja"/>
    <s v="Bus"/>
    <s v="Gelede"/>
    <n v="3"/>
  </r>
  <r>
    <n v="32611"/>
    <x v="288"/>
    <s v="Özer"/>
    <s v="Özgur"/>
    <x v="1"/>
    <x v="457"/>
    <s v=" https://delijn.sharepoint.com/:b:/r/teams/CTM-OTGentStad/Shared%20Documents/General/EAF/CSI(nieuwe%20sharepoint)%202025/10.%20Oktober/EAF%206315%2004102025%20Gent%2032611.pdf?csf=1&amp;web=1&amp;e=d7qpXS"/>
    <x v="153"/>
    <n v="6315"/>
    <s v="ja"/>
    <s v="Tram"/>
    <s v="Hermelijn"/>
    <n v="3"/>
  </r>
  <r>
    <n v="41948"/>
    <x v="364"/>
    <s v="Vervaecke"/>
    <s v="Wim"/>
    <x v="2"/>
    <x v="457"/>
    <s v=" https://delijn.sharepoint.com/:b:/r/teams/CTM-OTGentStad/Shared%20Documents/General/EAF/CSI(nieuwe%20sharepoint)%202025/10.%20Oktober/EAF%202549%2004102025%20Gent%2041948.pdf?csf=1&amp;web=1&amp;e=t2jjhL"/>
    <x v="74"/>
    <n v="2548"/>
    <s v="ja"/>
    <s v="Bus"/>
    <s v="E-bus"/>
    <n v="3"/>
  </r>
  <r>
    <n v="38555"/>
    <x v="369"/>
    <s v="Almohammad"/>
    <s v="Malek"/>
    <x v="3"/>
    <x v="457"/>
    <s v=" https://delijn.sharepoint.com/:b:/r/teams/CTM-OTGentStad/Shared%20Documents/General/EAF/CSI(nieuwe%20sharepoint)%202025/10.%20Oktober/EAF%205044%20Gent%2004102025%2038555.pdf?csf=1&amp;web=1&amp;e=kVUesg"/>
    <x v="245"/>
    <n v="5044"/>
    <s v="ja"/>
    <s v="Bus"/>
    <s v="Gelede"/>
    <n v="1"/>
  </r>
  <r>
    <n v="41520"/>
    <x v="287"/>
    <s v="Smets"/>
    <s v="Avery"/>
    <x v="5"/>
    <x v="457"/>
    <s v=" https://delijn.sharepoint.com/:b:/r/teams/CTM-OTGentStad/Shared%20Documents/General/EAF/CSI(nieuwe%20sharepoint)%202025/10.%20Oktober/EAF%202196%20Gent%2004102025%2041520.pdf?csf=1&amp;web=1&amp;e=dlXapv"/>
    <x v="29"/>
    <n v="2196"/>
    <s v="ja"/>
    <s v="Bus"/>
    <s v="Gelede"/>
    <n v="3"/>
  </r>
  <r>
    <n v="35397"/>
    <x v="275"/>
    <s v="Minbari"/>
    <s v="Ako"/>
    <x v="6"/>
    <x v="457"/>
    <s v=" https://delijn.sharepoint.com/:b:/r/teams/CTM-OTGentStad/Shared%20Documents/General/EAF/CSI(nieuwe%20sharepoint)%202025/10.%20Oktober/EAF%205051%2004102025%2035397.pdf?csf=1&amp;web=1&amp;e=uAnrOi"/>
    <x v="193"/>
    <n v="5051"/>
    <s v="ja"/>
    <s v="Bus"/>
    <s v="Gelede"/>
    <n v="3"/>
  </r>
  <r>
    <n v="39856"/>
    <x v="312"/>
    <s v="Curukcu"/>
    <s v="Bayram"/>
    <x v="1"/>
    <x v="458"/>
    <s v=" https://delijn.sharepoint.com/:b:/r/teams/CTM-OTGentStad/Shared%20Documents/General/EAF/CSI(nieuwe%20sharepoint)%202025/10.%20Oktober/Scan_28740_1321_001.pdf?csf=1&amp;web=1&amp;e=gv1BxJ"/>
    <x v="42"/>
    <n v="5052"/>
    <s v="ja"/>
    <s v="Bus"/>
    <s v="Gelede"/>
    <n v="2"/>
  </r>
  <r>
    <n v="41871"/>
    <x v="350"/>
    <s v="Karanfil"/>
    <s v="Ibrahim"/>
    <x v="7"/>
    <x v="458"/>
    <s v=" https://delijn.sharepoint.com/:b:/r/teams/CTM-OTGentStad/Shared%20Documents/General/EAF/CSI(nieuwe%20sharepoint)%202025/10.%20Oktober/EAF%205487%20Gent%2006102025%2041871.pdf?csf=1&amp;web=1&amp;e=OHSPyB"/>
    <x v="82"/>
    <n v="5487"/>
    <s v="ja"/>
    <s v="Bus"/>
    <s v="Standaard"/>
    <n v="2"/>
  </r>
  <r>
    <n v="42015"/>
    <x v="370"/>
    <s v="Crop"/>
    <s v="Alexander"/>
    <x v="3"/>
    <x v="459"/>
    <s v=" https://delijn.sharepoint.com/:b:/r/teams/CTM-OTGentStad/Shared%20Documents/General/EAF/CSI(nieuwe%20sharepoint)%202025/10.%20Oktober/EAF%20%205771%20Gent%20081010%2042015.pdf?csf=1&amp;web=1&amp;e=NHnsRl"/>
    <x v="14"/>
    <n v="5771"/>
    <s v="ja"/>
    <s v="Bus"/>
    <s v="Standaard"/>
    <n v="1"/>
  </r>
  <r>
    <n v="12024"/>
    <x v="371"/>
    <s v="De Cooman"/>
    <s v="Kurt"/>
    <x v="6"/>
    <x v="459"/>
    <s v=" https://delijn.sharepoint.com/:b:/r/teams/CTM-OTGentStad/Shared%20Documents/General/EAF/CSI(nieuwe%20sharepoint)%202025/10.%20Oktober/EAF%205328%20Gent%2008102025%2012024.pdf?csf=1&amp;web=1&amp;e=MQjNpp"/>
    <x v="246"/>
    <n v="5328"/>
    <s v="ja"/>
    <s v="Bus"/>
    <s v="Gelede"/>
    <n v="1"/>
  </r>
  <r>
    <n v="41482"/>
    <x v="317"/>
    <s v="Özdemir"/>
    <s v="Osman"/>
    <x v="4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x v="22"/>
    <n v="2189"/>
    <s v="ja"/>
    <s v="Bus"/>
    <s v="Gelede"/>
    <n v="3"/>
  </r>
  <r>
    <n v="30623"/>
    <x v="209"/>
    <s v="Gassa"/>
    <s v="Mustafa"/>
    <x v="1"/>
    <x v="459"/>
    <s v=" https://delijn.sharepoint.com/:b:/r/teams/CTM-OTGentStad/Shared%20Documents/General/EAF/CSI(nieuwe%20sharepoint)%202025/10.%20Oktober/EAF%205770%20Gent%2008102025%2030623.pdf?csf=1&amp;web=1&amp;e=D3jdVl"/>
    <x v="247"/>
    <n v="5770"/>
    <s v="ja"/>
    <s v="Bus"/>
    <s v="Standaard"/>
    <n v="2"/>
  </r>
  <r>
    <n v="40138"/>
    <x v="227"/>
    <s v="Moerman"/>
    <s v="Tjimmy"/>
    <x v="5"/>
    <x v="460"/>
    <s v=" https://delijn.sharepoint.com/:b:/r/teams/CTM-OTGentStad/Shared%20Documents/General/EAF/CSI(nieuwe%20sharepoint)%202025/10.%20Oktober/EAF%205041%20Gent%2009102025%2040138.pdf?csf=1&amp;web=1&amp;e=bHDNDc"/>
    <x v="89"/>
    <n v="5041"/>
    <s v="Neen"/>
    <s v="Bus"/>
    <s v="Gelede"/>
    <n v="10"/>
  </r>
  <r>
    <n v="39929"/>
    <x v="65"/>
    <s v="Staneva"/>
    <s v="Mariyana"/>
    <x v="5"/>
    <x v="461"/>
    <s v=" https://delijn.sharepoint.com/:b:/r/teams/CTM-OTGentStad/Shared%20Documents/General/EAF/CSI(nieuwe%20sharepoint)%202025/10.%20Oktober/EAF%202195%20Gent%2010102025.pdf?csf=1&amp;web=1&amp;e=lUcZJV"/>
    <x v="8"/>
    <n v="2195"/>
    <s v="Neen"/>
    <s v="Bus"/>
    <s v="Gelede"/>
    <n v="9"/>
  </r>
  <r>
    <n v="20542"/>
    <x v="372"/>
    <s v="Kizilmese"/>
    <s v="Emra"/>
    <x v="2"/>
    <x v="461"/>
    <s v=" https://delijn.sharepoint.com/:b:/r/teams/CTM-OTGentStad/Shared%20Documents/General/EAF/CSI(nieuwe%20sharepoint)%202025/10.%20Oktober/EAF%205235%20Gent%2010102025%2020542.pdf?csf=1&amp;web=1&amp;e=QMboLa"/>
    <x v="42"/>
    <n v="5235"/>
    <s v="ja"/>
    <s v="Bus"/>
    <s v="Gelede"/>
    <n v="1"/>
  </r>
  <r>
    <n v="35430"/>
    <x v="223"/>
    <s v="Vlaminck"/>
    <s v="Dirk"/>
    <x v="3"/>
    <x v="462"/>
    <s v=" https://delijn.sharepoint.com/:b:/r/teams/CTM-OTGentStad/Shared%20Documents/General/EAF/CSI(nieuwe%20sharepoint)%202025/10.%20Oktober/Scan_28740_1325_001.pdf?csf=1&amp;web=1&amp;e=JPQwYo"/>
    <x v="245"/>
    <n v="5237"/>
    <s v="ja"/>
    <s v="Bus"/>
    <s v="Gelede"/>
    <n v="2"/>
  </r>
  <r>
    <n v="15219"/>
    <x v="373"/>
    <s v="De Mey"/>
    <s v="Peter"/>
    <x v="4"/>
    <x v="463"/>
    <s v=" https://delijn.sharepoint.com/:b:/r/teams/CTM-OTGentStad/Shared%20Documents/General/EAF/CSI(nieuwe%20sharepoint)%202025/10.%20Oktober/EAF%206362%20Gent%2012102025.pdf?csf=1&amp;web=1&amp;e=4HYFM4"/>
    <x v="46"/>
    <n v="6362"/>
    <s v="ja"/>
    <s v="Tram"/>
    <s v="Flexity"/>
    <n v="1"/>
  </r>
  <r>
    <n v="16275"/>
    <x v="374"/>
    <s v="Devriendt"/>
    <s v="Patrick"/>
    <x v="2"/>
    <x v="464"/>
    <s v=" https://delijn.sharepoint.com/:b:/r/teams/CTM-OTGentStad/Shared%20Documents/General/EAF/CSI(nieuwe%20sharepoint)%202025/10.%20Oktober/EAF%206329%20Gent%2016275.pdf?csf=1&amp;web=1&amp;e=lr0PQR"/>
    <x v="56"/>
    <n v="6329"/>
    <s v="ja"/>
    <s v="Tram"/>
    <s v="Hermelijn"/>
    <n v="1"/>
  </r>
  <r>
    <n v="38633"/>
    <x v="182"/>
    <s v="Stomphorst"/>
    <s v="Mattanja"/>
    <x v="2"/>
    <x v="464"/>
    <s v=" https://delijn.sharepoint.com/:b:/r/teams/CTM-OTGentStad/Shared%20Documents/General/EAF/CSI(nieuwe%20sharepoint)%202025/10.%20Oktober/EAF%205047%20Gent%2013102025%2038633.pdf?csf=1&amp;web=1&amp;e=tNrRZy"/>
    <x v="92"/>
    <n v="5047"/>
    <s v="ja"/>
    <s v="Bus"/>
    <s v="Gelede"/>
    <n v="3"/>
  </r>
  <r>
    <n v="35588"/>
    <x v="189"/>
    <s v="Smesman"/>
    <s v="Glenn"/>
    <x v="6"/>
    <x v="464"/>
    <s v=" https://delijn.sharepoint.com/:b:/r/teams/CTM-OTGentStad/Shared%20Documents/General/EAF/CSI(nieuwe%20sharepoint)%202025/11.%20November/EAF%205772%20Gent%2013102025.pdf?csf=1&amp;web=1&amp;e=YOAeri"/>
    <x v="106"/>
    <n v="5772"/>
    <s v="ja"/>
    <s v="Bus"/>
    <s v="Standaard"/>
    <n v="3"/>
  </r>
  <r>
    <n v="41588"/>
    <x v="301"/>
    <s v="Naessens"/>
    <s v="Yves"/>
    <x v="1"/>
    <x v="465"/>
    <s v=" https://delijn.sharepoint.com/:b:/r/teams/CTM-OTGentStad/Shared%20Documents/General/EAF/CSI(nieuwe%20sharepoint)%202025/10.%20Oktober/Scan_28740_1363_001.pdf?csf=1&amp;web=1&amp;e=reTsL1"/>
    <x v="32"/>
    <n v="2196"/>
    <s v="ja"/>
    <s v="Bus"/>
    <s v="Gelede"/>
    <n v="2"/>
  </r>
  <r>
    <n v="39928"/>
    <x v="375"/>
    <s v="Momand"/>
    <s v="Abdullah"/>
    <x v="4"/>
    <x v="465"/>
    <s v=" https://delijn.sharepoint.com/:b:/r/teams/CTM-OTGentStad/Shared%20Documents/General/EAF/CSI(nieuwe%20sharepoint)%202025/10.%20Oktober/EAF%205934%20Gent%2014102025%2039922.pdf?csf=1&amp;web=1&amp;e=zcBsFr"/>
    <x v="239"/>
    <n v="5934"/>
    <s v="ja"/>
    <s v="Bus"/>
    <s v="Standaard"/>
    <n v="2"/>
  </r>
  <r>
    <n v="42252"/>
    <x v="365"/>
    <s v="Sular"/>
    <s v="Abdullah"/>
    <x v="5"/>
    <x v="466"/>
    <s v=" https://delijn.sharepoint.com/:b:/r/teams/CTM-OTGentStad/Shared%20Documents/General/EAF/CSI(nieuwe%20sharepoint)%202025/10.%20Oktober/EAF%205910%20Gent%2015102025%2042252.pdf?csf=1&amp;web=1&amp;e=osACa6"/>
    <x v="79"/>
    <n v="5910"/>
    <s v="Neen"/>
    <s v="Bus"/>
    <s v="Standaard"/>
    <n v="5"/>
  </r>
  <r>
    <n v="20543"/>
    <x v="376"/>
    <s v="Pekdemir"/>
    <s v="Ilkmur"/>
    <x v="1"/>
    <x v="467"/>
    <s v=" https://delijn.sharepoint.com/:b:/r/teams/CTM-OTGentStad/Shared%20Documents/General/EAF/CSI(nieuwe%20sharepoint)%202025/10.%20Oktober/EAF%206314%20UZ%20Gent%2017102025%20Pekdemir%20Ilkmur%2020543.pdf?csf=1&amp;web=1&amp;e=HVOPA6"/>
    <x v="228"/>
    <n v="6314"/>
    <s v="ja"/>
    <s v="Tram"/>
    <s v="Hermelijn"/>
    <n v="1"/>
  </r>
  <r>
    <n v="42252"/>
    <x v="365"/>
    <s v="Sular"/>
    <s v="Abdullah"/>
    <x v="5"/>
    <x v="467"/>
    <s v=" https://delijn.sharepoint.com/:i:/r/teams/CTM-OTGentStad/Shared%20Documents/General/EAF/CSI(nieuwe%20sharepoint)%202025/10.%20Oktober/1000002701.jpg?csf=1&amp;web=1&amp;e=cuf7Xo"/>
    <x v="101"/>
    <n v="5927"/>
    <s v="ja"/>
    <s v="Bus"/>
    <s v="Standaard"/>
    <n v="5"/>
  </r>
  <r>
    <n v="41870"/>
    <x v="377"/>
    <s v="Goossens"/>
    <s v="Yannick"/>
    <x v="8"/>
    <x v="468"/>
    <s v=" https://delijn.sharepoint.com/:b:/r/teams/CTM-OTGentStad/Shared%20Documents/General/EAF/CSI(nieuwe%20sharepoint)%202025/10.%20Oktober/EAF%20550822%2018102025%20Gent%2041870.pdf?csf=1&amp;web=1&amp;e=JHEJ4o"/>
    <x v="75"/>
    <n v="550822"/>
    <s v="Neen"/>
    <s v="Bus"/>
    <s v="Gehuurd"/>
    <n v="1"/>
  </r>
  <r>
    <n v="20653"/>
    <x v="63"/>
    <s v="Mestdag"/>
    <s v="Marius"/>
    <x v="4"/>
    <x v="469"/>
    <s v=" https://delijn.sharepoint.com/:b:/r/teams/CTM-OTGentStad/Shared%20Documents/General/EAF/CSI(nieuwe%20sharepoint)%202025/10.%20Oktober/EAF%206366%2020102025%20Gent%2020653.pdf?csf=1&amp;web=1&amp;e=V95FoR"/>
    <x v="126"/>
    <n v="6366"/>
    <s v="ja"/>
    <s v="Tram"/>
    <s v="Flexity"/>
    <n v="3"/>
  </r>
  <r>
    <n v="40938"/>
    <x v="310"/>
    <s v="Hasnaoui"/>
    <s v="Nejmeddine"/>
    <x v="7"/>
    <x v="470"/>
    <s v=" https://delijn.sharepoint.com/:b:/r/teams/CTM-OTGentStad/Shared%20Documents/General/EAF/CSI(nieuwe%20sharepoint)%202025/10.%20Oktober/EAF%205259%20Gent%2021102025.pdf?csf=1&amp;web=1&amp;e=u7LKiJ"/>
    <x v="248"/>
    <n v="5259"/>
    <s v="Neen"/>
    <s v="Bus"/>
    <s v="Gelede"/>
    <n v="4"/>
  </r>
  <r>
    <n v="30321"/>
    <x v="117"/>
    <s v="Unver"/>
    <s v="Ismaïl"/>
    <x v="1"/>
    <x v="470"/>
    <s v=" https://delijn.sharepoint.com/:b:/r/teams/CTM-OTGentStad/Shared%20Documents/General/EAF/CSI(nieuwe%20sharepoint)%202025/10.%20Oktober/Scan_28740_1410_001.pdf?csf=1&amp;web=1&amp;e=C4BH3e"/>
    <x v="24"/>
    <n v="5767"/>
    <s v="ja"/>
    <s v="Bus"/>
    <s v="Standaard"/>
    <n v="2"/>
  </r>
  <r>
    <n v="16895"/>
    <x v="222"/>
    <s v="Van Lauwe"/>
    <s v="Freddy"/>
    <x v="4"/>
    <x v="471"/>
    <s v=" https://delijn.sharepoint.com/:b:/r/teams/CTM-OTGentStad/Shared%20Documents/General/EAF/CSI(nieuwe%20sharepoint)%202025/10.%20Oktober/EAF%206337%20Gent%2022102025%2016895.pdf?csf=1&amp;web=1&amp;e=jJZCLg"/>
    <x v="4"/>
    <n v="6337"/>
    <s v="ja"/>
    <s v="Tram"/>
    <s v="Hermelijn"/>
    <n v="6"/>
  </r>
  <r>
    <n v="40138"/>
    <x v="227"/>
    <s v="Moerman"/>
    <s v="Tjimmy"/>
    <x v="5"/>
    <x v="471"/>
    <s v=" https://delijn.sharepoint.com/:b:/r/teams/CTM-OTGentStad/Shared%20Documents/General/EAF/CSI(nieuwe%20sharepoint)%202025/10.%20Oktober/EAF%202195%20Willy%20Maststraat%20Wondelgem%2022102025%20-%2040138.pdf?csf=1&amp;web=1&amp;e=wQNaXL"/>
    <x v="249"/>
    <n v="2195"/>
    <s v="Neen"/>
    <s v="Bus"/>
    <s v="Gelede"/>
    <n v="10"/>
  </r>
  <r>
    <n v="35645"/>
    <x v="220"/>
    <s v="Jalili"/>
    <s v="Yaseeb"/>
    <x v="8"/>
    <x v="472"/>
    <s v=" https://delijn.sharepoint.com/:b:/r/teams/CTM-OTGentStad/Shared%20Documents/General/EAF/CSI(nieuwe%20sharepoint)%202025/10.%20Oktober/EAF%2024102025%205764%20Gent.pdf?csf=1&amp;web=1&amp;e=c8wGmP"/>
    <x v="2"/>
    <n v="5764"/>
    <s v="ja"/>
    <s v="Bus"/>
    <s v="Standaard"/>
    <n v="4"/>
  </r>
  <r>
    <n v="16895"/>
    <x v="222"/>
    <s v="Van Lauwe"/>
    <s v="Freddy"/>
    <x v="4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x v="12"/>
    <n v="6368"/>
    <s v="ja"/>
    <s v="Tram"/>
    <s v="Flexity"/>
    <n v="6"/>
  </r>
  <r>
    <n v="27673"/>
    <x v="378"/>
    <s v="Verbanck"/>
    <s v="Koen"/>
    <x v="5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x v="113"/>
    <n v="6375"/>
    <s v="ja"/>
    <s v="Tram"/>
    <s v="Flexity"/>
    <n v="1"/>
  </r>
  <r>
    <n v="42307"/>
    <x v="0"/>
    <e v="#N/A"/>
    <e v="#N/A"/>
    <x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x v="75"/>
    <n v="5767"/>
    <s v="ja"/>
    <s v="Bus"/>
    <s v="Standaard"/>
    <n v="3"/>
  </r>
  <r>
    <n v="15220"/>
    <x v="379"/>
    <s v="Dejonghe"/>
    <s v="Katleen"/>
    <x v="7"/>
    <x v="474"/>
    <s v=" https://delijn.sharepoint.com/:b:/r/teams/CTM-OTGentStad/Shared%20Documents/General/EAF/CSI(nieuwe%20sharepoint)%202025/10.%20Oktober/EAF%2026102025%206321%20Gent.pdf?csf=1&amp;web=1&amp;e=Atnkuj"/>
    <x v="237"/>
    <n v="6321"/>
    <s v="ja"/>
    <s v="Tram"/>
    <s v="Hermelijn"/>
    <n v="1"/>
  </r>
  <r>
    <n v="27209"/>
    <x v="39"/>
    <s v="Meyvaert"/>
    <s v="Steven"/>
    <x v="2"/>
    <x v="474"/>
    <s v=" https://delijn.sharepoint.com/:b:/r/teams/CTM-OTGentStad/Shared%20Documents/General/EAF/CSI(nieuwe%20sharepoint)%202025/10.%20Oktober/EAF%205232%20stelplaats%20E17%2026102025%20Meyvaert%20Steven%2027209.pdf?csf=1&amp;web=1&amp;e=Me2u0U"/>
    <x v="0"/>
    <n v="5232"/>
    <s v="ja"/>
    <s v="Bus"/>
    <s v="Gelede"/>
    <n v="3"/>
  </r>
  <r>
    <n v="40278"/>
    <x v="213"/>
    <s v="Ates"/>
    <s v="Firat"/>
    <x v="5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x v="250"/>
    <n v="5271"/>
    <s v="ja"/>
    <s v="Bus"/>
    <s v="Gelede"/>
    <n v="5"/>
  </r>
  <r>
    <n v="5559"/>
    <x v="84"/>
    <s v="Hoste"/>
    <s v="Tania"/>
    <x v="8"/>
    <x v="475"/>
    <s v=" https://delijn.sharepoint.com/:b:/r/teams/CTM-OTGentStad/Shared%20Documents/General/EAF/CSI(nieuwe%20sharepoint)%202025/10.%20Oktober/EAF%2027102025%206374%20Gent.pdf?csf=1&amp;web=1&amp;e=JtE5qy"/>
    <x v="8"/>
    <n v="6374"/>
    <s v="Neen"/>
    <s v="Tram"/>
    <s v="Flexity"/>
    <n v="2"/>
  </r>
  <r>
    <n v="37345"/>
    <x v="132"/>
    <s v="Walleyn"/>
    <s v="Renaat"/>
    <x v="6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x v="220"/>
    <n v="6318"/>
    <s v="ja"/>
    <s v="Tram"/>
    <s v="Hermelijn"/>
    <n v="3"/>
  </r>
  <r>
    <n v="34328"/>
    <x v="1"/>
    <s v="Kerremans"/>
    <s v="Jürgen"/>
    <x v="1"/>
    <x v="477"/>
    <s v=" https://delijn.sharepoint.com/:b:/r/teams/CTM-OTGentStad/Shared%20Documents/General/EAF/CSI(nieuwe%20sharepoint)%202025/10.%20Oktober/Scan_28740_1494_001.pdf?csf=1&amp;web=1&amp;e=MYz2LQ"/>
    <x v="56"/>
    <n v="6334"/>
    <s v="ja"/>
    <s v="Tram"/>
    <s v="Hermelijn"/>
    <n v="4"/>
  </r>
  <r>
    <n v="42105"/>
    <x v="0"/>
    <e v="#N/A"/>
    <e v="#N/A"/>
    <x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x v="12"/>
    <n v="5489"/>
    <s v="ja"/>
    <s v="Bus"/>
    <s v="Standaard"/>
    <n v="2"/>
  </r>
  <r>
    <n v="25873"/>
    <x v="380"/>
    <s v="Kazakbiyev"/>
    <s v="Osman"/>
    <x v="3"/>
    <x v="478"/>
    <s v=" https://delijn.sharepoint.com/:b:/r/teams/CTM-OTGentStad/Shared%20Documents/General/EAF/CSI(nieuwe%20sharepoint)%202025/10.%20Oktober/EAF%205052%20Dampoort%2030102025%20-%2025873.pdf?csf=1&amp;web=1&amp;e=AcgxZT"/>
    <x v="251"/>
    <n v="5052"/>
    <s v="ja"/>
    <s v="Bus"/>
    <s v="Gelede"/>
    <n v="1"/>
  </r>
  <r>
    <n v="40938"/>
    <x v="310"/>
    <s v="Hasnaoui"/>
    <s v="Nejmeddine"/>
    <x v="7"/>
    <x v="478"/>
    <s v="https://delijn.sharepoint.com/:b:/r/teams/CTM-OTGentStad/Shared%20Documents/General/EAF/CSI(nieuwe%20sharepoint)%202025/10.%20Oktober/EAF%2013024%20parking%20E17%2030102025%20-%2040938.pdf?csf=1&amp;web=1&amp;e=IhvPLM"/>
    <x v="0"/>
    <s v="-"/>
    <s v="ja"/>
    <n v="0"/>
    <s v="-"/>
    <n v="4"/>
  </r>
  <r>
    <n v="14072"/>
    <x v="381"/>
    <s v="Vervoort"/>
    <s v="Koen"/>
    <x v="6"/>
    <x v="479"/>
    <s v=" https://delijn.sharepoint.com/:b:/r/teams/CTM-OTGentStad/Shared%20Documents/General/EAF/CSI(nieuwe%20sharepoint)%202025/10.%20Oktober/EZAF%206363%20GEnt%2031102025%2014072.pdf?csf=1&amp;web=1&amp;e=GIzhJQ"/>
    <x v="2"/>
    <n v="6363"/>
    <s v="ja"/>
    <s v="Tram"/>
    <s v="Flexity"/>
    <n v="1"/>
  </r>
  <r>
    <n v="39858"/>
    <x v="180"/>
    <s v="Jacobs"/>
    <s v="Elos"/>
    <x v="2"/>
    <x v="479"/>
    <s v=" https://delijn.sharepoint.com/:b:/r/teams/CTM-OTGentStad/Shared%20Documents/General/EAF/CSI(nieuwe%20sharepoint)%202025/10.%20Oktober/EAF%205229%20Dampoortstraat%2031102025%20-%2039858.pdf?csf=1&amp;web=1&amp;e=z4RXyG"/>
    <x v="92"/>
    <n v="5229"/>
    <s v="ja"/>
    <s v="Bus"/>
    <s v="Gelede"/>
    <n v="2"/>
  </r>
  <r>
    <n v="37543"/>
    <x v="24"/>
    <s v="Öztürk"/>
    <s v="Bilgehan"/>
    <x v="1"/>
    <x v="480"/>
    <s v=" https://delijn.sharepoint.com/:b:/r/teams/CTM-OTGentStad/Shared%20Documents/General/EAF/CSI(nieuwe%20sharepoint)%202025/10.%20Oktober/EAF%205233%20Rinskopflaan%20Gentbrugge%2001112025%20-%2037543.pdf?csf=1&amp;web=1&amp;e=KME7KS"/>
    <x v="252"/>
    <n v="5233"/>
    <s v="Neen"/>
    <s v="Bus"/>
    <s v="Gelede"/>
    <n v="6"/>
  </r>
  <r>
    <n v="41384"/>
    <x v="320"/>
    <s v="Hillaert"/>
    <s v="Thimo"/>
    <x v="5"/>
    <x v="480"/>
    <s v=" https://delijn.sharepoint.com/:b:/r/teams/CTM-OTGentStad/Shared%20Documents/General/EAF/CSI(nieuwe%20sharepoint)%202025/11.%20November/EAF%205916%2001112025%20Gen%2041384.pdf?csf=1&amp;web=1&amp;e=Tkwyyg"/>
    <x v="242"/>
    <n v="5916"/>
    <s v="ja"/>
    <s v="Bus"/>
    <s v="Standaard"/>
    <n v="4"/>
  </r>
  <r>
    <n v="35463"/>
    <x v="35"/>
    <s v="Vandaele"/>
    <s v="Tom"/>
    <x v="7"/>
    <x v="481"/>
    <s v=" https://delijn.sharepoint.com/:b:/r/teams/CTM-OTGentStad/Shared%20Documents/General/EAF/CSI(nieuwe%20sharepoint)%202025/11.%20November/EAF%206312%20Gent%2002112025%2035463.pdf?csf=1&amp;web=1&amp;e=doXpo9"/>
    <x v="56"/>
    <n v="6312"/>
    <s v="ja"/>
    <s v="Tram"/>
    <s v="Hermelijn"/>
    <n v="4"/>
  </r>
  <r>
    <n v="26639"/>
    <x v="382"/>
    <s v="Engels"/>
    <s v="Wendy"/>
    <x v="1"/>
    <x v="481"/>
    <s v=" https://delijn.sharepoint.com/:b:/r/teams/CTM-OTGentStad/Shared%20Documents/General/EAF/CSI(nieuwe%20sharepoint)%202025/11.%20November/EAF%205938%20Gent%2002112025%2026639.pdf?csf=1&amp;web=1&amp;e=mhzexx"/>
    <x v="253"/>
    <n v="5938"/>
    <s v="ja"/>
    <s v="Bus"/>
    <s v="Standaard"/>
    <n v="1"/>
  </r>
  <r>
    <n v="11023"/>
    <x v="383"/>
    <s v="Goethals"/>
    <s v="Jeffrey"/>
    <x v="3"/>
    <x v="482"/>
    <s v=" https://delijn.sharepoint.com/:b:/r/teams/CTM-OTGentStad/Shared%20Documents/General/EAF/CSI(nieuwe%20sharepoint)%202025/11.%20November/EAF%206364%20Gent%2003112025%2011023.pdf?csf=1&amp;web=1&amp;e=p7B6Bt"/>
    <x v="4"/>
    <n v="6364"/>
    <s v="ja"/>
    <s v="Tram"/>
    <s v="Flexity"/>
    <n v="1"/>
  </r>
  <r>
    <n v="40362"/>
    <x v="330"/>
    <s v="Kuru"/>
    <s v="Cetin"/>
    <x v="1"/>
    <x v="482"/>
    <s v=" https://delijn.sharepoint.com/:b:/r/teams/CTM-OTGentStad/Shared%20Documents/General/EAF/CSI(nieuwe%20sharepoint)%202025/11.%20November/Scan_28740_1486_001.pdf?csf=1&amp;web=1&amp;e=h2IJ5h"/>
    <x v="254"/>
    <n v="5935"/>
    <s v="ja"/>
    <s v="Bus"/>
    <s v="Standaard"/>
    <n v="3"/>
  </r>
  <r>
    <n v="42143"/>
    <x v="384"/>
    <s v="Rahoens"/>
    <s v="Christ"/>
    <x v="4"/>
    <x v="482"/>
    <s v=" https://delijn.sharepoint.com/:b:/r/teams/CTM-OTGentStad/Shared%20Documents/General/EAF/CSI(nieuwe%20sharepoint)%202025/11.%20November/Scan_28740_1487_001.pdf?csf=1&amp;web=1&amp;e=mhozH3"/>
    <x v="254"/>
    <n v="550821"/>
    <s v="ja"/>
    <s v="Bus"/>
    <s v="Gehuurd"/>
    <n v="1"/>
  </r>
  <r>
    <n v="39651"/>
    <x v="188"/>
    <s v="Kallenbach"/>
    <s v="Sunny"/>
    <x v="1"/>
    <x v="482"/>
    <s v=" https://delijn.sharepoint.com/:b:/r/teams/CTM-OTGentStad/Shared%20Documents/General/EAF/CSI(nieuwe%20sharepoint)%202025/11.%20November/SPINFR00063_PPMOGE00001_0889_001.pdf?csf=1&amp;web=1&amp;e=xDRccf"/>
    <x v="110"/>
    <n v="5263"/>
    <s v="ja"/>
    <s v="Bus"/>
    <s v="Gelede"/>
    <n v="4"/>
  </r>
  <r>
    <n v="40110"/>
    <x v="121"/>
    <s v="Vanlerberghe"/>
    <s v="Sandra"/>
    <x v="5"/>
    <x v="483"/>
    <s v=" https://delijn.sharepoint.com/:b:/r/teams/CTM-OTGentStad/Shared%20Documents/General/EAF/CSI(nieuwe%20sharepoint)%202025/11.%20November/EAF%205265%20Gent%2004112025%2040110.pdf?csf=1&amp;web=1&amp;e=Ylv2gR"/>
    <x v="255"/>
    <n v="5265"/>
    <s v="ja"/>
    <s v="Bus"/>
    <s v="Gelede"/>
    <n v="7"/>
  </r>
  <r>
    <n v="39379"/>
    <x v="160"/>
    <s v="Bensalah"/>
    <s v="Mohammed"/>
    <x v="5"/>
    <x v="484"/>
    <s v=" https://delijn.sharepoint.com/:b:/r/teams/CTM-OTGentStad/Shared%20Documents/General/EAF/CSI(nieuwe%20sharepoint)%202025/11.%20November/EAF%205933%20Gent%2005112025%2039379.pdf?csf=1&amp;web=1&amp;e=bJUzEK"/>
    <x v="256"/>
    <n v="5933"/>
    <s v="ja"/>
    <s v="Bus"/>
    <s v="Standaard"/>
    <n v="2"/>
  </r>
  <r>
    <n v="18051"/>
    <x v="343"/>
    <s v="Van Wittenberge"/>
    <s v="Filip"/>
    <x v="5"/>
    <x v="485"/>
    <s v=" https://delijn.sharepoint.com/:b:/r/teams/CTM-OTGentStad/Shared%20Documents/General/EAF/CSI(nieuwe%20sharepoint)%202025/11.%20November/EAF%205924%20Gent%2006112024%2018051.pdf?csf=1&amp;web=1&amp;e=JLd81I"/>
    <x v="14"/>
    <n v="5924"/>
    <s v="ja"/>
    <s v="Bus"/>
    <s v="Standaard"/>
    <n v="3"/>
  </r>
  <r>
    <n v="38938"/>
    <x v="28"/>
    <s v="Sedighi"/>
    <s v="Hamid"/>
    <x v="6"/>
    <x v="485"/>
    <s v=" https://delijn.sharepoint.com/:b:/r/teams/CTM-OTGentStad/Shared%20Documents/General/EAF/CSI(nieuwe%20sharepoint)%202025/11.%20November/Scan_28740_1506_001.pdf?csf=1&amp;web=1&amp;e=fpUXGo"/>
    <x v="153"/>
    <n v="6318"/>
    <s v="ja"/>
    <s v="Tram"/>
    <s v="Hermelijn"/>
    <n v="7"/>
  </r>
  <r>
    <n v="38688"/>
    <x v="129"/>
    <s v="Basgurboga"/>
    <s v="Selahattin"/>
    <x v="2"/>
    <x v="485"/>
    <s v=" https://delijn.sharepoint.com/:b:/r/teams/CTM-OTGentStad/Shared%20Documents/General/EAF/CSI(nieuwe%20sharepoint)%202025/11.%20November/EAF%205768%20Gent%2006112025%2038688.pdf?csf=1&amp;web=1&amp;e=mBnGnV"/>
    <x v="257"/>
    <n v="5768"/>
    <s v="ja"/>
    <s v="Bus"/>
    <s v="Standaard"/>
    <n v="3"/>
  </r>
  <r>
    <n v="27209"/>
    <x v="39"/>
    <s v="Meyvaert"/>
    <s v="Steven"/>
    <x v="2"/>
    <x v="486"/>
    <s v=" https://delijn.sharepoint.com/:b:/r/teams/CTM-OTGentStad/Shared%20Documents/General/EAF/CSI(nieuwe%20sharepoint)%202025/11.%20November/EAF%205922%20Gent%2007112025%2027209.pdf?csf=1&amp;web=1&amp;e=qUiFkg"/>
    <x v="2"/>
    <n v="5922"/>
    <s v="ja"/>
    <s v="Bus"/>
    <s v="Standaard"/>
    <n v="3"/>
  </r>
  <r>
    <n v="42277"/>
    <x v="385"/>
    <s v="Güler"/>
    <s v="Ender"/>
    <x v="7"/>
    <x v="486"/>
    <s v=" https://delijn.sharepoint.com/:b:/r/teams/CTM-OTGentStad/Shared%20Documents/General/EAF/CSI(nieuwe%20sharepoint)%202025/11.%20November/EAF%205484%20Gent%2007112025%2042277.pdf?csf=1&amp;web=1&amp;e=jAtBGt"/>
    <x v="56"/>
    <n v="5484"/>
    <s v="ja"/>
    <s v="Bus"/>
    <s v="Standaard"/>
    <n v="1"/>
  </r>
  <r>
    <n v="36021"/>
    <x v="346"/>
    <s v="Boelaert"/>
    <s v="Frederik"/>
    <x v="6"/>
    <x v="486"/>
    <s v=" https://delijn.sharepoint.com/:i:/r/teams/CTM-OTGentStad/Shared%20Documents/General/EAF/CSI(nieuwe%20sharepoint)%202025/11.%20November/EAF%205042%20071125.jpg?csf=1&amp;web=1&amp;e=fF5jbu"/>
    <x v="92"/>
    <n v="5042"/>
    <s v="ja"/>
    <s v="Bus"/>
    <s v="Gelede"/>
    <n v="3"/>
  </r>
  <r>
    <n v="36021"/>
    <x v="346"/>
    <s v="Boelaert"/>
    <s v="Frederik"/>
    <x v="6"/>
    <x v="486"/>
    <s v=" https://delijn.sharepoint.com/:b:/r/teams/CTM-OTGentStad/Shared%20Documents/General/EAF/CSI(nieuwe%20sharepoint)%202025/11.%20November/Scan_28740_0079_001.pdf?csf=1&amp;web=1&amp;e=MgQLHG"/>
    <x v="92"/>
    <n v="5042"/>
    <s v="ja"/>
    <s v="Bus"/>
    <s v="Gelede"/>
    <n v="3"/>
  </r>
  <r>
    <n v="39831"/>
    <x v="273"/>
    <s v="Dolgiev"/>
    <s v="Mukhamed"/>
    <x v="2"/>
    <x v="487"/>
    <s v=" https://delijn.sharepoint.com/:b:/r/teams/CTM-OTGentStad/Shared%20Documents/General/EAF/CSI(nieuwe%20sharepoint)%202025/12.%20December/EAF%205048%20Gent%2009112025%2039831.pdf?csf=1&amp;web=1&amp;e=WTW7E6"/>
    <x v="210"/>
    <n v="5048"/>
    <s v="ja"/>
    <s v="Bus"/>
    <s v="Gelede"/>
    <n v="2"/>
  </r>
  <r>
    <n v="29746"/>
    <x v="313"/>
    <s v="Huyse"/>
    <s v="Annicke"/>
    <x v="4"/>
    <x v="488"/>
    <s v=" https://delijn.sharepoint.com/:b:/r/teams/CTM-OTGentStad/Shared%20Documents/General/EAF/CSI(nieuwe%20sharepoint)%202025/11.%20November/EAF%206358%20Gent%2010112025%2029746.pdf?csf=1&amp;web=1&amp;e=6O2ceS"/>
    <x v="29"/>
    <n v="6358"/>
    <s v="Neen"/>
    <s v="Tram"/>
    <s v="Flexity"/>
    <n v="3"/>
  </r>
  <r>
    <n v="40138"/>
    <x v="227"/>
    <s v="Moerman"/>
    <s v="Tjimmy"/>
    <x v="5"/>
    <x v="489"/>
    <s v=" https://delijn.sharepoint.com/:b:/r/teams/CTM-OTGentStad/Shared%20Documents/General/EAF/CSI(nieuwe%20sharepoint)%202025/11.%20November/EAF%205045%20Gent%2011112025%2040138.pdf?csf=1&amp;web=1&amp;e=FWOah6"/>
    <x v="114"/>
    <n v="5045"/>
    <s v="Neen"/>
    <s v="Bus"/>
    <s v="Gelede"/>
    <n v="10"/>
  </r>
  <r>
    <n v="13089"/>
    <x v="386"/>
    <s v="Oosterlinck"/>
    <s v="Jan"/>
    <x v="5"/>
    <x v="490"/>
    <s v=" https://delijn.sharepoint.com/:b:/r/teams/CTM-OTGentStad/Shared%20Documents/General/EAF/CSI(nieuwe%20sharepoint)%202025/11.%20November/Scan_29076_1564_001.pdf?csf=1&amp;web=1&amp;e=dSQbGb"/>
    <x v="24"/>
    <n v="5929"/>
    <s v="Neen"/>
    <s v="Bus"/>
    <s v="Standaard"/>
    <n v="1"/>
  </r>
  <r>
    <n v="32620"/>
    <x v="99"/>
    <s v="Saey"/>
    <s v="Elias"/>
    <x v="3"/>
    <x v="490"/>
    <s v=" https://delijn.sharepoint.com/:b:/r/teams/CTM-OTGentStad/Shared%20Documents/General/EAF/CSI(nieuwe%20sharepoint)%202025/11.%20November/EAF%205047%20Gent%2012112025%2032620.pdf?csf=1&amp;web=1&amp;e=hQjsGJ"/>
    <x v="258"/>
    <n v="5047"/>
    <s v="Neen"/>
    <s v="Bus"/>
    <s v="Gelede"/>
    <n v="3"/>
  </r>
  <r>
    <n v="40403"/>
    <x v="171"/>
    <s v="Prové"/>
    <s v="Michaël"/>
    <x v="7"/>
    <x v="491"/>
    <s v=" https://delijn.sharepoint.com/:b:/r/teams/CTM-OTGentStad/Shared%20Documents/General/EAF/CSI(nieuwe%20sharepoint)%202025/11.%20November/EAF%205233%20Gent%2013112025%2040403.pdf?csf=1&amp;web=1&amp;e=4Jtbra"/>
    <x v="47"/>
    <n v="5233"/>
    <s v="ja"/>
    <s v="Bus"/>
    <s v="Gelede"/>
    <n v="3"/>
  </r>
  <r>
    <n v="42249"/>
    <x v="387"/>
    <s v="Bontinck"/>
    <s v="Stephan"/>
    <x v="1"/>
    <x v="491"/>
    <s v=" https://delijn.sharepoint.com/:b:/r/teams/CTM-OTGentStad/Shared%20Documents/General/EAF/CSI(nieuwe%20sharepoint)%202025/11.%20November/Scan_28740_1543_001.pdf?csf=1&amp;web=1&amp;e=b1Z5IP"/>
    <x v="259"/>
    <s v="-"/>
    <s v="ja"/>
    <n v="0"/>
    <s v="-"/>
    <n v="1"/>
  </r>
  <r>
    <n v="31118"/>
    <x v="290"/>
    <s v="De Sutter"/>
    <s v="Michiel"/>
    <x v="2"/>
    <x v="492"/>
    <s v=" https://delijn.sharepoint.com/:b:/r/teams/CTM-OTGentStad/Shared%20Documents/General/EAF/CSI(nieuwe%20sharepoint)%202025/11.%20November/EAF%205794%20GEnt%2014112025%2031118.pdf?csf=1&amp;web=1&amp;e=Wyppzu"/>
    <x v="260"/>
    <n v="5794"/>
    <s v="ja"/>
    <s v="Bus"/>
    <s v="Standaard"/>
    <n v="2"/>
  </r>
  <r>
    <n v="36438"/>
    <x v="231"/>
    <s v="Agil"/>
    <s v="Birol"/>
    <x v="4"/>
    <x v="492"/>
    <s v=" https://delijn.sharepoint.com/:b:/r/teams/CTM-OTGentStad/Shared%20Documents/General/EAF/CSI(nieuwe%20sharepoint)%202025/11.%20November/EAF%205969%20Gent%2036438%2014112025.pdf?csf=1&amp;web=1&amp;e=jCqcNb"/>
    <x v="175"/>
    <n v="5969"/>
    <s v="ja"/>
    <s v="Bus"/>
    <s v="Standaard"/>
    <n v="5"/>
  </r>
  <r>
    <n v="39901"/>
    <x v="388"/>
    <s v="Basha"/>
    <s v="Izmir"/>
    <x v="5"/>
    <x v="492"/>
    <s v=" https://delijn.sharepoint.com/:b:/r/teams/CTM-OTGentStad/Shared%20Documents/General/EAF/CSI(nieuwe%20sharepoint)%202025/11.%20November/EAF%205043%2014112025%2039901.pdf?csf=1&amp;web=1&amp;e=RyGRe1"/>
    <x v="94"/>
    <n v="5043"/>
    <s v="Neen"/>
    <s v="Bus"/>
    <s v="Gelede"/>
    <n v="1"/>
  </r>
  <r>
    <n v="26524"/>
    <x v="389"/>
    <s v="Bolle"/>
    <s v="Cynthia"/>
    <x v="3"/>
    <x v="492"/>
    <s v=" https://delijn.sharepoint.com/:b:/r/teams/CTM-OTGentStad/Shared%20Documents/General/EAF/CSI(nieuwe%20sharepoint)%202025/11.%20November/EAF%206362%20Gent%2014112025%2026524.pdf?csf=1&amp;web=1&amp;e=VyUCPX"/>
    <x v="1"/>
    <n v="6362"/>
    <s v="ja"/>
    <s v="Tram"/>
    <s v="Flexity"/>
    <n v="1"/>
  </r>
  <r>
    <n v="41384"/>
    <x v="320"/>
    <s v="Hillaert"/>
    <s v="Thimo"/>
    <x v="5"/>
    <x v="492"/>
    <s v=" https://delijn.sharepoint.com/:b:/r/teams/CTM-OTGentStad/Shared%20Documents/General/EAF/CSI(nieuwe%20sharepoint)%202025/11.%20November/EAF%205254%20Gent%2014112025%2041384.pdf?csf=1&amp;web=1&amp;e=HO90GD"/>
    <x v="0"/>
    <n v="5254"/>
    <s v="ja"/>
    <s v="Bus"/>
    <s v="Gelede"/>
    <n v="4"/>
  </r>
  <r>
    <n v="42145"/>
    <x v="352"/>
    <s v="Gys"/>
    <s v="Shayya"/>
    <x v="8"/>
    <x v="492"/>
    <s v=" https://delijn.sharepoint.com/:b:/r/teams/CTM-OTGentStad/Shared%20Documents/General/EAF/CSI(nieuwe%20sharepoint)%202025/11.%20November/EAF%20550310%20Gent%2014112025%20%2042145.pdf?csf=1&amp;web=1&amp;e=DIPnZ0"/>
    <x v="165"/>
    <n v="550310"/>
    <s v="ja"/>
    <s v="Bus"/>
    <s v="Gehuurd"/>
    <n v="2"/>
  </r>
  <r>
    <n v="38807"/>
    <x v="101"/>
    <s v="Dossche"/>
    <s v="Caroline"/>
    <x v="5"/>
    <x v="493"/>
    <s v=" https://delijn.sharepoint.com/:b:/r/teams/CTM-OTGentStad/Shared%20Documents/General/EAF/CSI(nieuwe%20sharepoint)%202025/11.%20November/EAF%2015112025%20Gent%2038807.pdf?csf=1&amp;web=1&amp;e=bAfqOk"/>
    <x v="75"/>
    <n v="550822"/>
    <s v="ja"/>
    <s v="Bus"/>
    <s v="Gehuurd"/>
    <n v="4"/>
  </r>
  <r>
    <n v="36505"/>
    <x v="390"/>
    <s v="De Lange"/>
    <s v="Ruben"/>
    <x v="1"/>
    <x v="493"/>
    <s v=" https://delijn.sharepoint.com/:b:/r/teams/CTM-OTGentStad/Shared%20Documents/General/EAF/CSI(nieuwe%20sharepoint)%202025/11.%20November/Scan_28740_1567_001.pdf?csf=1&amp;web=1&amp;e=hlZTkb"/>
    <x v="93"/>
    <n v="6359"/>
    <s v="ja"/>
    <s v="Tram"/>
    <s v="Flexity"/>
    <n v="1"/>
  </r>
  <r>
    <n v="36426"/>
    <x v="249"/>
    <s v="Mohamed Yassin"/>
    <s v="Abdulhamid"/>
    <x v="4"/>
    <x v="494"/>
    <s v=" https://delijn.sharepoint.com/:b:/r/teams/CTM-OTGentStad/Shared%20Documents/General/EAF/CSI(nieuwe%20sharepoint)%202025/11.%20November/EAF%205790%20Braemkasteelstraat%20Gentbrugge%2017112025%20-%2036426.pdf?csf=1&amp;web=1&amp;e=PJRUGf"/>
    <x v="261"/>
    <n v="5790"/>
    <s v="ja"/>
    <s v="Bus"/>
    <s v="Standaard"/>
    <n v="3"/>
  </r>
  <r>
    <n v="25733"/>
    <x v="296"/>
    <s v="Simsek"/>
    <s v="Abdullah"/>
    <x v="3"/>
    <x v="495"/>
    <s v=" https://delijn.sharepoint.com/:b:/r/teams/CTM-OTGentStad/Shared%20Documents/General/EAF/CSI(nieuwe%20sharepoint)%202025/11.%20November/EAF%206365%20Gent%2018112025%2025733.pdf?csf=1&amp;web=1&amp;e=UDfy0P"/>
    <x v="79"/>
    <n v="6365"/>
    <s v="ja"/>
    <s v="Tram"/>
    <s v="Flexity"/>
    <n v="2"/>
  </r>
  <r>
    <n v="38529"/>
    <x v="37"/>
    <s v="Huyghe"/>
    <s v="Jan"/>
    <x v="2"/>
    <x v="495"/>
    <s v=" https://delijn.sharepoint.com/:b:/r/teams/CTM-OTGentStad/Shared%20Documents/General/EAF/CSI(nieuwe%20sharepoint)%202025/11.%20November/EAF5932%2018112025%20Gent%2038529.pdf?csf=1&amp;web=1&amp;e=qHXt5b"/>
    <x v="9"/>
    <n v="5932"/>
    <s v="Neen"/>
    <s v="Bus"/>
    <s v="Standaard"/>
    <n v="5"/>
  </r>
  <r>
    <n v="42218"/>
    <x v="391"/>
    <s v="Özer"/>
    <s v="Metehan"/>
    <x v="2"/>
    <x v="495"/>
    <s v=" https://delijn.sharepoint.com/:b:/r/teams/CTM-OTGentStad/Shared%20Documents/General/EAF/CSI(nieuwe%20sharepoint)%202025/11.%20November/EAF%205936%20GEnt%2018112025%2042218.pdf?csf=1&amp;web=1&amp;e=CGh1Of"/>
    <x v="67"/>
    <n v="5936"/>
    <s v="ja"/>
    <s v="Bus"/>
    <s v="Standaard"/>
    <n v="1"/>
  </r>
  <r>
    <n v="8918"/>
    <x v="392"/>
    <s v="De Graeve"/>
    <s v="Marc"/>
    <x v="1"/>
    <x v="495"/>
    <s v=" https://delijn.sharepoint.com/:b:/r/teams/CTM-OTGentStad/Shared%20Documents/General/EAF/CSI(nieuwe%20sharepoint)%202025/11.%20November/Scan_28740_1620_001.pdf?csf=1&amp;web=1&amp;e=5pTCjw"/>
    <x v="262"/>
    <n v="5273"/>
    <s v="ja"/>
    <s v="Bus"/>
    <s v="Gelede"/>
    <n v="1"/>
  </r>
  <r>
    <n v="33400"/>
    <x v="91"/>
    <s v="Petit"/>
    <s v="Cynthia"/>
    <x v="5"/>
    <x v="496"/>
    <s v=" https://delijn.sharepoint.com/:b:/r/teams/CTM-OTGentStad/Shared%20Documents/General/EAF/CSI(nieuwe%20sharepoint)%202025/11.%20November/EAF%206368%20GEnt%2019112025%2033400.pdf?csf=1&amp;web=1&amp;e=oI8Fxu"/>
    <x v="131"/>
    <n v="6368"/>
    <s v="Neen"/>
    <s v="Tram"/>
    <s v="Flexity"/>
    <n v="3"/>
  </r>
  <r>
    <n v="42336"/>
    <x v="393"/>
    <s v="Camgöz"/>
    <s v="Furkan"/>
    <x v="6"/>
    <x v="497"/>
    <s v=" https://delijn.sharepoint.com/:b:/r/teams/CTM-OTGentStad/Shared%20Documents/General/EAF/CSI(nieuwe%20sharepoint)%202025/11.%20November/EAF%205912%20Gent%2020112025%2042336.pdf?csf=1&amp;web=1&amp;e=9dkXVa"/>
    <x v="86"/>
    <n v="5912"/>
    <s v="ja"/>
    <s v="Bus"/>
    <s v="Standaard"/>
    <n v="1"/>
  </r>
  <r>
    <n v="39558"/>
    <x v="71"/>
    <s v="De Groote"/>
    <s v="Cedric"/>
    <x v="8"/>
    <x v="497"/>
    <s v=" https://delijn.sharepoint.com/:b:/r/teams/CTM-OTGentStad/Shared%20Documents/General/EAF/CSI(nieuwe%20sharepoint)%202025/11.%20November/EAF%2020112025%205047%20Gent%20Cedric%20De%20Groote%2039558.pdf?csf=1&amp;web=1&amp;e=N2zzhz"/>
    <x v="53"/>
    <n v="5047"/>
    <s v="ja"/>
    <s v="Bus"/>
    <s v="Gelede"/>
    <n v="2"/>
  </r>
  <r>
    <n v="27865"/>
    <x v="394"/>
    <s v="Olenski"/>
    <s v="Leonard"/>
    <x v="2"/>
    <x v="498"/>
    <s v=" https://delijn.sharepoint.com/:b:/r/teams/CTM-OTGentStad/Shared%20Documents/General/EAF/CSI(nieuwe%20sharepoint)%202025/11.%20November/EAF%206353%20Gent%2021112025.pdf?csf=1&amp;web=1&amp;e=EaW7FH"/>
    <x v="2"/>
    <n v="6353"/>
    <s v="ja"/>
    <s v="Tram"/>
    <s v="Flexity"/>
    <n v="1"/>
  </r>
  <r>
    <n v="42252"/>
    <x v="365"/>
    <s v="Sular"/>
    <s v="Abdullah"/>
    <x v="5"/>
    <x v="498"/>
    <s v=" https://delijn.sharepoint.com/:b:/r/teams/CTM-OTGentStad/Shared%20Documents/General/EAF/CSI(nieuwe%20sharepoint)%202025/11.%20November/EAF%20104023%20Gent%2021112025.pdf?csf=1&amp;web=1&amp;e=MPWelv"/>
    <x v="263"/>
    <n v="104023"/>
    <s v="Neen"/>
    <s v="Bus"/>
    <s v="Gehuurd"/>
    <n v="5"/>
  </r>
  <r>
    <n v="39184"/>
    <x v="57"/>
    <s v="Shinwari"/>
    <s v="Yasin"/>
    <x v="5"/>
    <x v="499"/>
    <s v=" https://delijn.sharepoint.com/:b:/r/teams/CTM-OTGentStad/Shared%20Documents/General/EAF/CSI(nieuwe%20sharepoint)%202025/11.%20November/EAF%206359%20Gent%2022112025%2039184.pdf?csf=1&amp;web=1&amp;e=hfckkl"/>
    <x v="7"/>
    <n v="6359"/>
    <s v="ja"/>
    <s v="Tram"/>
    <s v="Flexity"/>
    <n v="3"/>
  </r>
  <r>
    <n v="12124"/>
    <x v="92"/>
    <s v="Van Vliet"/>
    <s v="Tom"/>
    <x v="8"/>
    <x v="500"/>
    <s v=" https://delijn.sharepoint.com/:b:/r/teams/CTM-OTGentStad/Shared%20Documents/General/EAF/CSI(nieuwe%20sharepoint)%202025/11.%20November/EAF%206366%20Gent%2023112025.pdf?csf=1&amp;web=1&amp;e=cvlkvp"/>
    <x v="131"/>
    <n v="6366"/>
    <s v="Neen"/>
    <s v="Tram"/>
    <s v="Flexity"/>
    <n v="5"/>
  </r>
  <r>
    <n v="36627"/>
    <x v="18"/>
    <s v="Dobbelaere"/>
    <s v="David"/>
    <x v="2"/>
    <x v="500"/>
    <s v=" https://delijn.sharepoint.com/:b:/r/teams/CTM-OTGentStad/Shared%20Documents/General/EAF/CSI(nieuwe%20sharepoint)%202025/11.%20November/EAF%205260%20Gent%2023112025%2036627.pdf?csf=1&amp;web=1&amp;e=f6EI9o"/>
    <x v="254"/>
    <n v="5260"/>
    <s v="ja"/>
    <s v="Bus"/>
    <s v="Gelede"/>
    <n v="5"/>
  </r>
  <r>
    <n v="41482"/>
    <x v="317"/>
    <s v="Özdemir"/>
    <s v="Osman"/>
    <x v="4"/>
    <x v="501"/>
    <s v=" https://delijn.sharepoint.com/:b:/r/teams/CTM-OTGentStad/Shared%20Documents/General/EAF/CSI(nieuwe%20sharepoint)%202025/11.%20November/EAF%205054%20Gent%2024112025.pdf?csf=1&amp;web=1&amp;e=kjbsfg"/>
    <x v="24"/>
    <n v="5054"/>
    <s v="Neen"/>
    <s v="Bus"/>
    <s v="Gelede"/>
    <n v="3"/>
  </r>
  <r>
    <n v="42307"/>
    <x v="0"/>
    <e v="#N/A"/>
    <e v="#N/A"/>
    <x v="0"/>
    <x v="502"/>
    <s v=" https://delijn.sharepoint.com/:b:/r/teams/CTM-OTGentStad/Shared%20Documents/General/EAF/CSI(nieuwe%20sharepoint)%202025/11.%20November/EAF%205934%20Gent%2025112025%2042307.pdf?csf=1&amp;web=1&amp;e=YmWolc"/>
    <x v="264"/>
    <n v="5934"/>
    <s v="ja"/>
    <s v="Bus"/>
    <s v="Standaard"/>
    <n v="3"/>
  </r>
  <r>
    <n v="25486"/>
    <x v="395"/>
    <s v="Goethals"/>
    <s v="Bart"/>
    <x v="5"/>
    <x v="503"/>
    <s v="https://delijn.sharepoint.com/:b:/r/teams/CTM-OTGentStad/Shared%20Documents/General/EAF/CSI(nieuwe%20sharepoint)%202025/11.%20November/EAF%205927%20Gent%2027112025%2025486.pdf?csf=1&amp;web=1&amp;e=TuRPNT"/>
    <x v="124"/>
    <n v="5927"/>
    <s v="ja"/>
    <s v="Bus"/>
    <s v="Standaard"/>
    <n v="1"/>
  </r>
  <r>
    <n v="36635"/>
    <x v="46"/>
    <s v="Fadel"/>
    <s v="Husam"/>
    <x v="1"/>
    <x v="503"/>
    <s v=" https://delijn.sharepoint.com/:b:/r/teams/CTM-OTGentStad/Shared%20Documents/General/EAF/CSI(nieuwe%20sharepoint)%202025/11.%20November/Scan_28740_1651_001.pdf?csf=1&amp;web=1&amp;e=K9k3hG"/>
    <x v="35"/>
    <n v="5770"/>
    <s v="ja"/>
    <s v="Bus"/>
    <s v="Standaard"/>
    <n v="4"/>
  </r>
  <r>
    <n v="36627"/>
    <x v="18"/>
    <s v="Dobbelaere"/>
    <s v="David"/>
    <x v="2"/>
    <x v="503"/>
    <s v=" https://delijn.sharepoint.com/:b:/r/teams/CTM-OTGentStad/Shared%20Documents/General/EAF/CSI(nieuwe%20sharepoint)%202025/11.%20November/EAF%205229%20Gent%2027112025%2036627.pdf?csf=1&amp;web=1&amp;e=umJyuC"/>
    <x v="11"/>
    <n v="5229"/>
    <s v="Neen"/>
    <s v="Bus"/>
    <s v="Gelede"/>
    <n v="5"/>
  </r>
  <r>
    <n v="29478"/>
    <x v="145"/>
    <s v="Priwall"/>
    <s v="Heike"/>
    <x v="2"/>
    <x v="503"/>
    <s v=" https://delijn.sharepoint.com/:b:/r/teams/CTM-OTGentStad/Shared%20Documents/General/EAF/CSI(nieuwe%20sharepoint)%202025/11.%20November/Scan_29076_1659_001.pdf?csf=1&amp;web=1&amp;e=JArvTg"/>
    <x v="32"/>
    <n v="550310"/>
    <s v="ja"/>
    <s v="Bus"/>
    <s v="Gehuurd"/>
    <n v="3"/>
  </r>
  <r>
    <n v="26695"/>
    <x v="326"/>
    <s v="Lippens"/>
    <s v="Miguel"/>
    <x v="5"/>
    <x v="504"/>
    <s v=" https://delijn.sharepoint.com/:b:/r/teams/CTM-OTGentStad/Shared%20Documents/General/EAF/CSI(nieuwe%20sharepoint)%202025/11.%20November/EAF%205774%20Gent%2028112025%2026695.pdf?csf=1&amp;web=1&amp;e=eV6xgZ"/>
    <x v="67"/>
    <n v="5774"/>
    <s v="Neen"/>
    <s v="Bus"/>
    <s v="Standaard"/>
    <n v="2"/>
  </r>
  <r>
    <n v="36336"/>
    <x v="396"/>
    <s v="Haenebalcke"/>
    <s v="Peter"/>
    <x v="6"/>
    <x v="504"/>
    <s v=" https://delijn.sharepoint.com/:b:/r/teams/CTM-OTGentStad/Shared%20Documents/General/EAF/CSI(nieuwe%20sharepoint)%202025/11.%20November/EAF%205052%20Gent%2028112025%2036336.pdf?csf=1&amp;web=1&amp;e=UrUPa2"/>
    <x v="2"/>
    <n v="5052"/>
    <s v="ja"/>
    <s v="Bus"/>
    <s v="Gelede"/>
    <n v="1"/>
  </r>
  <r>
    <n v="12124"/>
    <x v="92"/>
    <s v="Van Vliet"/>
    <s v="Tom"/>
    <x v="8"/>
    <x v="505"/>
    <s v=" https://delijn.sharepoint.com/:b:/r/teams/CTM-OTGentStad/Shared%20Documents/General/EAF/CSI(nieuwe%20sharepoint)%202025/11.%20November/EAF%206369%20Gent%2029112025%20-%2012124.pdf?csf=1&amp;web=1&amp;e=2dzu9F"/>
    <x v="265"/>
    <n v="6369"/>
    <s v="ja"/>
    <s v="Tram"/>
    <s v="Flexity"/>
    <n v="5"/>
  </r>
  <r>
    <n v="42002"/>
    <x v="342"/>
    <s v="Bogaert"/>
    <s v="Kevin"/>
    <x v="3"/>
    <x v="505"/>
    <s v=" https://delijn.sharepoint.com/:b:/r/teams/CTM-OTGentStad/Shared%20Documents/General/EAF/CSI(nieuwe%20sharepoint)%202025/11.%20November/EAF%205911%20Gent%2029112025%2042002.pdf?csf=1&amp;web=1&amp;e=Wul8Hf"/>
    <x v="32"/>
    <n v="5911"/>
    <s v="ja"/>
    <s v="Bus"/>
    <s v="Standaard"/>
    <n v="3"/>
  </r>
  <r>
    <n v="17954"/>
    <x v="397"/>
    <s v="Vanlerberghe"/>
    <s v="Rudy"/>
    <x v="6"/>
    <x v="506"/>
    <s v=" https://delijn.sharepoint.com/:b:/r/teams/CTM-OTGentStad/Shared%20Documents/General/EAF/CSI(nieuwe%20sharepoint)%202025/12.%20December/EAF%206314%20Gent%2001122025%2017954.pdf?csf=1&amp;web=1&amp;e=SJVaiT"/>
    <x v="56"/>
    <n v="6314"/>
    <s v="ja"/>
    <s v="Tram"/>
    <s v="Hermelijn"/>
    <n v="1"/>
  </r>
  <r>
    <n v="33049"/>
    <x v="398"/>
    <s v="Depaepe"/>
    <s v="Dirk"/>
    <x v="1"/>
    <x v="506"/>
    <s v=" https://delijn.sharepoint.com/:b:/r/teams/CTM-OTGentStad/Shared%20Documents/General/EAF/CSI(nieuwe%20sharepoint)%202025/12.%20December/Scan_28740_1692_001.pdf?csf=1&amp;web=1&amp;e=0Kslsh"/>
    <x v="56"/>
    <n v="6326"/>
    <s v="ja"/>
    <s v="Tram"/>
    <s v="Hermelijn"/>
    <n v="1"/>
  </r>
  <r>
    <n v="32245"/>
    <x v="300"/>
    <s v="Verlinden"/>
    <s v="Bianca"/>
    <x v="3"/>
    <x v="506"/>
    <s v="https://delijn.sharepoint.com/:b:/r/teams/CTM-OTGentStad/Shared%20Documents/General/EAF/CSI(nieuwe%20sharepoint)%202025/12.%20December/EAF%205221%20Dampoort%20Gent%2001122025%20-%2032245.pdf?csf=1&amp;web=1&amp;e=XIqsWL"/>
    <x v="26"/>
    <n v="5221"/>
    <s v="Neen"/>
    <s v="Bus"/>
    <s v="Gelede"/>
    <n v="2"/>
  </r>
  <r>
    <n v="23924"/>
    <x v="399"/>
    <s v="Planckaert"/>
    <s v="Jurgen"/>
    <x v="5"/>
    <x v="507"/>
    <s v=" https://delijn.sharepoint.com/:b:/r/teams/CTM-OTGentStad/Shared%20Documents/General/EAF/CSI(nieuwe%20sharepoint)%202025/12.%20December/EAF%206309%20Gent%2003122025%2023924.pdf?csf=1&amp;web=1&amp;e=WlNTOU"/>
    <x v="266"/>
    <n v="6309"/>
    <s v="Neen"/>
    <s v="Tram"/>
    <s v="Hermelijn"/>
    <n v="1"/>
  </r>
  <r>
    <n v="16280"/>
    <x v="400"/>
    <s v="Bouckhout"/>
    <s v="Ingeborg"/>
    <x v="6"/>
    <x v="507"/>
    <s v=" https://delijn.sharepoint.com/:b:/r/teams/CTM-OTGentStad/Shared%20Documents/General/EAF/CSI(nieuwe%20sharepoint)%202025/12.%20December/EAF%206320%20Gent%2003122025%2016280.pdf?csf=1&amp;web=1&amp;e=QEqXPX"/>
    <x v="267"/>
    <n v="6320"/>
    <s v="ja"/>
    <s v="Tram"/>
    <s v="Hermelijn"/>
    <n v="1"/>
  </r>
  <r>
    <n v="15320"/>
    <x v="81"/>
    <s v="Vandenberghe"/>
    <s v="Filip"/>
    <x v="3"/>
    <x v="507"/>
    <s v=" https://delijn.sharepoint.com/:b:/r/teams/CTM-OTGentStad/Shared%20Documents/General/EAF/CSI(nieuwe%20sharepoint)%202025/12.%20December/EAF%205039%20Brugsepoort%20Gent%2003122025%20-%2015320.pdf?csf=1&amp;web=1&amp;e=a8NNas"/>
    <x v="3"/>
    <n v="5039"/>
    <s v="ja"/>
    <s v="Bus"/>
    <s v="Gelede"/>
    <n v="2"/>
  </r>
  <r>
    <n v="38580"/>
    <x v="289"/>
    <s v="Smajla"/>
    <s v="Samet"/>
    <x v="2"/>
    <x v="508"/>
    <s v=" https://delijn.sharepoint.com/:b:/r/teams/CTM-OTGentStad/Shared%20Documents/General/EAF/CSI(nieuwe%20sharepoint)%202025/12.%20December/EAF%204952%20De%20Guchteneerestraat%20Gentbrugge%2004122025%20-%2038580.pdf?csf=1&amp;web=1&amp;e=GJ8dfe"/>
    <x v="144"/>
    <n v="4952"/>
    <s v="ja"/>
    <s v="Bus"/>
    <s v="Gelede"/>
    <n v="2"/>
  </r>
  <r>
    <n v="39183"/>
    <x v="6"/>
    <s v="Al Masri"/>
    <s v="Anas"/>
    <x v="5"/>
    <x v="508"/>
    <s v=" https://delijn.sharepoint.com/:b:/r/teams/CTM-OTGentStad/Shared%20Documents/General/EAF/CSI(nieuwe%20sharepoint)%202025/12.%20December/EAF%202193%20Gent%2004122025%2039183.pdf?csf=1&amp;web=1&amp;e=A7VIEW"/>
    <x v="268"/>
    <n v="2193"/>
    <s v="ja"/>
    <s v="Bus"/>
    <s v="Gelede"/>
    <n v="5"/>
  </r>
  <r>
    <n v="31891"/>
    <x v="401"/>
    <s v="De Wilde"/>
    <s v="Dimitry"/>
    <x v="4"/>
    <x v="508"/>
    <s v=" https://delijn.sharepoint.com/:b:/r/teams/CTM-OTGentStad/Shared%20Documents/General/EAF/CSI(nieuwe%20sharepoint)%202025/12.%20December/EAF%206314%20Gent%2004122025%2031891.pdf?csf=1&amp;web=1&amp;e=38ykWK"/>
    <x v="56"/>
    <n v="6314"/>
    <s v="ja"/>
    <s v="Tram"/>
    <s v="Hermelijn"/>
    <n v="1"/>
  </r>
  <r>
    <n v="28070"/>
    <x v="402"/>
    <s v="De Baets"/>
    <s v="Christian"/>
    <x v="9"/>
    <x v="508"/>
    <s v=" https://delijn.sharepoint.com/:b:/r/teams/CTM-OTGentStad/Shared%20Documents/General/EAF/CSI(nieuwe%20sharepoint)%202025/12.%20December/EAF%206337%20Gent%2004122025.pdf?csf=1&amp;web=1&amp;e=rUzMid"/>
    <x v="269"/>
    <n v="6337"/>
    <s v="ja"/>
    <s v="Tram"/>
    <s v="Hermelijn"/>
    <n v="1"/>
  </r>
  <r>
    <n v="36438"/>
    <x v="231"/>
    <s v="Agil"/>
    <s v="Birol"/>
    <x v="4"/>
    <x v="509"/>
    <s v=" https://delijn.sharepoint.com/:b:/r/teams/CTM-OTGentStad/Shared%20Documents/General/EAF/CSI(nieuwe%20sharepoint)%202025/12.%20December/EAF%205273%20Boer%20Janssensstraat%20Gentbrugge%2005122025%20-%2036438.pdf?csf=1&amp;web=1&amp;e=SroQWe"/>
    <x v="109"/>
    <n v="5273"/>
    <s v="ja"/>
    <s v="Bus"/>
    <s v="Gelede"/>
    <n v="5"/>
  </r>
  <r>
    <n v="36438"/>
    <x v="231"/>
    <s v="Agil"/>
    <s v="Birol"/>
    <x v="4"/>
    <x v="510"/>
    <s v=" https://delijn.sharepoint.com/:b:/r/teams/CTM-OTGentStad/Shared%20Documents/General/EAF/CSI(nieuwe%20sharepoint)%202025/12.%20December/EAF%206320%20Gent%2006122025%2036438.pdf?csf=1&amp;web=1&amp;e=rdfKpN"/>
    <x v="74"/>
    <n v="6320"/>
    <s v="ja"/>
    <s v="Tram"/>
    <s v="Hermelijn"/>
    <n v="5"/>
  </r>
  <r>
    <n v="38013"/>
    <x v="30"/>
    <s v="Mine"/>
    <s v="Akin"/>
    <x v="6"/>
    <x v="510"/>
    <s v=" https://delijn.sharepoint.com/:b:/r/teams/CTM-OTGentStad/Shared%20Documents/General/EAF/CSI(nieuwe%20sharepoint)%202025/12.%20December/EAF%202193%20Gent%2006122025.pdf?csf=1&amp;web=1&amp;e=pGKbsJ"/>
    <x v="270"/>
    <n v="2193"/>
    <s v="ja"/>
    <s v="Bus"/>
    <s v="Gelede"/>
    <n v="2"/>
  </r>
  <r>
    <n v="37662"/>
    <x v="175"/>
    <s v="Van den Meerssche"/>
    <s v="Steven"/>
    <x v="4"/>
    <x v="511"/>
    <s v=" https://delijn.sharepoint.com/:b:/r/teams/CTM-OTGentStad/Shared%20Documents/General/EAF/CSI(nieuwe%20sharepoint)%202025/12.%20December/EAF%205936%2007122025%20Gent%2037662.pdf?csf=1&amp;web=1&amp;e=0VF5bY"/>
    <x v="124"/>
    <n v="5936"/>
    <s v="ja"/>
    <s v="Bus"/>
    <s v="Standaard"/>
    <n v="9"/>
  </r>
  <r>
    <n v="40652"/>
    <x v="207"/>
    <s v="Van Damme"/>
    <s v="Gilyann"/>
    <x v="3"/>
    <x v="512"/>
    <s v="https://delijn.sharepoint.com/:b:/r/teams/CTM-OTGentStad/Shared%20Documents/General/EAF/CSI(nieuwe%20sharepoint)%202025/12.%20December/EAF%205487%20Dendermondsesteenweg%20Gent%2008122025%20-%2040652.pdf?csf=1&amp;web=1&amp;e=66e3bX"/>
    <x v="9"/>
    <n v="5487"/>
    <s v="ja"/>
    <s v="Bus"/>
    <s v="Standaard"/>
    <n v="8"/>
  </r>
  <r>
    <n v="42022"/>
    <x v="403"/>
    <s v="Safi"/>
    <s v="Amrullah"/>
    <x v="3"/>
    <x v="512"/>
    <s v=" https://delijn.sharepoint.com/:b:/r/teams/CTM-OTGentStad/Shared%20Documents/General/EAF/CSI(nieuwe%20sharepoint)%202025/12.%20December/EAF%205935%20Gent%2008122025.pdf?csf=1&amp;web=1&amp;e=td5jcS"/>
    <x v="206"/>
    <n v="5935"/>
    <s v="Neen"/>
    <s v="Bus"/>
    <s v="Standaard"/>
    <n v="1"/>
  </r>
  <r>
    <n v="29477"/>
    <x v="238"/>
    <s v="De Vuyst"/>
    <s v="Boyke"/>
    <x v="6"/>
    <x v="512"/>
    <s v=" https://delijn.sharepoint.com/:b:/r/teams/CTM-OTGentStad/Shared%20Documents/General/EAF/CSI(nieuwe%20sharepoint)%202025/12.%20December/EAF%205489%20Gent%2008122025%2029477.pdf?csf=1&amp;web=1&amp;e=ExM92y"/>
    <x v="8"/>
    <n v="5489"/>
    <s v="ja"/>
    <s v="Bus"/>
    <s v="Standaard"/>
    <n v="2"/>
  </r>
  <r>
    <n v="32611"/>
    <x v="288"/>
    <s v="Özer"/>
    <s v="Özgur"/>
    <x v="1"/>
    <x v="513"/>
    <s v="https://delijn.sharepoint.com/:b:/r/teams/CTM-OTGentStad/Shared%20Documents/General/EAF/CSI(nieuwe%20sharepoint)%202025/12.%20December/EAF%205054%2009122025%20Gent%2032611.pdf?csf=1&amp;web=1&amp;e=rLUCEf"/>
    <x v="35"/>
    <n v="5054"/>
    <s v="ja"/>
    <s v="Bus"/>
    <s v="Gelede"/>
    <n v="3"/>
  </r>
  <r>
    <n v="34445"/>
    <x v="21"/>
    <s v="Wulleput"/>
    <s v="Illya"/>
    <x v="7"/>
    <x v="513"/>
    <s v=" https://delijn.sharepoint.com/:b:/r/teams/CTM-OTGentStad/Shared%20Documents/General/EAF/CSI(nieuwe%20sharepoint)%202025/12.%20December/EAF%205229%20Gent%2009122025%2034445.pdf?csf=1&amp;web=1&amp;e=JDDDkU"/>
    <x v="32"/>
    <n v="5229"/>
    <s v="Neen"/>
    <s v="Bus"/>
    <s v="Gelede"/>
    <n v="6"/>
  </r>
  <r>
    <n v="41918"/>
    <x v="363"/>
    <s v="Babai"/>
    <s v="Saber"/>
    <x v="5"/>
    <x v="513"/>
    <s v=" https://delijn.sharepoint.com/:b:/r/teams/CTM-OTGentStad/Shared%20Documents/General/EAF/CSI(nieuwe%20sharepoint)%202025/12.%20December/EAF%202546%2009122025%20Gent%2041918.pdf?csf=1&amp;web=1&amp;e=IKXhet"/>
    <x v="86"/>
    <n v="2546"/>
    <s v="ja"/>
    <s v="Bus"/>
    <s v="E-bus"/>
    <n v="2"/>
  </r>
  <r>
    <n v="26521"/>
    <x v="404"/>
    <s v="Siderov"/>
    <s v="Miroslav"/>
    <x v="3"/>
    <x v="513"/>
    <s v=" https://delijn.sharepoint.com/:b:/r/teams/CTM-OTGentStad/Shared%20Documents/General/EAF/CSI(nieuwe%20sharepoint)%202025/12.%20December/EAF%206340%2009122025%20Gent%2026521.pdf?csf=1&amp;web=1&amp;e=LrTjYo"/>
    <x v="162"/>
    <n v="6340"/>
    <s v="Neen"/>
    <s v="Tram"/>
    <s v="Hermelijn"/>
    <n v="1"/>
  </r>
  <r>
    <n v="38481"/>
    <x v="96"/>
    <s v="Sari"/>
    <s v="Devrim"/>
    <x v="1"/>
    <x v="514"/>
    <s v=" https://delijn.sharepoint.com/:b:/r/teams/CTM-OTGentStad/Shared%20Documents/General/EAF/CSI(nieuwe%20sharepoint)%202025/12.%20December/EAF%202192%20Gent%2011122025%2038481.pdf?csf=1&amp;web=1&amp;e=euJseV"/>
    <x v="70"/>
    <n v="2192"/>
    <s v="ja"/>
    <s v="Bus"/>
    <s v="Gelede"/>
    <n v="4"/>
  </r>
  <r>
    <n v="31731"/>
    <x v="23"/>
    <s v="Dedapper"/>
    <s v="Marijke"/>
    <x v="3"/>
    <x v="515"/>
    <s v=" https://delijn.sharepoint.com/:b:/r/teams/CTM-OTGentStad/Shared%20Documents/General/EAF/CSI(nieuwe%20sharepoint)%202025/12.%20December/EAF%206308%20Albertbrug%20Gent%2012122025%20-%2031731.pdf?csf=1&amp;web=1&amp;e=SuC1Yj"/>
    <x v="233"/>
    <n v="6308"/>
    <s v="Neen"/>
    <s v="Tram"/>
    <s v="Hermelijn"/>
    <n v="3"/>
  </r>
  <r>
    <n v="22767"/>
    <x v="237"/>
    <s v="Osseel"/>
    <s v="Johan"/>
    <x v="7"/>
    <x v="516"/>
    <s v=" https://delijn.sharepoint.com/:b:/r/teams/CTM-OTGentStad/Shared%20Documents/General/EAF/CSI(nieuwe%20sharepoint)%202025/12.%20December/EAF%206359%20Gent%2013122025%2022767.pdf?csf=1&amp;web=1&amp;e=qJzLV9"/>
    <x v="113"/>
    <n v="6359"/>
    <s v="ja"/>
    <s v="Tram"/>
    <s v="Flexity"/>
    <n v="2"/>
  </r>
  <r>
    <n v="36428"/>
    <x v="173"/>
    <s v="Abdi Shaiye"/>
    <s v="Rashid"/>
    <x v="6"/>
    <x v="517"/>
    <s v=" https://delijn.sharepoint.com/:b:/r/teams/CTM-OTGentStad/Shared%20Documents/General/EAF/CSI(nieuwe%20sharepoint)%202025/12.%20December/EAF%205221%20Gent%2014122025%2036428.pdf?csf=1&amp;web=1&amp;e=uGdKIh"/>
    <x v="42"/>
    <n v="5221"/>
    <s v="ja"/>
    <s v="Bus"/>
    <s v="Gelede"/>
    <n v="6"/>
  </r>
  <r>
    <n v="41685"/>
    <x v="405"/>
    <s v="Zjarmi"/>
    <s v="Hylgis"/>
    <x v="1"/>
    <x v="518"/>
    <s v=" https://delijn.sharepoint.com/:b:/r/teams/CTM-OTGentStad/Shared%20Documents/General/EAF/CSI(nieuwe%20sharepoint)%202025/12.%20December/EAF%205043%20Gent%2015122025%2041685.pdf?csf=1&amp;web=1&amp;e=JV4BrS"/>
    <x v="114"/>
    <n v="5043"/>
    <s v="Neen"/>
    <s v="Bus"/>
    <s v="Gelede"/>
    <n v="2"/>
  </r>
  <r>
    <n v="40278"/>
    <x v="213"/>
    <s v="Ates"/>
    <s v="Firat"/>
    <x v="5"/>
    <x v="518"/>
    <s v=" https://delijn.sharepoint.com/:b:/r/teams/CTM-OTGentStad/Shared%20Documents/General/EAF/CSI(nieuwe%20sharepoint)%202025/12.%20December/EAF%205040%20Gent%2015122025%2040278.pdf?csf=1&amp;web=1&amp;e=Jil7FG"/>
    <x v="42"/>
    <n v="5040"/>
    <s v="Neen"/>
    <s v="Bus"/>
    <s v="Gelede"/>
    <n v="5"/>
  </r>
  <r>
    <n v="41092"/>
    <x v="229"/>
    <s v="De Keyser"/>
    <s v="Dorien"/>
    <x v="7"/>
    <x v="518"/>
    <s v=" https://delijn.sharepoint.com/:b:/r/teams/CTM-OTGentStad/Shared%20Documents/General/EAF/CSI(nieuwe%20sharepoint)%202025/12.%20December/EAF%205763%20Gent%2015122025%2041092.pdf?csf=1&amp;web=1&amp;e=oC08H2"/>
    <x v="271"/>
    <n v="5763"/>
    <s v="Neen"/>
    <s v="Bus"/>
    <s v="Standaard"/>
    <n v="9"/>
  </r>
  <r>
    <n v="41948"/>
    <x v="364"/>
    <s v="Vervaecke"/>
    <s v="Wim"/>
    <x v="2"/>
    <x v="518"/>
    <s v=" https://delijn.sharepoint.com/:f:/r/teams/CTM-OTGentStad/Shared%20Documents/General/EAF/CSI(nieuwe%20sharepoint)%202025/12.%20December?csf=1&amp;web=1&amp;e=JoSoFd"/>
    <x v="34"/>
    <n v="5240"/>
    <s v="ja"/>
    <s v="Bus"/>
    <s v="Gelede"/>
    <n v="3"/>
  </r>
  <r>
    <n v="40294"/>
    <x v="235"/>
    <s v="Khder"/>
    <s v="Aram"/>
    <x v="5"/>
    <x v="519"/>
    <s v=" https://delijn.sharepoint.com/:b:/r/teams/CTM-OTGentStad/Shared%20Documents/General/EAF/CSI(nieuwe%20sharepoint)%202025/12.%20December/EAF%205260%20Gent%2016122025%2040294.pdf?csf=1&amp;web=1&amp;e=hyBlRD"/>
    <x v="56"/>
    <n v="5260"/>
    <s v="Neen"/>
    <s v="Bus"/>
    <s v="Gelede"/>
    <n v="2"/>
  </r>
  <r>
    <n v="36543"/>
    <x v="406"/>
    <s v="Babaian"/>
    <s v="Sammy"/>
    <x v="6"/>
    <x v="519"/>
    <s v=" https://delijn.sharepoint.com/:b:/r/teams/CTM-OTGentStad/Shared%20Documents/General/EAF/CSI(nieuwe%20sharepoint)%202025/12.%20December/EAF%205791%20Gent%2016122025%2036543.pdf?csf=1&amp;web=1&amp;e=su5qVB"/>
    <x v="56"/>
    <n v="5791"/>
    <s v="Neen"/>
    <s v="Bus"/>
    <s v="Gelede"/>
    <n v="1"/>
  </r>
  <r>
    <n v="38740"/>
    <x v="306"/>
    <s v="Meskens"/>
    <s v="Anthony"/>
    <x v="5"/>
    <x v="519"/>
    <s v=" https://delijn.sharepoint.com/:b:/r/teams/CTM-OTGentStad/Shared%20Documents/General/EAF/CSI(nieuwe%20sharepoint)%202025/12.%20December/EAF%206305%20Gent%2016122025.pdf?csf=1&amp;web=1&amp;e=wLQjJj"/>
    <x v="56"/>
    <n v="6305"/>
    <s v="ja"/>
    <s v="Tram"/>
    <s v="Hermelijn"/>
    <n v="3"/>
  </r>
  <r>
    <n v="42393"/>
    <x v="407"/>
    <s v="AL-Haddad"/>
    <s v="Rashid"/>
    <x v="8"/>
    <x v="520"/>
    <s v=" https://delijn.sharepoint.com/:b:/r/teams/CTM-OTGentStad/Shared%20Documents/General/EAF/CSI(nieuwe%20sharepoint)%202025/12.%20December/EAF%202194%20Gent%2017122025%2042393.pdf?csf=1&amp;web=1&amp;e=IH3Voc"/>
    <x v="29"/>
    <n v="2194"/>
    <s v="ja"/>
    <s v="Bus"/>
    <s v="Gelede"/>
    <n v="1"/>
  </r>
  <r>
    <n v="41882"/>
    <x v="408"/>
    <s v="Van der Bauwhede"/>
    <s v="Ben"/>
    <x v="3"/>
    <x v="521"/>
    <s v=" https://delijn.sharepoint.com/:b:/r/teams/CTM-OTGentStad/Shared%20Documents/General/EAF/CSI(nieuwe%20sharepoint)%202025/12.%20December/EAF%205045%20Antwerpsesteenweg%20Gent%2018122025%20-%2041882.pdf?csf=1&amp;web=1&amp;e=W3Ags4"/>
    <x v="43"/>
    <n v="5045"/>
    <s v="Neen"/>
    <s v="Bus"/>
    <s v="Gelede"/>
    <n v="1"/>
  </r>
  <r>
    <n v="39930"/>
    <x v="103"/>
    <s v="Mirazai"/>
    <s v="Rahmatullah"/>
    <x v="5"/>
    <x v="521"/>
    <s v=" https://delijn.sharepoint.com/:b:/r/teams/CTM-OTGentStad/Shared%20Documents/General/EAF/CSI(nieuwe%20sharepoint)%202025/12.%20December/EAF%205768%20Gent%2018122025%2039930.pdf?csf=1&amp;web=1&amp;e=LwSVug"/>
    <x v="12"/>
    <n v="5768"/>
    <s v="ja"/>
    <s v="Bus"/>
    <s v="Standaard"/>
    <n v="3"/>
  </r>
  <r>
    <n v="39850"/>
    <x v="332"/>
    <s v="Helleputte"/>
    <s v="William"/>
    <x v="7"/>
    <x v="522"/>
    <s v="https://delijn.sharepoint.com/:b:/r/teams/CTM-OTGentStad/Shared%20Documents/General/EAF/CSI(nieuwe%20sharepoint)%202025/12.%20December/EAF%20221323%20Gent%2022122025%2039850.pdf?csf=1&amp;web=1&amp;e=Ympmpe"/>
    <x v="23"/>
    <n v="221323"/>
    <s v="ja"/>
    <s v="Bus"/>
    <s v="Gehuurd"/>
    <n v="3"/>
  </r>
  <r>
    <n v="42567"/>
    <x v="409"/>
    <s v="Zied"/>
    <s v="Hassine"/>
    <x v="9"/>
    <x v="520"/>
    <s v=" https://delijn.sharepoint.com/:b:/r/teams/CTM-OTGentStad/Shared%20Documents/General/EAF/CSI(nieuwe%20sharepoint)%202025/12.%20December/EAF%20221323%20Gent%2017122025.pdf?csf=1&amp;web=1&amp;e=ijuyul"/>
    <x v="32"/>
    <n v="221323"/>
    <s v="ja"/>
    <s v="Bus"/>
    <s v="Gehuurd"/>
    <n v="1"/>
  </r>
  <r>
    <n v="39928"/>
    <x v="375"/>
    <s v="Momand"/>
    <s v="Abdullah"/>
    <x v="4"/>
    <x v="523"/>
    <s v=" https://delijn.sharepoint.com/:b:/r/teams/CTM-OTGentStad/Shared%20Documents/General/EAF/CSI(nieuwe%20sharepoint)%202025/12.%20December/EAF%205966%20Gent%2024122025.pdf?csf=1&amp;web=1&amp;e=jaQfAD"/>
    <x v="242"/>
    <n v="5966"/>
    <s v="Neen"/>
    <s v="Bus"/>
    <s v="Standaard"/>
    <n v="2"/>
  </r>
  <r>
    <n v="41685"/>
    <x v="405"/>
    <s v="Zjarmi"/>
    <s v="Hylgis"/>
    <x v="1"/>
    <x v="523"/>
    <s v=" https://delijn.sharepoint.com/:b:/r/teams/CTM-OTGentStad/Shared%20Documents/General/EAF/CSI(nieuwe%20sharepoint)%202025/12.%20December/EAF%205234%2024122025%20Gent%2041685.pdf?csf=1&amp;web=1&amp;e=RDW2NY"/>
    <x v="23"/>
    <n v="5234"/>
    <s v="ja"/>
    <s v="Bus"/>
    <s v="Gelede"/>
    <n v="2"/>
  </r>
  <r>
    <n v="31404"/>
    <x v="410"/>
    <s v="Vindevogel"/>
    <s v="Nick"/>
    <x v="7"/>
    <x v="523"/>
    <s v=" https://delijn.sharepoint.com/:b:/r/teams/CTM-OTGentStad/Shared%20Documents/General/EAF/CSI(nieuwe%20sharepoint)%202025/12.%20December/EAF%205927%20Gent%2024122025.pdf?csf=1&amp;web=1&amp;e=I3sSwR"/>
    <x v="272"/>
    <n v="5927"/>
    <s v="ja"/>
    <s v="Bus"/>
    <s v="Standaard"/>
    <n v="1"/>
  </r>
  <r>
    <n v="40939"/>
    <x v="282"/>
    <s v="Cisse"/>
    <s v="Sayon"/>
    <x v="1"/>
    <x v="524"/>
    <s v=" https://delijn.sharepoint.com/:b:/r/teams/CTM-OTGentStad/Shared%20Documents/General/EAF/CSI(nieuwe%20sharepoint)%202025/12.%20December/EAF2193%2026122025%20Gent%2040939.pdf?csf=1&amp;web=1&amp;e=sgPlZa"/>
    <x v="249"/>
    <n v="2193"/>
    <s v="ja"/>
    <s v="Bus"/>
    <s v="Gelede"/>
    <n v="4"/>
  </r>
  <r>
    <n v="28737"/>
    <x v="263"/>
    <s v="El-Mohamed"/>
    <s v="Mohamed"/>
    <x v="6"/>
    <x v="516"/>
    <s v=" https://delijn.sharepoint.com/:b:/r/teams/CTM-OTGentStad/Shared%20Documents/General/EAF/CSI(nieuwe%20sharepoint)%202025/12.%20December/EAF%206313%20Gent%2013122025%2028737.pdf?csf=1&amp;web=1&amp;e=gkrXkg"/>
    <x v="148"/>
    <n v="6313"/>
    <s v="Neen"/>
    <s v="Tram"/>
    <s v="Hermelijn"/>
    <n v="4"/>
  </r>
  <r>
    <n v="39106"/>
    <x v="411"/>
    <s v="Salam Housin"/>
    <s v="Ahmed"/>
    <x v="4"/>
    <x v="524"/>
    <s v=" https://delijn.sharepoint.com/:b:/r/teams/CTM-OTGentStad/Shared%20Documents/General/EAF/CSI(nieuwe%20sharepoint)%202025/12.%20December/EAF%206309%2026122025%20Gent%2039106.pdf?csf=1&amp;web=1&amp;e=tIY1hT"/>
    <x v="56"/>
    <n v="6309"/>
    <s v="ja"/>
    <s v="Tram"/>
    <s v="Hermelijn"/>
    <n v="1"/>
  </r>
  <r>
    <n v="39532"/>
    <x v="158"/>
    <s v="Sahin"/>
    <s v="Orhan"/>
    <x v="5"/>
    <x v="524"/>
    <s v=" https://delijn.sharepoint.com/:b:/r/teams/CTM-OTGentStad/Shared%20Documents/General/EAF/CSI(nieuwe%20sharepoint)%202025/12.%20December/EAF%206309%2026122025%20Gent%2039106.pdf?csf=1&amp;web=1&amp;e=tIY1hT"/>
    <x v="140"/>
    <n v="6320"/>
    <s v="Neen"/>
    <s v="Tram"/>
    <s v="Hermelijn"/>
    <n v="7"/>
  </r>
  <r>
    <n v="13088"/>
    <x v="126"/>
    <s v="De Geyter"/>
    <s v="Claudine"/>
    <x v="7"/>
    <x v="525"/>
    <s v=" https://delijn.sharepoint.com/:b:/r/teams/CTM-OTGentStad/Shared%20Documents/General/EAF/CSI(nieuwe%20sharepoint)%202025/12.%20December/EAF%205794%20Gent%2019122025%2013088.pdf?csf=1&amp;web=1&amp;e=T9u4GE"/>
    <x v="273"/>
    <n v="5794"/>
    <s v="ja"/>
    <s v="Bus"/>
    <s v="Standaard"/>
    <n v="2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2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2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3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1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4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2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1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4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3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1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6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3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6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5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9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2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2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3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1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5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7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1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3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3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5"/>
  </r>
  <r>
    <n v="40294"/>
    <s v="Khder"/>
    <s v="Aram"/>
    <d v="1992-01-01T00:00:00"/>
    <n v="1992"/>
    <x v="32"/>
    <n v="2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8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9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2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1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2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3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1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1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4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7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9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2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5"/>
    <n v="2"/>
  </r>
  <r>
    <s v="Baert, Rosita"/>
    <s v="Rosita"/>
    <s v="Baert"/>
    <n v="16546"/>
    <s v="Rotty, Christoff"/>
    <x v="69"/>
    <x v="15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1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19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2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0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1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2"/>
    <n v="0"/>
  </r>
  <r>
    <s v="Kazakbiyev, Osman"/>
    <s v="Osman"/>
    <s v="Kazakbiyev"/>
    <n v="25873"/>
    <s v="Vanhoe, Els"/>
    <x v="142"/>
    <x v="22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1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4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1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5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4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2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6"/>
    <n v="0"/>
  </r>
  <r>
    <s v="De Keyzer, Jan"/>
    <s v="Jan"/>
    <s v="De Keyzer"/>
    <n v="29540"/>
    <s v="Vande Velde, Lucie"/>
    <x v="182"/>
    <x v="26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1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4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3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1"/>
  </r>
  <r>
    <s v="Petit, Cynthia"/>
    <s v="Cynthia"/>
    <s v="Petit"/>
    <n v="33400"/>
    <s v="Rotty, Christoff"/>
    <x v="224"/>
    <x v="30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6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3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6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5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1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9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2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4"/>
  </r>
  <r>
    <s v="Byosière, Christof"/>
    <s v="Christof"/>
    <s v="Byosière"/>
    <n v="23700"/>
    <s v="De Clercq, Dominique"/>
    <x v="308"/>
    <x v="35"/>
    <n v="3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2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3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1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5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7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1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2"/>
  </r>
  <r>
    <s v="Helleputte, William"/>
    <s v="William"/>
    <s v="Helleputte"/>
    <n v="39850"/>
    <s v="De Clercq, Dominique"/>
    <x v="334"/>
    <x v="35"/>
    <n v="3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5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5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3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5"/>
  </r>
  <r>
    <s v="Khder, Aram"/>
    <s v="Aram"/>
    <s v="Khder"/>
    <n v="40294"/>
    <s v="Rotty, Christoff"/>
    <x v="352"/>
    <x v="36"/>
    <n v="2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8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4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9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1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2"/>
  </r>
  <r>
    <s v="Van Holsbeeck, Yana"/>
    <s v="Yana"/>
    <s v="Van Holsbeeck"/>
    <n v="41246"/>
    <s v="De Clercq, Dominique"/>
    <x v="380"/>
    <x v="36"/>
    <n v="3"/>
  </r>
  <r>
    <s v="Frise, Jordi"/>
    <s v="Jordi"/>
    <s v="Frise"/>
    <n v="41344"/>
    <s v="Vanhoe, Els"/>
    <x v="380"/>
    <x v="36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6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2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2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1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2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3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1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1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19" firstHeaderRow="1" firstDataRow="1" firstDataCol="1"/>
  <pivotFields count="16">
    <pivotField showAll="0"/>
    <pivotField showAll="0"/>
    <pivotField showAll="0"/>
    <pivotField showAll="0"/>
    <pivotField axis="axisRow" showAll="0" sortType="descending">
      <items count="13">
        <item h="1" m="1" x="11"/>
        <item h="1" x="0"/>
        <item h="1" x="10"/>
        <item x="1"/>
        <item x="2"/>
        <item x="3"/>
        <item x="4"/>
        <item x="5"/>
        <item x="6"/>
        <item x="7"/>
        <item x="8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9">
    <i>
      <x v="7"/>
    </i>
    <i>
      <x v="9"/>
    </i>
    <i>
      <x v="6"/>
    </i>
    <i>
      <x v="5"/>
    </i>
    <i>
      <x v="3"/>
    </i>
    <i>
      <x v="8"/>
    </i>
    <i>
      <x v="4"/>
    </i>
    <i>
      <x v="10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4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30" firstHeaderRow="1" firstDataRow="1" firstDataCol="1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axis="axisRow" showAll="0" sortType="descending">
      <items count="278">
        <item m="1" x="276"/>
        <item x="104"/>
        <item x="171"/>
        <item x="174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5"/>
        <item x="247"/>
        <item x="147"/>
        <item x="217"/>
        <item x="261"/>
        <item x="50"/>
        <item x="73"/>
        <item x="3"/>
        <item x="258"/>
        <item x="35"/>
        <item x="153"/>
        <item x="56"/>
        <item x="184"/>
        <item x="120"/>
        <item x="33"/>
        <item x="169"/>
        <item x="71"/>
        <item x="161"/>
        <item x="18"/>
        <item x="220"/>
        <item x="187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0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6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3"/>
        <item x="46"/>
        <item x="177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8"/>
        <item x="202"/>
        <item x="133"/>
        <item x="126"/>
        <item x="234"/>
        <item x="65"/>
        <item x="158"/>
        <item x="101"/>
        <item x="209"/>
        <item x="130"/>
        <item x="163"/>
        <item x="241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1"/>
        <item x="21"/>
        <item m="1" x="27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6"/>
        <item x="205"/>
        <item x="13"/>
        <item x="69"/>
        <item x="173"/>
        <item x="87"/>
        <item x="186"/>
        <item x="170"/>
        <item x="34"/>
        <item x="139"/>
        <item x="226"/>
        <item x="105"/>
        <item x="238"/>
        <item x="182"/>
        <item x="39"/>
        <item x="128"/>
        <item x="175"/>
        <item x="256"/>
        <item x="150"/>
        <item x="68"/>
        <item x="263"/>
        <item x="181"/>
        <item x="167"/>
        <item x="23"/>
        <item x="229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8"/>
        <item x="183"/>
        <item x="168"/>
        <item x="232"/>
        <item x="45"/>
        <item x="38"/>
        <item x="148"/>
        <item x="222"/>
        <item x="117"/>
        <item x="29"/>
        <item x="37"/>
        <item x="248"/>
        <item m="1" x="274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7"/>
        <item x="195"/>
        <item x="266"/>
        <item x="268"/>
        <item x="270"/>
        <item x="271"/>
        <item x="269"/>
        <item x="272"/>
        <item x="2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7"/>
  </rowFields>
  <rowItems count="210">
    <i>
      <x v="30"/>
    </i>
    <i>
      <x v="73"/>
    </i>
    <i>
      <x v="224"/>
    </i>
    <i>
      <x v="223"/>
    </i>
    <i>
      <x v="75"/>
    </i>
    <i>
      <x v="197"/>
    </i>
    <i>
      <x v="264"/>
    </i>
    <i>
      <x v="221"/>
    </i>
    <i>
      <x v="42"/>
    </i>
    <i>
      <x v="48"/>
    </i>
    <i>
      <x v="156"/>
    </i>
    <i>
      <x v="245"/>
    </i>
    <i>
      <x v="169"/>
    </i>
    <i>
      <x v="28"/>
    </i>
    <i>
      <x v="168"/>
    </i>
    <i>
      <x v="90"/>
    </i>
    <i>
      <x v="107"/>
    </i>
    <i>
      <x v="40"/>
    </i>
    <i>
      <x v="257"/>
    </i>
    <i>
      <x v="106"/>
    </i>
    <i>
      <x v="104"/>
    </i>
    <i>
      <x v="230"/>
    </i>
    <i>
      <x v="47"/>
    </i>
    <i>
      <x v="57"/>
    </i>
    <i>
      <x v="154"/>
    </i>
    <i>
      <x v="113"/>
    </i>
    <i>
      <x v="76"/>
    </i>
    <i>
      <x v="43"/>
    </i>
    <i>
      <x v="16"/>
    </i>
    <i>
      <x v="139"/>
    </i>
    <i>
      <x v="160"/>
    </i>
    <i>
      <x v="214"/>
    </i>
    <i>
      <x v="72"/>
    </i>
    <i>
      <x v="220"/>
    </i>
    <i>
      <x v="231"/>
    </i>
    <i>
      <x v="3"/>
    </i>
    <i>
      <x v="18"/>
    </i>
    <i>
      <x v="219"/>
    </i>
    <i>
      <x v="52"/>
    </i>
    <i>
      <x v="65"/>
    </i>
    <i>
      <x v="173"/>
    </i>
    <i>
      <x v="159"/>
    </i>
    <i>
      <x v="192"/>
    </i>
    <i>
      <x v="260"/>
    </i>
    <i>
      <x v="35"/>
    </i>
    <i>
      <x v="166"/>
    </i>
    <i>
      <x v="78"/>
    </i>
    <i>
      <x v="29"/>
    </i>
    <i>
      <x v="122"/>
    </i>
    <i>
      <x v="265"/>
    </i>
    <i>
      <x v="216"/>
    </i>
    <i>
      <x v="148"/>
    </i>
    <i>
      <x v="150"/>
    </i>
    <i>
      <x v="120"/>
    </i>
    <i>
      <x v="153"/>
    </i>
    <i>
      <x v="242"/>
    </i>
    <i>
      <x v="26"/>
    </i>
    <i>
      <x v="212"/>
    </i>
    <i>
      <x v="155"/>
    </i>
    <i>
      <x v="61"/>
    </i>
    <i>
      <x v="10"/>
    </i>
    <i>
      <x v="226"/>
    </i>
    <i>
      <x v="158"/>
    </i>
    <i>
      <x v="235"/>
    </i>
    <i>
      <x v="5"/>
    </i>
    <i>
      <x v="249"/>
    </i>
    <i>
      <x v="46"/>
    </i>
    <i>
      <x v="149"/>
    </i>
    <i>
      <x v="6"/>
    </i>
    <i>
      <x v="19"/>
    </i>
    <i>
      <x v="31"/>
    </i>
    <i>
      <x v="36"/>
    </i>
    <i>
      <x v="95"/>
    </i>
    <i>
      <x v="118"/>
    </i>
    <i>
      <x v="96"/>
    </i>
    <i>
      <x v="121"/>
    </i>
    <i>
      <x v="177"/>
    </i>
    <i>
      <x v="38"/>
    </i>
    <i>
      <x v="180"/>
    </i>
    <i>
      <x v="232"/>
    </i>
    <i>
      <x v="187"/>
    </i>
    <i>
      <x v="236"/>
    </i>
    <i>
      <x v="189"/>
    </i>
    <i>
      <x v="138"/>
    </i>
    <i>
      <x v="102"/>
    </i>
    <i>
      <x v="70"/>
    </i>
    <i>
      <x v="50"/>
    </i>
    <i>
      <x v="263"/>
    </i>
    <i>
      <x v="206"/>
    </i>
    <i>
      <x v="210"/>
    </i>
    <i>
      <x v="134"/>
    </i>
    <i>
      <x v="143"/>
    </i>
    <i>
      <x v="215"/>
    </i>
    <i>
      <x v="252"/>
    </i>
    <i>
      <x v="55"/>
    </i>
    <i>
      <x v="130"/>
    </i>
    <i>
      <x v="271"/>
    </i>
    <i>
      <x v="131"/>
    </i>
    <i>
      <x v="105"/>
    </i>
    <i>
      <x v="132"/>
    </i>
    <i>
      <x v="241"/>
    </i>
    <i>
      <x v="133"/>
    </i>
    <i>
      <x v="9"/>
    </i>
    <i>
      <x v="62"/>
    </i>
    <i>
      <x v="15"/>
    </i>
    <i>
      <x v="135"/>
    </i>
    <i>
      <x v="7"/>
    </i>
    <i>
      <x v="63"/>
    </i>
    <i>
      <x v="228"/>
    </i>
    <i>
      <x v="64"/>
    </i>
    <i>
      <x v="116"/>
    </i>
    <i>
      <x v="141"/>
    </i>
    <i>
      <x v="247"/>
    </i>
    <i>
      <x v="142"/>
    </i>
    <i>
      <x v="34"/>
    </i>
    <i>
      <x v="276"/>
    </i>
    <i>
      <x v="267"/>
    </i>
    <i>
      <x v="2"/>
    </i>
    <i>
      <x v="275"/>
    </i>
    <i>
      <x v="146"/>
    </i>
    <i>
      <x v="98"/>
    </i>
    <i>
      <x v="147"/>
    </i>
    <i>
      <x v="217"/>
    </i>
    <i>
      <x v="4"/>
    </i>
    <i>
      <x v="51"/>
    </i>
    <i>
      <x v="68"/>
    </i>
    <i>
      <x v="53"/>
    </i>
    <i>
      <x v="20"/>
    </i>
    <i>
      <x v="109"/>
    </i>
    <i>
      <x v="152"/>
    </i>
    <i>
      <x v="234"/>
    </i>
    <i>
      <x v="71"/>
    </i>
    <i>
      <x v="238"/>
    </i>
    <i>
      <x v="39"/>
    </i>
    <i>
      <x v="243"/>
    </i>
    <i>
      <x v="22"/>
    </i>
    <i>
      <x v="250"/>
    </i>
    <i>
      <x v="74"/>
    </i>
    <i>
      <x v="255"/>
    </i>
    <i>
      <x v="157"/>
    </i>
    <i>
      <x v="59"/>
    </i>
    <i>
      <x v="23"/>
    </i>
    <i>
      <x v="127"/>
    </i>
    <i>
      <x v="12"/>
    </i>
    <i>
      <x v="269"/>
    </i>
    <i>
      <x v="77"/>
    </i>
    <i>
      <x v="273"/>
    </i>
    <i>
      <x v="162"/>
    </i>
    <i>
      <x v="208"/>
    </i>
    <i>
      <x v="163"/>
    </i>
    <i>
      <x v="211"/>
    </i>
    <i>
      <x v="164"/>
    </i>
    <i>
      <x v="100"/>
    </i>
    <i>
      <x v="45"/>
    </i>
    <i>
      <x v="101"/>
    </i>
    <i>
      <x v="167"/>
    </i>
    <i>
      <x v="218"/>
    </i>
    <i>
      <x v="79"/>
    </i>
    <i>
      <x v="103"/>
    </i>
    <i>
      <x v="80"/>
    </i>
    <i>
      <x v="222"/>
    </i>
    <i>
      <x v="170"/>
    </i>
    <i>
      <x v="17"/>
    </i>
    <i>
      <x v="171"/>
    </i>
    <i>
      <x v="227"/>
    </i>
    <i>
      <x v="86"/>
    </i>
    <i>
      <x v="229"/>
    </i>
    <i>
      <x v="87"/>
    </i>
    <i>
      <x v="112"/>
    </i>
    <i>
      <x v="178"/>
    </i>
    <i>
      <x v="233"/>
    </i>
    <i>
      <x v="179"/>
    </i>
    <i>
      <x v="115"/>
    </i>
    <i>
      <x v="89"/>
    </i>
    <i>
      <x v="237"/>
    </i>
    <i>
      <x v="182"/>
    </i>
    <i>
      <x v="239"/>
    </i>
    <i>
      <x v="183"/>
    </i>
    <i>
      <x v="117"/>
    </i>
    <i>
      <x v="184"/>
    </i>
    <i>
      <x v="56"/>
    </i>
    <i>
      <x v="186"/>
    </i>
    <i>
      <x v="119"/>
    </i>
    <i>
      <x v="27"/>
    </i>
    <i>
      <x v="251"/>
    </i>
    <i>
      <x v="91"/>
    </i>
    <i>
      <x v="254"/>
    </i>
    <i>
      <x v="190"/>
    </i>
    <i>
      <x v="256"/>
    </i>
    <i>
      <x v="92"/>
    </i>
    <i>
      <x v="259"/>
    </i>
    <i>
      <x v="194"/>
    </i>
    <i>
      <x v="262"/>
    </i>
    <i>
      <x v="195"/>
    </i>
    <i>
      <x v="123"/>
    </i>
    <i>
      <x v="93"/>
    </i>
    <i>
      <x v="266"/>
    </i>
    <i>
      <x v="198"/>
    </i>
    <i>
      <x v="268"/>
    </i>
    <i>
      <x v="199"/>
    </i>
    <i>
      <x v="270"/>
    </i>
    <i>
      <x v="202"/>
    </i>
    <i>
      <x v="272"/>
    </i>
    <i>
      <x v="204"/>
    </i>
    <i>
      <x v="274"/>
    </i>
    <i>
      <x v="205"/>
    </i>
    <i>
      <x v="128"/>
    </i>
    <i>
      <x v="13"/>
    </i>
    <i>
      <x v="145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57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F11" firstHeaderRow="1" firstDataRow="1" firstDataCol="0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Items count="1">
    <i/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7" firstHeaderRow="1" firstDataRow="1" firstDataCol="1"/>
  <pivotFields count="16">
    <pivotField showAll="0"/>
    <pivotField axis="axisRow" showAll="0" sortType="descending">
      <items count="840">
        <item m="1" x="545"/>
        <item m="1" x="455"/>
        <item m="1" x="763"/>
        <item m="1" x="778"/>
        <item m="1" x="802"/>
        <item m="1" x="702"/>
        <item m="1" x="758"/>
        <item m="1" x="471"/>
        <item m="1" x="547"/>
        <item m="1" x="524"/>
        <item m="1" x="790"/>
        <item m="1" x="505"/>
        <item m="1" x="626"/>
        <item m="1" x="674"/>
        <item m="1" x="644"/>
        <item m="1" x="761"/>
        <item m="1" x="831"/>
        <item m="1" x="540"/>
        <item m="1" x="805"/>
        <item m="1" x="463"/>
        <item m="1" x="670"/>
        <item m="1" x="800"/>
        <item m="1" x="565"/>
        <item m="1" x="743"/>
        <item m="1" x="567"/>
        <item m="1" x="537"/>
        <item m="1" x="792"/>
        <item m="1" x="798"/>
        <item m="1" x="422"/>
        <item m="1" x="494"/>
        <item m="1" x="734"/>
        <item m="1" x="437"/>
        <item m="1" x="635"/>
        <item m="1" x="536"/>
        <item m="1" x="793"/>
        <item m="1" x="502"/>
        <item m="1" x="632"/>
        <item m="1" x="662"/>
        <item m="1" x="636"/>
        <item m="1" x="653"/>
        <item m="1" x="650"/>
        <item m="1" x="420"/>
        <item m="1" x="552"/>
        <item m="1" x="676"/>
        <item m="1" x="760"/>
        <item m="1" x="654"/>
        <item m="1" x="551"/>
        <item m="1" x="488"/>
        <item m="1" x="445"/>
        <item m="1" x="556"/>
        <item m="1" x="692"/>
        <item m="1" x="508"/>
        <item m="1" x="423"/>
        <item m="1" x="584"/>
        <item m="1" x="631"/>
        <item m="1" x="434"/>
        <item m="1" x="791"/>
        <item m="1" x="795"/>
        <item m="1" x="475"/>
        <item m="1" x="772"/>
        <item m="1" x="577"/>
        <item m="1" x="525"/>
        <item m="1" x="500"/>
        <item m="1" x="673"/>
        <item m="1" x="473"/>
        <item m="1" x="575"/>
        <item m="1" x="491"/>
        <item m="1" x="832"/>
        <item m="1" x="625"/>
        <item m="1" x="667"/>
        <item m="1" x="766"/>
        <item m="1" x="485"/>
        <item m="1" x="569"/>
        <item m="1" x="750"/>
        <item m="1" x="526"/>
        <item m="1" x="651"/>
        <item m="1" x="754"/>
        <item m="1" x="553"/>
        <item m="1" x="597"/>
        <item m="1" x="619"/>
        <item m="1" x="721"/>
        <item m="1" x="470"/>
        <item m="1" x="598"/>
        <item m="1" x="814"/>
        <item m="1" x="542"/>
        <item m="1" x="679"/>
        <item m="1" x="712"/>
        <item m="1" x="769"/>
        <item m="1" x="799"/>
        <item m="1" x="490"/>
        <item m="1" x="464"/>
        <item m="1" x="630"/>
        <item m="1" x="586"/>
        <item m="1" x="487"/>
        <item m="1" x="684"/>
        <item m="1" x="615"/>
        <item m="1" x="493"/>
        <item m="1" x="444"/>
        <item m="1" x="808"/>
        <item m="1" x="801"/>
        <item m="1" x="742"/>
        <item m="1" x="658"/>
        <item m="1" x="498"/>
        <item m="1" x="443"/>
        <item m="1" x="478"/>
        <item m="1" x="451"/>
        <item m="1" x="608"/>
        <item m="1" x="727"/>
        <item m="1" x="797"/>
        <item m="1" x="466"/>
        <item m="1" x="813"/>
        <item m="1" x="516"/>
        <item m="1" x="678"/>
        <item m="1" x="580"/>
        <item m="1" x="578"/>
        <item m="1" x="697"/>
        <item m="1" x="511"/>
        <item m="1" x="786"/>
        <item m="1" x="652"/>
        <item m="1" x="559"/>
        <item m="1" x="628"/>
        <item m="1" x="747"/>
        <item m="1" x="696"/>
        <item m="1" x="729"/>
        <item m="1" x="639"/>
        <item m="1" x="633"/>
        <item m="1" x="439"/>
        <item m="1" x="756"/>
        <item m="1" x="531"/>
        <item m="1" x="623"/>
        <item m="1" x="530"/>
        <item m="1" x="640"/>
        <item m="1" x="441"/>
        <item m="1" x="415"/>
        <item m="1" x="706"/>
        <item m="1" x="741"/>
        <item m="1" x="592"/>
        <item m="1" x="495"/>
        <item m="1" x="595"/>
        <item m="1" x="663"/>
        <item m="1" x="507"/>
        <item m="1" x="776"/>
        <item m="1" x="606"/>
        <item m="1" x="431"/>
        <item m="1" x="560"/>
        <item m="1" x="435"/>
        <item m="1" x="438"/>
        <item m="1" x="751"/>
        <item m="1" x="720"/>
        <item m="1" x="695"/>
        <item m="1" x="601"/>
        <item m="1" x="716"/>
        <item m="1" x="465"/>
        <item m="1" x="582"/>
        <item m="1" x="489"/>
        <item m="1" x="570"/>
        <item m="1" x="704"/>
        <item m="1" x="513"/>
        <item m="1" x="481"/>
        <item m="1" x="719"/>
        <item m="1" x="504"/>
        <item m="1" x="499"/>
        <item m="1" x="629"/>
        <item m="1" x="532"/>
        <item m="1" x="672"/>
        <item m="1" x="828"/>
        <item m="1" x="564"/>
        <item m="1" x="693"/>
        <item m="1" x="523"/>
        <item m="1" x="453"/>
        <item m="1" x="501"/>
        <item m="1" x="462"/>
        <item m="1" x="413"/>
        <item m="1" x="522"/>
        <item m="1" x="512"/>
        <item m="1" x="433"/>
        <item m="1" x="835"/>
        <item m="1" x="571"/>
        <item m="1" x="459"/>
        <item m="1" x="496"/>
        <item m="1" x="468"/>
        <item m="1" x="549"/>
        <item m="1" x="701"/>
        <item m="1" x="544"/>
        <item m="1" x="647"/>
        <item m="1" x="568"/>
        <item m="1" x="691"/>
        <item m="1" x="637"/>
        <item m="1" x="604"/>
        <item m="1" x="521"/>
        <item m="1" x="447"/>
        <item m="1" x="685"/>
        <item m="1" x="671"/>
        <item m="1" x="566"/>
        <item m="1" x="699"/>
        <item m="1" x="603"/>
        <item m="1" x="620"/>
        <item m="1" x="708"/>
        <item m="1" x="634"/>
        <item m="1" x="472"/>
        <item m="1" x="764"/>
        <item m="1" x="737"/>
        <item m="1" x="638"/>
        <item m="1" x="460"/>
        <item m="1" x="456"/>
        <item m="1" x="815"/>
        <item m="1" x="583"/>
        <item m="1" x="660"/>
        <item m="1" x="664"/>
        <item m="1" x="587"/>
        <item m="1" x="518"/>
        <item m="1" x="645"/>
        <item m="1" x="548"/>
        <item m="1" x="809"/>
        <item m="1" x="588"/>
        <item m="1" x="656"/>
        <item m="1" x="609"/>
        <item m="1" x="755"/>
        <item m="1" x="555"/>
        <item m="1" x="424"/>
        <item m="1" x="430"/>
        <item m="1" x="458"/>
        <item m="1" x="665"/>
        <item m="1" x="711"/>
        <item m="1" x="558"/>
        <item m="1" x="718"/>
        <item m="1" x="576"/>
        <item m="1" x="738"/>
        <item m="1" x="510"/>
        <item m="1" x="779"/>
        <item m="1" x="646"/>
        <item m="1" x="834"/>
        <item m="1" x="461"/>
        <item m="1" x="416"/>
        <item m="1" x="546"/>
        <item m="1" x="506"/>
        <item m="1" x="600"/>
        <item m="1" x="605"/>
        <item m="1" x="562"/>
        <item m="1" x="436"/>
        <item m="1" x="450"/>
        <item m="1" x="534"/>
        <item m="1" x="589"/>
        <item m="1" x="614"/>
        <item m="1" x="714"/>
        <item m="1" x="648"/>
        <item m="1" x="417"/>
        <item m="1" x="622"/>
        <item m="1" x="723"/>
        <item m="1" x="557"/>
        <item m="1" x="538"/>
        <item m="1" x="529"/>
        <item m="1" x="442"/>
        <item m="1" x="709"/>
        <item m="1" x="826"/>
        <item m="1" x="467"/>
        <item m="1" x="509"/>
        <item m="1" x="449"/>
        <item m="1" x="616"/>
        <item m="1" x="788"/>
        <item m="1" x="427"/>
        <item m="1" x="705"/>
        <item m="1" x="596"/>
        <item m="1" x="421"/>
        <item m="1" x="479"/>
        <item m="1" x="543"/>
        <item m="1" x="725"/>
        <item m="1" x="722"/>
        <item m="1" x="515"/>
        <item m="1" x="448"/>
        <item m="1" x="426"/>
        <item m="1" x="440"/>
        <item m="1" x="474"/>
        <item m="1" x="476"/>
        <item m="1" x="428"/>
        <item m="1" x="419"/>
        <item m="1" x="446"/>
        <item m="1" x="418"/>
        <item m="1" x="469"/>
        <item m="1" x="680"/>
        <item m="1" x="452"/>
        <item m="1" x="574"/>
        <item m="1" x="550"/>
        <item m="1" x="573"/>
        <item m="1" x="572"/>
        <item m="1" x="483"/>
        <item m="1" x="414"/>
        <item m="1" x="579"/>
        <item m="1" x="827"/>
        <item m="1" x="602"/>
        <item m="1" x="503"/>
        <item m="1" x="484"/>
        <item m="1" x="429"/>
        <item m="1" x="707"/>
        <item m="1" x="480"/>
        <item m="1" x="607"/>
        <item m="1" x="457"/>
        <item m="1" x="519"/>
        <item m="1" x="689"/>
        <item m="1" x="748"/>
        <item m="1" x="728"/>
        <item m="1" x="594"/>
        <item m="1" x="425"/>
        <item m="1" x="590"/>
        <item m="1" x="528"/>
        <item m="1" x="807"/>
        <item m="1" x="554"/>
        <item m="1" x="527"/>
        <item m="1" x="794"/>
        <item m="1" x="477"/>
        <item m="1" x="517"/>
        <item m="1" x="688"/>
        <item m="1" x="657"/>
        <item m="1" x="611"/>
        <item m="1" x="563"/>
        <item m="1" x="677"/>
        <item m="1" x="539"/>
        <item m="1" x="535"/>
        <item m="1" x="642"/>
        <item m="1" x="641"/>
        <item m="1" x="486"/>
        <item m="1" x="541"/>
        <item m="1" x="829"/>
        <item m="1" x="599"/>
        <item m="1" x="627"/>
        <item m="1" x="649"/>
        <item m="1" x="746"/>
        <item m="1" x="730"/>
        <item m="1" x="585"/>
        <item m="1" x="659"/>
        <item m="1" x="713"/>
        <item m="1" x="668"/>
        <item m="1" x="581"/>
        <item m="1" x="610"/>
        <item m="1" x="561"/>
        <item m="1" x="694"/>
        <item m="1" x="618"/>
        <item m="1" x="739"/>
        <item m="1" x="621"/>
        <item m="1" x="593"/>
        <item m="1" x="749"/>
        <item m="1" x="613"/>
        <item m="1" x="675"/>
        <item m="1" x="624"/>
        <item m="1" x="726"/>
        <item m="1" x="698"/>
        <item m="1" x="833"/>
        <item m="1" x="762"/>
        <item m="1" x="686"/>
        <item m="1" x="666"/>
        <item m="1" x="700"/>
        <item m="1" x="683"/>
        <item m="1" x="643"/>
        <item m="1" x="777"/>
        <item m="1" x="757"/>
        <item m="1" x="669"/>
        <item m="1" x="770"/>
        <item m="1" x="715"/>
        <item m="1" x="687"/>
        <item m="1" x="655"/>
        <item m="1" x="767"/>
        <item m="1" x="682"/>
        <item m="1" x="736"/>
        <item m="1" x="733"/>
        <item m="1" x="703"/>
        <item m="1" x="717"/>
        <item m="1" x="735"/>
        <item m="1" x="732"/>
        <item m="1" x="745"/>
        <item m="1" x="731"/>
        <item m="1" x="744"/>
        <item m="1" x="774"/>
        <item m="1" x="752"/>
        <item m="1" x="796"/>
        <item m="1" x="768"/>
        <item m="1" x="765"/>
        <item m="1" x="785"/>
        <item m="1" x="782"/>
        <item m="1" x="783"/>
        <item m="1" x="759"/>
        <item m="1" x="789"/>
        <item m="1" x="787"/>
        <item m="1" x="773"/>
        <item m="1" x="837"/>
        <item m="1" x="781"/>
        <item m="1" x="803"/>
        <item m="1" x="771"/>
        <item m="1" x="780"/>
        <item m="1" x="810"/>
        <item m="1" x="806"/>
        <item m="1" x="784"/>
        <item m="1" x="804"/>
        <item m="1" x="836"/>
        <item m="1" x="812"/>
        <item m="1" x="661"/>
        <item m="1" x="724"/>
        <item m="1" x="753"/>
        <item m="1" x="432"/>
        <item m="1" x="497"/>
        <item m="1" x="520"/>
        <item m="1" x="617"/>
        <item m="1" x="454"/>
        <item m="1" x="681"/>
        <item m="1" x="830"/>
        <item m="1" x="740"/>
        <item m="1" x="591"/>
        <item m="1" x="612"/>
        <item m="1" x="482"/>
        <item m="1" x="514"/>
        <item m="1" x="811"/>
        <item m="1" x="775"/>
        <item m="1" x="533"/>
        <item m="1" x="710"/>
        <item m="1" x="690"/>
        <item h="1" m="1" x="412"/>
        <item h="1" x="0"/>
        <item m="1" x="838"/>
        <item m="1" x="819"/>
        <item m="1" x="816"/>
        <item m="1" x="817"/>
        <item m="1" x="818"/>
        <item m="1" x="820"/>
        <item m="1" x="821"/>
        <item m="1" x="822"/>
        <item m="1" x="823"/>
        <item m="1" x="824"/>
        <item m="1" x="492"/>
        <item m="1" x="8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h="1" x="402"/>
        <item h="1" x="409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90"/>
        <item x="526"/>
        <item x="488"/>
        <item x="489"/>
        <item x="491"/>
        <item x="492"/>
        <item x="493"/>
        <item x="494"/>
        <item x="495"/>
        <item x="496"/>
        <item x="497"/>
        <item x="498"/>
        <item x="501"/>
        <item x="502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7">
    <i>
      <x v="654"/>
    </i>
    <i>
      <x v="656"/>
    </i>
    <i>
      <x v="681"/>
    </i>
    <i>
      <x v="649"/>
    </i>
    <i>
      <x v="438"/>
    </i>
    <i>
      <x v="687"/>
    </i>
    <i>
      <x v="634"/>
    </i>
    <i>
      <x v="792"/>
    </i>
    <i>
      <x v="737"/>
    </i>
    <i>
      <x v="690"/>
    </i>
    <i>
      <x v="678"/>
    </i>
    <i>
      <x v="600"/>
    </i>
    <i>
      <x v="709"/>
    </i>
    <i>
      <x v="602"/>
    </i>
    <i>
      <x v="747"/>
    </i>
    <i>
      <x v="640"/>
    </i>
    <i>
      <x v="658"/>
    </i>
    <i>
      <x v="714"/>
    </i>
    <i>
      <x v="769"/>
    </i>
    <i>
      <x v="744"/>
    </i>
    <i>
      <x v="528"/>
    </i>
    <i>
      <x v="788"/>
    </i>
    <i>
      <x v="548"/>
    </i>
    <i>
      <x v="733"/>
    </i>
    <i>
      <x v="555"/>
    </i>
    <i>
      <x v="757"/>
    </i>
    <i>
      <x v="585"/>
    </i>
    <i>
      <x v="773"/>
    </i>
    <i>
      <x v="615"/>
    </i>
    <i>
      <x v="702"/>
    </i>
    <i>
      <x v="647"/>
    </i>
    <i>
      <x v="715"/>
    </i>
    <i>
      <x v="444"/>
    </i>
    <i>
      <x v="740"/>
    </i>
    <i>
      <x v="791"/>
    </i>
    <i>
      <x v="746"/>
    </i>
    <i>
      <x v="445"/>
    </i>
    <i>
      <x v="759"/>
    </i>
    <i>
      <x v="674"/>
    </i>
    <i>
      <x v="770"/>
    </i>
    <i>
      <x v="676"/>
    </i>
    <i>
      <x v="774"/>
    </i>
    <i>
      <x v="677"/>
    </i>
    <i>
      <x v="699"/>
    </i>
    <i>
      <x v="488"/>
    </i>
    <i>
      <x v="616"/>
    </i>
    <i>
      <x v="598"/>
    </i>
    <i>
      <x v="727"/>
    </i>
    <i>
      <x v="618"/>
    </i>
    <i>
      <x v="606"/>
    </i>
    <i>
      <x v="632"/>
    </i>
    <i>
      <x v="716"/>
    </i>
    <i>
      <x v="439"/>
    </i>
    <i>
      <x v="731"/>
    </i>
    <i>
      <x v="637"/>
    </i>
    <i>
      <x v="486"/>
    </i>
    <i>
      <x v="467"/>
    </i>
    <i>
      <x v="613"/>
    </i>
    <i>
      <x v="519"/>
    </i>
    <i>
      <x v="494"/>
    </i>
    <i>
      <x v="523"/>
    </i>
    <i>
      <x v="723"/>
    </i>
    <i>
      <x v="653"/>
    </i>
    <i>
      <x v="729"/>
    </i>
    <i>
      <x v="526"/>
    </i>
    <i>
      <x v="482"/>
    </i>
    <i>
      <x v="429"/>
    </i>
    <i>
      <x v="745"/>
    </i>
    <i>
      <x v="490"/>
    </i>
    <i>
      <x v="753"/>
    </i>
    <i>
      <x v="657"/>
    </i>
    <i>
      <x v="609"/>
    </i>
    <i>
      <x v="451"/>
    </i>
    <i>
      <x v="779"/>
    </i>
    <i>
      <x v="491"/>
    </i>
    <i>
      <x v="711"/>
    </i>
    <i>
      <x v="552"/>
    </i>
    <i>
      <x v="586"/>
    </i>
    <i>
      <x v="492"/>
    </i>
    <i>
      <x v="717"/>
    </i>
    <i>
      <x v="790"/>
    </i>
    <i>
      <x v="726"/>
    </i>
    <i>
      <x v="446"/>
    </i>
    <i>
      <x v="728"/>
    </i>
    <i>
      <x v="683"/>
    </i>
    <i>
      <x v="730"/>
    </i>
    <i>
      <x v="448"/>
    </i>
    <i>
      <x v="594"/>
    </i>
    <i>
      <x v="689"/>
    </i>
    <i>
      <x v="739"/>
    </i>
    <i>
      <x v="472"/>
    </i>
    <i>
      <x v="455"/>
    </i>
    <i>
      <x v="691"/>
    </i>
    <i>
      <x v="601"/>
    </i>
    <i>
      <x v="695"/>
    </i>
    <i>
      <x v="750"/>
    </i>
    <i>
      <x v="698"/>
    </i>
    <i>
      <x v="466"/>
    </i>
    <i>
      <x v="559"/>
    </i>
    <i>
      <x v="608"/>
    </i>
    <i>
      <x v="700"/>
    </i>
    <i>
      <x v="612"/>
    </i>
    <i>
      <x v="569"/>
    </i>
    <i>
      <x v="777"/>
    </i>
    <i>
      <x v="705"/>
    </i>
    <i>
      <x v="512"/>
    </i>
    <i>
      <x v="708"/>
    </i>
    <i>
      <x v="473"/>
    </i>
    <i>
      <x v="471"/>
    </i>
    <i>
      <x v="802"/>
    </i>
    <i>
      <x v="831"/>
    </i>
    <i>
      <x v="655"/>
    </i>
    <i>
      <x v="685"/>
    </i>
    <i>
      <x v="622"/>
    </i>
    <i>
      <x v="496"/>
    </i>
    <i>
      <x v="811"/>
    </i>
    <i>
      <x v="642"/>
    </i>
    <i>
      <x v="763"/>
    </i>
    <i>
      <x v="645"/>
    </i>
    <i>
      <x v="795"/>
    </i>
    <i>
      <x v="646"/>
    </i>
    <i>
      <x v="827"/>
    </i>
    <i>
      <x v="433"/>
    </i>
    <i>
      <x v="755"/>
    </i>
    <i>
      <x v="520"/>
    </i>
    <i>
      <x v="771"/>
    </i>
    <i>
      <x v="650"/>
    </i>
    <i>
      <x v="787"/>
    </i>
    <i>
      <x v="521"/>
    </i>
    <i>
      <x v="803"/>
    </i>
    <i>
      <x v="468"/>
    </i>
    <i>
      <x v="819"/>
    </i>
    <i>
      <x v="435"/>
    </i>
    <i>
      <x v="743"/>
    </i>
    <i>
      <x v="450"/>
    </i>
    <i>
      <x v="751"/>
    </i>
    <i>
      <x v="530"/>
    </i>
    <i>
      <x v="499"/>
    </i>
    <i>
      <x v="532"/>
    </i>
    <i>
      <x v="767"/>
    </i>
    <i>
      <x v="659"/>
    </i>
    <i>
      <x v="775"/>
    </i>
    <i>
      <x v="660"/>
    </i>
    <i>
      <x v="783"/>
    </i>
    <i>
      <x v="662"/>
    </i>
    <i>
      <x v="635"/>
    </i>
    <i>
      <x v="664"/>
    </i>
    <i>
      <x v="799"/>
    </i>
    <i>
      <x v="665"/>
    </i>
    <i>
      <x v="807"/>
    </i>
    <i>
      <x v="666"/>
    </i>
    <i>
      <x v="815"/>
    </i>
    <i>
      <x v="668"/>
    </i>
    <i>
      <x v="823"/>
    </i>
    <i>
      <x v="670"/>
    </i>
    <i>
      <x v="638"/>
    </i>
    <i>
      <x v="671"/>
    </i>
    <i>
      <x v="495"/>
    </i>
    <i>
      <x v="673"/>
    </i>
    <i>
      <x v="749"/>
    </i>
    <i>
      <x v="534"/>
    </i>
    <i>
      <x v="497"/>
    </i>
    <i>
      <x v="535"/>
    </i>
    <i>
      <x v="498"/>
    </i>
    <i>
      <x v="540"/>
    </i>
    <i>
      <x v="761"/>
    </i>
    <i>
      <x v="544"/>
    </i>
    <i>
      <x v="765"/>
    </i>
    <i>
      <x v="679"/>
    </i>
    <i>
      <x v="503"/>
    </i>
    <i>
      <x v="680"/>
    </i>
    <i>
      <x v="508"/>
    </i>
    <i>
      <x v="441"/>
    </i>
    <i>
      <x v="620"/>
    </i>
    <i>
      <x v="682"/>
    </i>
    <i>
      <x v="781"/>
    </i>
    <i>
      <x v="550"/>
    </i>
    <i>
      <x v="785"/>
    </i>
    <i>
      <x v="684"/>
    </i>
    <i>
      <x v="789"/>
    </i>
    <i>
      <x v="833"/>
    </i>
    <i>
      <x v="793"/>
    </i>
    <i>
      <x v="834"/>
    </i>
    <i>
      <x v="797"/>
    </i>
    <i>
      <x v="551"/>
    </i>
    <i>
      <x v="801"/>
    </i>
    <i>
      <x v="688"/>
    </i>
    <i>
      <x v="805"/>
    </i>
    <i>
      <x v="477"/>
    </i>
    <i>
      <x v="809"/>
    </i>
    <i>
      <x v="553"/>
    </i>
    <i>
      <x v="813"/>
    </i>
    <i>
      <x v="454"/>
    </i>
    <i>
      <x v="817"/>
    </i>
    <i>
      <x v="692"/>
    </i>
    <i>
      <x v="821"/>
    </i>
    <i>
      <x v="693"/>
    </i>
    <i>
      <x v="825"/>
    </i>
    <i>
      <x v="694"/>
    </i>
    <i>
      <x v="829"/>
    </i>
    <i>
      <x v="556"/>
    </i>
    <i>
      <x v="518"/>
    </i>
    <i>
      <x v="696"/>
    </i>
    <i>
      <x v="464"/>
    </i>
    <i>
      <x v="697"/>
    </i>
    <i>
      <x v="605"/>
    </i>
    <i>
      <x v="557"/>
    </i>
    <i>
      <x v="748"/>
    </i>
    <i>
      <x v="484"/>
    </i>
    <i>
      <x v="607"/>
    </i>
    <i>
      <x v="563"/>
    </i>
    <i>
      <x v="752"/>
    </i>
    <i>
      <x v="701"/>
    </i>
    <i>
      <x v="754"/>
    </i>
    <i>
      <x v="566"/>
    </i>
    <i>
      <x v="756"/>
    </i>
    <i>
      <x v="703"/>
    </i>
    <i>
      <x v="758"/>
    </i>
    <i>
      <x v="704"/>
    </i>
    <i>
      <x v="760"/>
    </i>
    <i>
      <x v="568"/>
    </i>
    <i>
      <x v="762"/>
    </i>
    <i>
      <x v="706"/>
    </i>
    <i>
      <x v="764"/>
    </i>
    <i>
      <x v="707"/>
    </i>
    <i>
      <x v="766"/>
    </i>
    <i>
      <x v="485"/>
    </i>
    <i>
      <x v="768"/>
    </i>
    <i>
      <x v="570"/>
    </i>
    <i>
      <x v="507"/>
    </i>
    <i>
      <x v="710"/>
    </i>
    <i>
      <x v="772"/>
    </i>
    <i>
      <x v="572"/>
    </i>
    <i>
      <x v="509"/>
    </i>
    <i>
      <x v="712"/>
    </i>
    <i>
      <x v="776"/>
    </i>
    <i>
      <x v="713"/>
    </i>
    <i>
      <x v="778"/>
    </i>
    <i>
      <x v="575"/>
    </i>
    <i>
      <x v="780"/>
    </i>
    <i>
      <x v="576"/>
    </i>
    <i>
      <x v="782"/>
    </i>
    <i>
      <x v="577"/>
    </i>
    <i>
      <x v="784"/>
    </i>
    <i>
      <x v="581"/>
    </i>
    <i>
      <x v="786"/>
    </i>
    <i>
      <x v="718"/>
    </i>
    <i>
      <x v="511"/>
    </i>
    <i>
      <x v="719"/>
    </i>
    <i>
      <x v="437"/>
    </i>
    <i>
      <x v="720"/>
    </i>
    <i>
      <x v="636"/>
    </i>
    <i>
      <x v="721"/>
    </i>
    <i>
      <x v="794"/>
    </i>
    <i>
      <x v="722"/>
    </i>
    <i>
      <x v="796"/>
    </i>
    <i>
      <x v="582"/>
    </i>
    <i>
      <x v="798"/>
    </i>
    <i>
      <x v="724"/>
    </i>
    <i>
      <x v="800"/>
    </i>
    <i>
      <x v="725"/>
    </i>
    <i>
      <x v="517"/>
    </i>
    <i>
      <x v="436"/>
    </i>
    <i>
      <x v="804"/>
    </i>
    <i>
      <x v="457"/>
    </i>
    <i>
      <x v="806"/>
    </i>
    <i>
      <x v="587"/>
    </i>
    <i>
      <x v="808"/>
    </i>
    <i>
      <x v="588"/>
    </i>
    <i>
      <x v="810"/>
    </i>
    <i>
      <x v="589"/>
    </i>
    <i>
      <x v="812"/>
    </i>
    <i>
      <x v="458"/>
    </i>
    <i>
      <x v="814"/>
    </i>
    <i>
      <x v="732"/>
    </i>
    <i>
      <x v="816"/>
    </i>
    <i>
      <x v="595"/>
    </i>
    <i>
      <x v="818"/>
    </i>
    <i>
      <x v="734"/>
    </i>
    <i>
      <x v="820"/>
    </i>
    <i>
      <x v="735"/>
    </i>
    <i>
      <x v="822"/>
    </i>
    <i>
      <x v="736"/>
    </i>
    <i>
      <x v="824"/>
    </i>
    <i>
      <x v="462"/>
    </i>
    <i>
      <x v="826"/>
    </i>
    <i>
      <x v="738"/>
    </i>
    <i>
      <x v="828"/>
    </i>
    <i>
      <x v="599"/>
    </i>
    <i>
      <x v="830"/>
    </i>
    <i>
      <x v="463"/>
    </i>
    <i>
      <x v="832"/>
    </i>
    <i>
      <x v="741"/>
    </i>
    <i>
      <x v="742"/>
    </i>
    <i>
      <x v="428"/>
    </i>
    <i>
      <x v="686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1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</pivotFields>
  <rowFields count="1">
    <field x="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3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13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0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L1070" totalsRowShown="0" headerRowDxfId="19">
  <autoFilter ref="A1:L1070" xr:uid="{2FDE3AF6-1CE1-4F38-BD72-1F03CD30F4FC}">
    <filterColumn colId="5">
      <filters blank="1"/>
    </filterColumn>
  </autoFilter>
  <tableColumns count="12">
    <tableColumn id="1" xr3:uid="{A89FCEBD-EFF0-43A5-BEAC-9201FF09453E}" name="personeelsnr"/>
    <tableColumn id="23" xr3:uid="{3989647C-F1EB-4322-A586-1EC53B4E823E}" name="volledige naam" dataDxfId="18">
      <calculatedColumnFormula>VLOOKUP(bron[[#This Row],[personeelsnr]],[1]Blad1!$A:$H,2,FALSE)</calculatedColumnFormula>
    </tableColumn>
    <tableColumn id="2" xr3:uid="{5226395E-E367-49AF-B1AE-FB793233F2EF}" name="achternaam">
      <calculatedColumnFormula>VLOOKUP(bron[[#This Row],[personeelsnr]],[1]Blad1!$A:$H,3,FALSE)</calculatedColumnFormula>
    </tableColumn>
    <tableColumn id="3" xr3:uid="{A6904BF5-26B6-4790-9F7C-B7ABA61BF162}" name="voornaam">
      <calculatedColumnFormula>VLOOKUP(bron[[#This Row],[personeelsnr]],[1]Blad1!$A:$H,4,FALSE)</calculatedColumnFormula>
    </tableColumn>
    <tableColumn id="4" xr3:uid="{C755616E-8A16-4E70-8F36-D03DAE79077F}" name="teamcoach">
      <calculatedColumnFormula>VLOOKUP(bron[[#This Row],[personeelsnr]],[1]Blad1!$A:$H,8,FALSE)</calculatedColumnFormula>
    </tableColumn>
    <tableColumn id="10" xr3:uid="{8D9646BD-38B6-4F4D-9859-B3933369346B}" name="Datum" dataDxfId="17"/>
    <tableColumn id="22" xr3:uid="{ADDE5B3A-ACF9-4C98-8EF5-502630DB8E93}" name="Link"/>
    <tableColumn id="26" xr3:uid="{F4DF99C9-24F6-4867-927D-6613FA18685A}" name="Locatie"/>
    <tableColumn id="6" xr3:uid="{E9897293-E9A1-4351-B3B2-C179FC04EF40}" name="voertuig"/>
    <tableColumn id="7" xr3:uid="{B6B04AAB-E54F-4250-A335-A78E32B09252}" name="Bus/tram" dataDxfId="16">
      <calculatedColumnFormula>VLOOKUP(bron[[#This Row],[voertuig]],Voertuigen!A:C,3,FALSE)</calculatedColumnFormula>
    </tableColumn>
    <tableColumn id="9" xr3:uid="{5782D080-03E2-4815-B0C2-AB8ECEEFB592}" name="Type" dataDxfId="15">
      <calculatedColumnFormula>VLOOKUP(bron[[#This Row],[voertuig]],Voertuigen!A:C,2,FALSE)</calculatedColumnFormula>
    </tableColumn>
    <tableColumn id="28" xr3:uid="{F72DC24A-B2EB-4B60-B43B-9E1E6F64B37E}" name="totaal" dataDxfId="14">
      <calculatedColumnFormula>COUNTIF(A:A,bron[[#This Row],[personeelsnr]])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12C7B4-2322-4DAC-9346-A10BC91CFC83}" name="Tabel7" displayName="Tabel7" ref="A2:C219" totalsRowShown="0">
  <autoFilter ref="A2:C219" xr:uid="{C012C7B4-2322-4DAC-9346-A10BC91CFC83}"/>
  <tableColumns count="3">
    <tableColumn id="1" xr3:uid="{20B9C4B5-C868-42B5-B11C-DDD585CAA096}" name="voertuignummer"/>
    <tableColumn id="2" xr3:uid="{F5CF6A69-F605-49B9-8B56-5E3C1E04DE9A}" name="type"/>
    <tableColumn id="3" xr3:uid="{43DE3A9A-E7E2-4BF3-8815-7DBDF3C7B1E6}" name="famil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2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1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9"/>
    <tableColumn id="2" xr3:uid="{B74D5419-AF77-4013-9D4D-A27CB821A194}" name="Voornaam" dataDxfId="8"/>
    <tableColumn id="3" xr3:uid="{8AFF5D53-02DB-4104-8133-50DD6E1299B8}" name="Achternaam" dataDxfId="7"/>
    <tableColumn id="4" xr3:uid="{B76D7E71-E174-470B-9D6C-5440B7A4886F}" name="Personeelsnummer" dataDxfId="6"/>
    <tableColumn id="6" xr3:uid="{944F1A33-FEB0-4FC2-8D2C-B7C202DA92D5}" name="Team Coach" dataDxfId="5"/>
    <tableColumn id="7" xr3:uid="{5B917C88-1EEB-48B9-9CA7-608DFC8F40C2}" name="Datum in dienst" dataDxfId="4"/>
    <tableColumn id="10" xr3:uid="{3501E25E-962A-4C61-8F65-B8F428AE63EB}" name="Dienstjaren" dataDxfId="3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671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769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21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324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531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629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170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268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475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682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32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128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335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42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181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402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279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86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693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707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43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39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346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553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60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92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206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413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497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620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718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357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54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96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61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217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399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564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71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827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259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24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466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31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673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729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23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119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270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26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533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65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30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68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575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740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782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172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228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35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477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600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642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4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281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337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502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34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76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41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379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44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586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751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3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807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7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183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239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390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4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446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611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3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0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2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306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488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695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09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45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87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110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348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513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555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597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20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2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818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152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194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208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15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457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622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261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99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664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4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56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317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59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524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566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731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3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98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121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3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219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370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426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633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29" Type="http://schemas.openxmlformats.org/officeDocument/2006/relationships/hyperlink" Target="../../../../../../:b:/r/teams/CTM-OTGentStad/Shared%20Documents/General/EAF/CSI(nieuwe%20sharepoint)%202025/1.%20Januari/EAF%206356%20Gentbrugge%2018012025.pdf?csf=1&amp;web=1&amp;e=wRhOqm" TargetMode="External"/><Relationship Id="rId230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468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675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25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67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272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328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35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577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700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742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132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174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1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602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784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241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437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79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644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686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36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283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339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490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504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546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711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3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78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01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143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185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350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406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588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795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809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9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210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392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448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613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655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697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820" Type="http://schemas.openxmlformats.org/officeDocument/2006/relationships/hyperlink" Target="../../../../../../:b:/r/teams/CTM-OTGentStad/Shared%20Documents/General/EAF/CSI(nieuwe%20sharepoint)%202025/12.%20December/EAF%205487%20Dendermondsesteenweg%20Gent%2008122025%20-%2040652.pdf?csf=1&amp;web=1&amp;e=66e3bX" TargetMode="External"/><Relationship Id="rId252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294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308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515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722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47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89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12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154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1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57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599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764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196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417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59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624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666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831" Type="http://schemas.openxmlformats.org/officeDocument/2006/relationships/drawing" Target="../drawings/drawing2.xml"/><Relationship Id="rId16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21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263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319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470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526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58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23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0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68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33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75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165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372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428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35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677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800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232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274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1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702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27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69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134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37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579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744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86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76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341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383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439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590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604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646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811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01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243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285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450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506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88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38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03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0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492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548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13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755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797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91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45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187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352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394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408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615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822" Type="http://schemas.openxmlformats.org/officeDocument/2006/relationships/hyperlink" Target="../../../../../../:b:/r/teams/CTM-OTGentStad/Shared%20Documents/General/EAF/CSI(nieuwe%20sharepoint)%202025/12.%20December/EAF%202546%2009122025%20Gent%2041918.pdf?csf=1&amp;web=1&amp;e=IKXhet" TargetMode="External"/><Relationship Id="rId212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254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57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699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9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114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96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461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517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59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24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66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60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56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198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21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363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419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570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626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223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0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68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18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265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472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528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35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25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167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332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74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1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77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71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234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637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79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802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276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441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483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539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690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4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746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40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36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178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01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343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0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88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2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203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385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592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606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48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813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245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87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410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2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494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08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715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105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147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312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4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57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799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1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93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89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396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561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617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659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824" Type="http://schemas.openxmlformats.org/officeDocument/2006/relationships/hyperlink" Target="../../../../../../:b:/r/teams/CTM-OTGentStad/Shared%20Documents/General/EAF/CSI(nieuwe%20sharepoint)%202025/12.%20December/EAF%205265%20Gent%2030122025%2031731.pdf?csf=1&amp;web=1&amp;e=KLK8Br" TargetMode="External"/><Relationship Id="rId214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256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298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21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463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519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670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116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58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23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0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26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68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20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2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365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572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628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25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267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432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4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127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681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737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79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31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73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69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34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376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541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583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639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790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4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180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236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278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01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443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0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303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485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692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706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48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42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4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38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45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387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510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552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4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608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815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191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205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247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12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107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289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454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496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661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717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759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3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49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14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356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398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21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63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619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770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95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160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216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423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826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258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65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30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2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728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22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4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18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25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367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532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4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171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227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781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269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34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476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641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683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739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33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29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280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336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501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543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40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2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78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03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585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750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2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806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38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45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487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610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652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4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708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291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305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347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512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44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86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51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89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554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596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761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817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193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207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49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14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456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498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621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663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3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109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60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316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523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19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55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97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20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58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65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730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772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828" Type="http://schemas.openxmlformats.org/officeDocument/2006/relationships/hyperlink" Target="../../../../../../:b:/r/teams/CTM-OTGentStad/Shared%20Documents/General/EAF/2026/Januari/EAF%202199%20Gent%2008012026%2041619.pdf?csf=1&amp;web=1&amp;e=tdhNaM" TargetMode="External"/><Relationship Id="rId162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218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25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467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632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1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74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24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66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131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27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69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34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576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41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3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173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229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380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436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601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3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40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78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85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35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77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100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282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338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03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545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587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710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752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808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42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184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1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405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47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612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794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51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89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654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696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46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293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307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49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514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556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721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3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88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11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3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195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209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360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416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98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819" Type="http://schemas.openxmlformats.org/officeDocument/2006/relationships/hyperlink" Target="../../../../../../:b:/r/teams/CTM-OTGentStad/Shared%20Documents/General/EAF/CSI(nieuwe%20sharepoint)%202025/12.%20December/EAF%205054%2009122025%20Gent%2032611.pdf?csf=1&amp;web=1&amp;e=rLUCEf" TargetMode="External"/><Relationship Id="rId220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58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23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665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830" Type="http://schemas.openxmlformats.org/officeDocument/2006/relationships/printerSettings" Target="../printerSettings/printerSettings1.bin"/><Relationship Id="rId15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57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262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318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25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567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732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99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22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164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1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74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427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69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634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676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26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231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3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329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480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536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701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68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33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175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340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78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43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785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200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382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438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03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645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687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810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2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284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1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505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712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37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79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02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144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547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89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754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796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90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86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351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3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407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449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14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656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821" Type="http://schemas.openxmlformats.org/officeDocument/2006/relationships/hyperlink" Target="../../../../../../:b:/r/teams/CTM-OTGentStad/Shared%20Documents/General/EAF/CSI(nieuwe%20sharepoint)%202025/2.%20Februari/EAF%206320%20Gent%20Zonnestraat%2027022025%20El-Mohamed%20Mohamed.pdf?csf=1&amp;web=1&amp;e=HDfU0X" TargetMode="External"/><Relationship Id="rId211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253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295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309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460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516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98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48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13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0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58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23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765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155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197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362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418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25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832" Type="http://schemas.openxmlformats.org/officeDocument/2006/relationships/table" Target="../tables/table1.xml"/><Relationship Id="rId222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264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1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67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17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59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24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527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69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734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76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70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66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331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373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29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580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636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801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0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78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28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275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00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482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538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03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745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81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35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77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42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384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1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605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787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12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202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4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47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89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39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286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451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3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507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549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14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756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50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104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146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188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311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353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395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09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560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98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92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213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0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616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58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823" Type="http://schemas.openxmlformats.org/officeDocument/2006/relationships/hyperlink" Target="../../../../../../:b:/r/teams/CTM-OTGentStad/Shared%20Documents/General/EAF/CSI(nieuwe%20sharepoint)%202025/12.%20December/EAF%20221323%20Gent%2022122025%2039850.pdf?csf=1&amp;web=1&amp;e=Ympmpe" TargetMode="External"/><Relationship Id="rId255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297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462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518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25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115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157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322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4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67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61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99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571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627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669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19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224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266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431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473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529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680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736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30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126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168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333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40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778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72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375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582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638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803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5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277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400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2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484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705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137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302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4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691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747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9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41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83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79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86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551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593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607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649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814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190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4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246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288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411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453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509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660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06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313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495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716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58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52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94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48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355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397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520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2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618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825" Type="http://schemas.openxmlformats.org/officeDocument/2006/relationships/hyperlink" Target="../../../../../../:b:/r/teams/CTM-OTGentStad/Shared%20Documents/General/EAF/2026/Januari/EAF%205231%20Gent%2038807%2006012026.pdf?csf=1&amp;web=1&amp;e=T9njU0" TargetMode="External"/><Relationship Id="rId215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257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22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4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299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727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63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59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66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73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80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26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433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40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738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4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377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500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584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805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5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7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791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444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51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749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290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4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388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511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09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85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50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595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816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48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455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62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2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108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15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22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5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C32" sqref="C32"/>
    </sheetView>
  </sheetViews>
  <sheetFormatPr defaultColWidth="9.140625" defaultRowHeight="15" x14ac:dyDescent="0.25"/>
  <cols>
    <col min="1" max="2" width="9.140625" style="17"/>
    <col min="3" max="3" width="35.42578125" style="17" bestFit="1" customWidth="1"/>
    <col min="4" max="7" width="16.7109375" style="17" bestFit="1" customWidth="1"/>
    <col min="8" max="8" width="9.42578125" style="17" bestFit="1" customWidth="1"/>
    <col min="9" max="9" width="19.7109375" style="17" bestFit="1" customWidth="1"/>
    <col min="10" max="10" width="16.7109375" style="17" bestFit="1" customWidth="1"/>
    <col min="11" max="25" width="10.42578125" style="17" bestFit="1" customWidth="1"/>
    <col min="26" max="34" width="9.42578125" style="17" bestFit="1" customWidth="1"/>
    <col min="35" max="47" width="10.42578125" style="17" bestFit="1" customWidth="1"/>
    <col min="48" max="53" width="9.42578125" style="17" bestFit="1" customWidth="1"/>
    <col min="54" max="69" width="10.42578125" style="17" bestFit="1" customWidth="1"/>
    <col min="70" max="75" width="9.42578125" style="17" bestFit="1" customWidth="1"/>
    <col min="76" max="93" width="10.42578125" style="17" bestFit="1" customWidth="1"/>
    <col min="94" max="101" width="9.42578125" style="17" bestFit="1" customWidth="1"/>
    <col min="102" max="115" width="10.42578125" style="17" bestFit="1" customWidth="1"/>
    <col min="116" max="120" width="9.42578125" style="17" bestFit="1" customWidth="1"/>
    <col min="121" max="137" width="10.42578125" style="17" bestFit="1" customWidth="1"/>
    <col min="138" max="144" width="9.42578125" style="17" bestFit="1" customWidth="1"/>
    <col min="145" max="159" width="10.42578125" style="17" bestFit="1" customWidth="1"/>
    <col min="160" max="166" width="9.42578125" style="17" bestFit="1" customWidth="1"/>
    <col min="167" max="177" width="10.42578125" style="17" bestFit="1" customWidth="1"/>
    <col min="178" max="185" width="9.42578125" style="17" bestFit="1" customWidth="1"/>
    <col min="186" max="201" width="10.42578125" style="17" bestFit="1" customWidth="1"/>
    <col min="202" max="208" width="9.42578125" style="17" bestFit="1" customWidth="1"/>
    <col min="209" max="225" width="10.42578125" style="17" bestFit="1" customWidth="1"/>
    <col min="226" max="232" width="9.42578125" style="17" bestFit="1" customWidth="1"/>
    <col min="233" max="248" width="10.42578125" style="17" bestFit="1" customWidth="1"/>
    <col min="249" max="255" width="9.42578125" style="17" bestFit="1" customWidth="1"/>
    <col min="256" max="271" width="10.42578125" style="17" bestFit="1" customWidth="1"/>
    <col min="272" max="275" width="9.42578125" style="17" bestFit="1" customWidth="1"/>
    <col min="276" max="293" width="10.42578125" style="17" bestFit="1" customWidth="1"/>
    <col min="294" max="299" width="9.42578125" style="17" bestFit="1" customWidth="1"/>
    <col min="300" max="315" width="10.42578125" style="17" bestFit="1" customWidth="1"/>
    <col min="316" max="322" width="9.42578125" style="17" bestFit="1" customWidth="1"/>
    <col min="323" max="338" width="10.42578125" style="17" bestFit="1" customWidth="1"/>
    <col min="339" max="344" width="9.42578125" style="17" bestFit="1" customWidth="1"/>
    <col min="345" max="358" width="10.42578125" style="17" bestFit="1" customWidth="1"/>
    <col min="359" max="366" width="9.42578125" style="17" bestFit="1" customWidth="1"/>
    <col min="367" max="379" width="10.42578125" style="17" bestFit="1" customWidth="1"/>
    <col min="380" max="385" width="9.42578125" style="17" bestFit="1" customWidth="1"/>
    <col min="386" max="397" width="10.42578125" style="17" bestFit="1" customWidth="1"/>
    <col min="398" max="405" width="9.42578125" style="17" bestFit="1" customWidth="1"/>
    <col min="406" max="422" width="10.42578125" style="17" bestFit="1" customWidth="1"/>
    <col min="423" max="427" width="9.42578125" style="17" bestFit="1" customWidth="1"/>
    <col min="428" max="439" width="10.42578125" style="17" bestFit="1" customWidth="1"/>
    <col min="440" max="446" width="9.42578125" style="17" bestFit="1" customWidth="1"/>
    <col min="447" max="460" width="10.42578125" style="17" bestFit="1" customWidth="1"/>
    <col min="461" max="465" width="9.42578125" style="17" bestFit="1" customWidth="1"/>
    <col min="466" max="484" width="10.42578125" style="17" bestFit="1" customWidth="1"/>
    <col min="485" max="491" width="9.42578125" style="17" bestFit="1" customWidth="1"/>
    <col min="492" max="504" width="10.42578125" style="17" bestFit="1" customWidth="1"/>
    <col min="505" max="505" width="6.28515625" style="17" bestFit="1" customWidth="1"/>
    <col min="506" max="506" width="10.140625" style="17" bestFit="1" customWidth="1"/>
    <col min="507" max="16384" width="9.140625" style="17"/>
  </cols>
  <sheetData>
    <row r="10" spans="3:10" x14ac:dyDescent="0.25">
      <c r="C10" s="1" t="s">
        <v>0</v>
      </c>
      <c r="D10" t="s">
        <v>1</v>
      </c>
      <c r="F10" t="s">
        <v>1</v>
      </c>
      <c r="I10" s="1" t="s">
        <v>0</v>
      </c>
      <c r="J10" t="s">
        <v>1</v>
      </c>
    </row>
    <row r="11" spans="3:10" x14ac:dyDescent="0.25">
      <c r="C11" s="2" t="s">
        <v>3016</v>
      </c>
      <c r="D11">
        <v>9</v>
      </c>
      <c r="F11">
        <v>522</v>
      </c>
      <c r="I11" s="2" t="s">
        <v>3009</v>
      </c>
      <c r="J11">
        <v>81</v>
      </c>
    </row>
    <row r="12" spans="3:10" x14ac:dyDescent="0.25">
      <c r="C12" s="2" t="s">
        <v>3017</v>
      </c>
      <c r="D12">
        <v>8</v>
      </c>
      <c r="I12" s="2" t="s">
        <v>3008</v>
      </c>
      <c r="J12">
        <v>79</v>
      </c>
    </row>
    <row r="13" spans="3:10" x14ac:dyDescent="0.25">
      <c r="C13" s="2" t="s">
        <v>3018</v>
      </c>
      <c r="D13">
        <v>5</v>
      </c>
      <c r="I13" s="2" t="s">
        <v>3004</v>
      </c>
      <c r="J13">
        <v>71</v>
      </c>
    </row>
    <row r="14" spans="3:10" x14ac:dyDescent="0.25">
      <c r="C14" s="2" t="s">
        <v>3019</v>
      </c>
      <c r="D14">
        <v>5</v>
      </c>
      <c r="I14" s="2" t="s">
        <v>3006</v>
      </c>
      <c r="J14">
        <v>63</v>
      </c>
    </row>
    <row r="15" spans="3:10" x14ac:dyDescent="0.25">
      <c r="C15" s="2" t="s">
        <v>3020</v>
      </c>
      <c r="D15">
        <v>5</v>
      </c>
      <c r="I15" s="2" t="s">
        <v>3005</v>
      </c>
      <c r="J15">
        <v>57</v>
      </c>
    </row>
    <row r="16" spans="3:10" x14ac:dyDescent="0.25">
      <c r="C16" s="2" t="s">
        <v>3021</v>
      </c>
      <c r="D16">
        <v>5</v>
      </c>
      <c r="I16" s="2" t="s">
        <v>3007</v>
      </c>
      <c r="J16">
        <v>49</v>
      </c>
    </row>
    <row r="17" spans="3:10" x14ac:dyDescent="0.25">
      <c r="C17" s="2" t="s">
        <v>3022</v>
      </c>
      <c r="D17">
        <v>5</v>
      </c>
      <c r="I17" s="2" t="s">
        <v>3010</v>
      </c>
      <c r="J17">
        <v>47</v>
      </c>
    </row>
    <row r="18" spans="3:10" x14ac:dyDescent="0.25">
      <c r="C18" s="2" t="s">
        <v>3023</v>
      </c>
      <c r="D18">
        <v>5</v>
      </c>
      <c r="I18" s="2" t="s">
        <v>3003</v>
      </c>
      <c r="J18">
        <v>41</v>
      </c>
    </row>
    <row r="19" spans="3:10" x14ac:dyDescent="0.25">
      <c r="C19" s="2" t="s">
        <v>3025</v>
      </c>
      <c r="D19">
        <v>4</v>
      </c>
      <c r="I19" s="2" t="s">
        <v>6</v>
      </c>
      <c r="J19">
        <v>488</v>
      </c>
    </row>
    <row r="20" spans="3:10" x14ac:dyDescent="0.25">
      <c r="C20" s="2" t="s">
        <v>3056</v>
      </c>
      <c r="D20">
        <v>4</v>
      </c>
      <c r="F20" s="1" t="s">
        <v>0</v>
      </c>
      <c r="G20" t="s">
        <v>1</v>
      </c>
      <c r="I20"/>
      <c r="J20"/>
    </row>
    <row r="21" spans="3:10" x14ac:dyDescent="0.25">
      <c r="C21" s="2" t="s">
        <v>3026</v>
      </c>
      <c r="D21">
        <v>4</v>
      </c>
      <c r="F21" s="2" t="s">
        <v>7</v>
      </c>
      <c r="G21">
        <v>33</v>
      </c>
      <c r="I21"/>
      <c r="J21"/>
    </row>
    <row r="22" spans="3:10" x14ac:dyDescent="0.25">
      <c r="C22" s="2" t="s">
        <v>3027</v>
      </c>
      <c r="D22">
        <v>4</v>
      </c>
      <c r="F22" s="2" t="s">
        <v>8</v>
      </c>
      <c r="G22">
        <v>21</v>
      </c>
    </row>
    <row r="23" spans="3:10" x14ac:dyDescent="0.25">
      <c r="C23" s="2" t="s">
        <v>3031</v>
      </c>
      <c r="D23">
        <v>4</v>
      </c>
      <c r="F23" s="2" t="s">
        <v>9</v>
      </c>
      <c r="G23">
        <v>16</v>
      </c>
    </row>
    <row r="24" spans="3:10" x14ac:dyDescent="0.25">
      <c r="C24" s="2" t="s">
        <v>3029</v>
      </c>
      <c r="D24">
        <v>4</v>
      </c>
      <c r="F24" s="2" t="s">
        <v>10</v>
      </c>
      <c r="G24">
        <v>13</v>
      </c>
    </row>
    <row r="25" spans="3:10" x14ac:dyDescent="0.25">
      <c r="C25" s="2" t="s">
        <v>3028</v>
      </c>
      <c r="D25">
        <v>4</v>
      </c>
      <c r="F25" s="2" t="s">
        <v>11</v>
      </c>
      <c r="G25">
        <v>13</v>
      </c>
    </row>
    <row r="26" spans="3:10" x14ac:dyDescent="0.25">
      <c r="C26" s="2" t="s">
        <v>3024</v>
      </c>
      <c r="D26">
        <v>4</v>
      </c>
      <c r="F26" s="2" t="s">
        <v>12</v>
      </c>
      <c r="G26">
        <v>12</v>
      </c>
    </row>
    <row r="27" spans="3:10" x14ac:dyDescent="0.25">
      <c r="C27" s="2" t="s">
        <v>3030</v>
      </c>
      <c r="D27">
        <v>4</v>
      </c>
      <c r="F27" s="2" t="s">
        <v>13</v>
      </c>
      <c r="G27">
        <v>11</v>
      </c>
    </row>
    <row r="28" spans="3:10" x14ac:dyDescent="0.25">
      <c r="C28" s="2" t="s">
        <v>3045</v>
      </c>
      <c r="D28">
        <v>3</v>
      </c>
      <c r="F28" s="2" t="s">
        <v>18</v>
      </c>
      <c r="G28">
        <v>9</v>
      </c>
    </row>
    <row r="29" spans="3:10" x14ac:dyDescent="0.25">
      <c r="C29" s="2" t="s">
        <v>3053</v>
      </c>
      <c r="D29">
        <v>3</v>
      </c>
      <c r="F29" s="2" t="s">
        <v>14</v>
      </c>
      <c r="G29">
        <v>9</v>
      </c>
    </row>
    <row r="30" spans="3:10" x14ac:dyDescent="0.25">
      <c r="C30" s="2" t="s">
        <v>3049</v>
      </c>
      <c r="D30">
        <v>3</v>
      </c>
      <c r="F30" s="2" t="s">
        <v>16</v>
      </c>
      <c r="G30">
        <v>9</v>
      </c>
    </row>
    <row r="31" spans="3:10" x14ac:dyDescent="0.25">
      <c r="C31" s="2" t="s">
        <v>3036</v>
      </c>
      <c r="D31">
        <v>3</v>
      </c>
      <c r="F31" s="2" t="s">
        <v>15</v>
      </c>
      <c r="G31">
        <v>9</v>
      </c>
    </row>
    <row r="32" spans="3:10" x14ac:dyDescent="0.25">
      <c r="C32" s="2" t="s">
        <v>3057</v>
      </c>
      <c r="D32">
        <v>3</v>
      </c>
      <c r="F32" s="2" t="s">
        <v>17</v>
      </c>
      <c r="G32">
        <v>9</v>
      </c>
    </row>
    <row r="33" spans="3:7" x14ac:dyDescent="0.25">
      <c r="C33" s="2" t="s">
        <v>3038</v>
      </c>
      <c r="D33">
        <v>3</v>
      </c>
      <c r="F33" s="2" t="s">
        <v>21</v>
      </c>
      <c r="G33">
        <v>8</v>
      </c>
    </row>
    <row r="34" spans="3:7" x14ac:dyDescent="0.25">
      <c r="C34" s="2" t="s">
        <v>3047</v>
      </c>
      <c r="D34">
        <v>3</v>
      </c>
      <c r="F34" s="2" t="s">
        <v>22</v>
      </c>
      <c r="G34">
        <v>7</v>
      </c>
    </row>
    <row r="35" spans="3:7" x14ac:dyDescent="0.25">
      <c r="C35" s="2" t="s">
        <v>3040</v>
      </c>
      <c r="D35">
        <v>3</v>
      </c>
      <c r="F35" s="2" t="s">
        <v>20</v>
      </c>
      <c r="G35">
        <v>7</v>
      </c>
    </row>
    <row r="36" spans="3:7" x14ac:dyDescent="0.25">
      <c r="C36" s="2" t="s">
        <v>3051</v>
      </c>
      <c r="D36">
        <v>3</v>
      </c>
      <c r="F36" s="2" t="s">
        <v>23</v>
      </c>
      <c r="G36">
        <v>7</v>
      </c>
    </row>
    <row r="37" spans="3:7" x14ac:dyDescent="0.25">
      <c r="C37" s="2" t="s">
        <v>3066</v>
      </c>
      <c r="D37">
        <v>3</v>
      </c>
      <c r="F37" s="2" t="s">
        <v>19</v>
      </c>
      <c r="G37">
        <v>7</v>
      </c>
    </row>
    <row r="38" spans="3:7" x14ac:dyDescent="0.25">
      <c r="C38" s="2" t="s">
        <v>3055</v>
      </c>
      <c r="D38">
        <v>3</v>
      </c>
      <c r="F38" s="2" t="s">
        <v>28</v>
      </c>
      <c r="G38">
        <v>6</v>
      </c>
    </row>
    <row r="39" spans="3:7" x14ac:dyDescent="0.25">
      <c r="C39" s="2" t="s">
        <v>3042</v>
      </c>
      <c r="D39">
        <v>3</v>
      </c>
      <c r="F39" s="2" t="s">
        <v>24</v>
      </c>
      <c r="G39">
        <v>6</v>
      </c>
    </row>
    <row r="40" spans="3:7" x14ac:dyDescent="0.25">
      <c r="C40" s="2" t="s">
        <v>3043</v>
      </c>
      <c r="D40">
        <v>3</v>
      </c>
      <c r="F40" s="2" t="s">
        <v>25</v>
      </c>
      <c r="G40">
        <v>6</v>
      </c>
    </row>
    <row r="41" spans="3:7" x14ac:dyDescent="0.25">
      <c r="C41" s="2" t="s">
        <v>3044</v>
      </c>
      <c r="D41">
        <v>3</v>
      </c>
      <c r="F41" s="2" t="s">
        <v>29</v>
      </c>
      <c r="G41">
        <v>5</v>
      </c>
    </row>
    <row r="42" spans="3:7" x14ac:dyDescent="0.25">
      <c r="C42" s="2" t="s">
        <v>3037</v>
      </c>
      <c r="D42">
        <v>3</v>
      </c>
      <c r="F42" s="2" t="s">
        <v>27</v>
      </c>
      <c r="G42">
        <v>5</v>
      </c>
    </row>
    <row r="43" spans="3:7" x14ac:dyDescent="0.25">
      <c r="C43" s="2" t="s">
        <v>3046</v>
      </c>
      <c r="D43">
        <v>3</v>
      </c>
      <c r="F43" s="2" t="s">
        <v>26</v>
      </c>
      <c r="G43">
        <v>5</v>
      </c>
    </row>
    <row r="44" spans="3:7" x14ac:dyDescent="0.25">
      <c r="C44" s="2" t="s">
        <v>3033</v>
      </c>
      <c r="D44">
        <v>3</v>
      </c>
      <c r="F44" s="2" t="s">
        <v>31</v>
      </c>
      <c r="G44">
        <v>4</v>
      </c>
    </row>
    <row r="45" spans="3:7" x14ac:dyDescent="0.25">
      <c r="C45" s="2" t="s">
        <v>3048</v>
      </c>
      <c r="D45">
        <v>3</v>
      </c>
      <c r="F45" s="2" t="s">
        <v>30</v>
      </c>
      <c r="G45">
        <v>4</v>
      </c>
    </row>
    <row r="46" spans="3:7" x14ac:dyDescent="0.25">
      <c r="C46" s="2" t="s">
        <v>3039</v>
      </c>
      <c r="D46">
        <v>3</v>
      </c>
      <c r="F46" s="2" t="s">
        <v>33</v>
      </c>
      <c r="G46">
        <v>4</v>
      </c>
    </row>
    <row r="47" spans="3:7" x14ac:dyDescent="0.25">
      <c r="C47" s="2" t="s">
        <v>3050</v>
      </c>
      <c r="D47">
        <v>3</v>
      </c>
      <c r="F47" s="2" t="s">
        <v>44</v>
      </c>
      <c r="G47">
        <v>4</v>
      </c>
    </row>
    <row r="48" spans="3:7" x14ac:dyDescent="0.25">
      <c r="C48" s="2" t="s">
        <v>3032</v>
      </c>
      <c r="D48">
        <v>3</v>
      </c>
      <c r="F48" s="2" t="s">
        <v>32</v>
      </c>
      <c r="G48">
        <v>4</v>
      </c>
    </row>
    <row r="49" spans="3:7" x14ac:dyDescent="0.25">
      <c r="C49" s="2" t="s">
        <v>3052</v>
      </c>
      <c r="D49">
        <v>3</v>
      </c>
      <c r="F49" s="2" t="s">
        <v>42</v>
      </c>
      <c r="G49">
        <v>4</v>
      </c>
    </row>
    <row r="50" spans="3:7" x14ac:dyDescent="0.25">
      <c r="C50" s="2" t="s">
        <v>3041</v>
      </c>
      <c r="D50">
        <v>3</v>
      </c>
      <c r="F50" s="2" t="s">
        <v>34</v>
      </c>
      <c r="G50">
        <v>4</v>
      </c>
    </row>
    <row r="51" spans="3:7" x14ac:dyDescent="0.25">
      <c r="C51" s="2" t="s">
        <v>3054</v>
      </c>
      <c r="D51">
        <v>3</v>
      </c>
      <c r="F51" s="2" t="s">
        <v>52</v>
      </c>
      <c r="G51">
        <v>4</v>
      </c>
    </row>
    <row r="52" spans="3:7" x14ac:dyDescent="0.25">
      <c r="C52" s="2" t="s">
        <v>3035</v>
      </c>
      <c r="D52">
        <v>3</v>
      </c>
      <c r="F52" s="2" t="s">
        <v>47</v>
      </c>
      <c r="G52">
        <v>3</v>
      </c>
    </row>
    <row r="53" spans="3:7" x14ac:dyDescent="0.25">
      <c r="C53" s="2" t="s">
        <v>3059</v>
      </c>
      <c r="D53">
        <v>3</v>
      </c>
      <c r="F53" s="2" t="s">
        <v>40</v>
      </c>
      <c r="G53">
        <v>3</v>
      </c>
    </row>
    <row r="54" spans="3:7" x14ac:dyDescent="0.25">
      <c r="C54" s="2" t="s">
        <v>3058</v>
      </c>
      <c r="D54">
        <v>3</v>
      </c>
      <c r="F54" s="2" t="s">
        <v>49</v>
      </c>
      <c r="G54">
        <v>3</v>
      </c>
    </row>
    <row r="55" spans="3:7" x14ac:dyDescent="0.25">
      <c r="C55" s="2" t="s">
        <v>3034</v>
      </c>
      <c r="D55">
        <v>3</v>
      </c>
      <c r="F55" s="2" t="s">
        <v>66</v>
      </c>
      <c r="G55">
        <v>3</v>
      </c>
    </row>
    <row r="56" spans="3:7" x14ac:dyDescent="0.25">
      <c r="C56" s="2" t="s">
        <v>3063</v>
      </c>
      <c r="D56">
        <v>2</v>
      </c>
      <c r="F56" s="2" t="s">
        <v>43</v>
      </c>
      <c r="G56">
        <v>3</v>
      </c>
    </row>
    <row r="57" spans="3:7" x14ac:dyDescent="0.25">
      <c r="C57" s="2" t="s">
        <v>3082</v>
      </c>
      <c r="D57">
        <v>2</v>
      </c>
      <c r="F57" s="2" t="s">
        <v>48</v>
      </c>
      <c r="G57">
        <v>3</v>
      </c>
    </row>
    <row r="58" spans="3:7" x14ac:dyDescent="0.25">
      <c r="C58" s="2" t="s">
        <v>3098</v>
      </c>
      <c r="D58">
        <v>2</v>
      </c>
      <c r="F58" s="2" t="s">
        <v>35</v>
      </c>
      <c r="G58">
        <v>3</v>
      </c>
    </row>
    <row r="59" spans="3:7" x14ac:dyDescent="0.25">
      <c r="C59" s="2" t="s">
        <v>3065</v>
      </c>
      <c r="D59">
        <v>2</v>
      </c>
      <c r="F59" s="2" t="s">
        <v>38</v>
      </c>
      <c r="G59">
        <v>3</v>
      </c>
    </row>
    <row r="60" spans="3:7" x14ac:dyDescent="0.25">
      <c r="C60" s="2" t="s">
        <v>3086</v>
      </c>
      <c r="D60">
        <v>2</v>
      </c>
      <c r="F60" s="2" t="s">
        <v>77</v>
      </c>
      <c r="G60">
        <v>3</v>
      </c>
    </row>
    <row r="61" spans="3:7" x14ac:dyDescent="0.25">
      <c r="C61" s="2" t="s">
        <v>3067</v>
      </c>
      <c r="D61">
        <v>2</v>
      </c>
      <c r="F61" s="2" t="s">
        <v>36</v>
      </c>
      <c r="G61">
        <v>3</v>
      </c>
    </row>
    <row r="62" spans="3:7" x14ac:dyDescent="0.25">
      <c r="C62" s="2" t="s">
        <v>3094</v>
      </c>
      <c r="D62">
        <v>2</v>
      </c>
      <c r="F62" s="2" t="s">
        <v>53</v>
      </c>
      <c r="G62">
        <v>3</v>
      </c>
    </row>
    <row r="63" spans="3:7" x14ac:dyDescent="0.25">
      <c r="C63" s="2" t="s">
        <v>3069</v>
      </c>
      <c r="D63">
        <v>2</v>
      </c>
      <c r="F63" s="2" t="s">
        <v>45</v>
      </c>
      <c r="G63">
        <v>3</v>
      </c>
    </row>
    <row r="64" spans="3:7" x14ac:dyDescent="0.25">
      <c r="C64" s="2" t="s">
        <v>3102</v>
      </c>
      <c r="D64">
        <v>2</v>
      </c>
      <c r="F64" s="2" t="s">
        <v>51</v>
      </c>
      <c r="G64">
        <v>3</v>
      </c>
    </row>
    <row r="65" spans="3:7" x14ac:dyDescent="0.25">
      <c r="C65" s="2" t="s">
        <v>3071</v>
      </c>
      <c r="D65">
        <v>2</v>
      </c>
      <c r="F65" s="2" t="s">
        <v>41</v>
      </c>
      <c r="G65">
        <v>3</v>
      </c>
    </row>
    <row r="66" spans="3:7" x14ac:dyDescent="0.25">
      <c r="C66" s="2" t="s">
        <v>3093</v>
      </c>
      <c r="D66">
        <v>2</v>
      </c>
      <c r="F66" s="2" t="s">
        <v>37</v>
      </c>
      <c r="G66">
        <v>3</v>
      </c>
    </row>
    <row r="67" spans="3:7" x14ac:dyDescent="0.25">
      <c r="C67" s="2" t="s">
        <v>3073</v>
      </c>
      <c r="D67">
        <v>2</v>
      </c>
      <c r="F67" s="2" t="s">
        <v>46</v>
      </c>
      <c r="G67">
        <v>3</v>
      </c>
    </row>
    <row r="68" spans="3:7" x14ac:dyDescent="0.25">
      <c r="C68" s="2" t="s">
        <v>3060</v>
      </c>
      <c r="D68">
        <v>2</v>
      </c>
      <c r="F68" s="2" t="s">
        <v>39</v>
      </c>
      <c r="G68">
        <v>3</v>
      </c>
    </row>
    <row r="69" spans="3:7" x14ac:dyDescent="0.25">
      <c r="C69" s="2" t="s">
        <v>3081</v>
      </c>
      <c r="D69">
        <v>2</v>
      </c>
      <c r="F69" s="2" t="s">
        <v>50</v>
      </c>
      <c r="G69">
        <v>3</v>
      </c>
    </row>
    <row r="70" spans="3:7" x14ac:dyDescent="0.25">
      <c r="C70" s="2" t="s">
        <v>3075</v>
      </c>
      <c r="D70">
        <v>2</v>
      </c>
      <c r="F70" s="2" t="s">
        <v>71</v>
      </c>
      <c r="G70">
        <v>2</v>
      </c>
    </row>
    <row r="71" spans="3:7" x14ac:dyDescent="0.25">
      <c r="C71" s="2" t="s">
        <v>3085</v>
      </c>
      <c r="D71">
        <v>2</v>
      </c>
      <c r="F71" s="2" t="s">
        <v>74</v>
      </c>
      <c r="G71">
        <v>2</v>
      </c>
    </row>
    <row r="72" spans="3:7" x14ac:dyDescent="0.25">
      <c r="C72" s="2" t="s">
        <v>3096</v>
      </c>
      <c r="D72">
        <v>2</v>
      </c>
      <c r="F72" s="2" t="s">
        <v>57</v>
      </c>
      <c r="G72">
        <v>2</v>
      </c>
    </row>
    <row r="73" spans="3:7" x14ac:dyDescent="0.25">
      <c r="C73" s="2" t="s">
        <v>3079</v>
      </c>
      <c r="D73">
        <v>2</v>
      </c>
      <c r="F73" s="2" t="s">
        <v>61</v>
      </c>
      <c r="G73">
        <v>2</v>
      </c>
    </row>
    <row r="74" spans="3:7" x14ac:dyDescent="0.25">
      <c r="C74" s="2" t="s">
        <v>3100</v>
      </c>
      <c r="D74">
        <v>2</v>
      </c>
      <c r="F74" s="2" t="s">
        <v>200</v>
      </c>
      <c r="G74">
        <v>2</v>
      </c>
    </row>
    <row r="75" spans="3:7" x14ac:dyDescent="0.25">
      <c r="C75" s="2" t="s">
        <v>3091</v>
      </c>
      <c r="D75">
        <v>2</v>
      </c>
      <c r="F75" s="2" t="s">
        <v>63</v>
      </c>
      <c r="G75">
        <v>2</v>
      </c>
    </row>
    <row r="76" spans="3:7" x14ac:dyDescent="0.25">
      <c r="C76" s="2" t="s">
        <v>3095</v>
      </c>
      <c r="D76">
        <v>2</v>
      </c>
      <c r="F76" s="2" t="s">
        <v>135</v>
      </c>
      <c r="G76">
        <v>2</v>
      </c>
    </row>
    <row r="77" spans="3:7" x14ac:dyDescent="0.25">
      <c r="C77" s="2" t="s">
        <v>3083</v>
      </c>
      <c r="D77">
        <v>2</v>
      </c>
      <c r="F77" s="2" t="s">
        <v>90</v>
      </c>
      <c r="G77">
        <v>2</v>
      </c>
    </row>
    <row r="78" spans="3:7" x14ac:dyDescent="0.25">
      <c r="C78" s="2" t="s">
        <v>3108</v>
      </c>
      <c r="D78">
        <v>2</v>
      </c>
      <c r="F78" s="2" t="s">
        <v>72</v>
      </c>
      <c r="G78">
        <v>2</v>
      </c>
    </row>
    <row r="79" spans="3:7" x14ac:dyDescent="0.25">
      <c r="C79" s="2" t="s">
        <v>3107</v>
      </c>
      <c r="D79">
        <v>2</v>
      </c>
      <c r="F79" s="2" t="s">
        <v>65</v>
      </c>
      <c r="G79">
        <v>2</v>
      </c>
    </row>
    <row r="80" spans="3:7" x14ac:dyDescent="0.25">
      <c r="C80" s="2" t="s">
        <v>3112</v>
      </c>
      <c r="D80">
        <v>2</v>
      </c>
      <c r="F80" s="2" t="s">
        <v>75</v>
      </c>
      <c r="G80">
        <v>2</v>
      </c>
    </row>
    <row r="81" spans="3:7" x14ac:dyDescent="0.25">
      <c r="C81" s="2" t="s">
        <v>3087</v>
      </c>
      <c r="D81">
        <v>2</v>
      </c>
      <c r="F81" s="2" t="s">
        <v>162</v>
      </c>
      <c r="G81">
        <v>2</v>
      </c>
    </row>
    <row r="82" spans="3:7" x14ac:dyDescent="0.25">
      <c r="C82" s="2" t="s">
        <v>3072</v>
      </c>
      <c r="D82">
        <v>2</v>
      </c>
      <c r="F82" s="2" t="s">
        <v>58</v>
      </c>
      <c r="G82">
        <v>2</v>
      </c>
    </row>
    <row r="83" spans="3:7" x14ac:dyDescent="0.25">
      <c r="C83" s="2" t="s">
        <v>3089</v>
      </c>
      <c r="D83">
        <v>2</v>
      </c>
      <c r="F83" s="2" t="s">
        <v>69</v>
      </c>
      <c r="G83">
        <v>2</v>
      </c>
    </row>
    <row r="84" spans="3:7" x14ac:dyDescent="0.25">
      <c r="C84" s="2" t="s">
        <v>3120</v>
      </c>
      <c r="D84">
        <v>2</v>
      </c>
      <c r="F84" s="2" t="s">
        <v>82</v>
      </c>
      <c r="G84">
        <v>2</v>
      </c>
    </row>
    <row r="85" spans="3:7" x14ac:dyDescent="0.25">
      <c r="C85" s="2" t="s">
        <v>3119</v>
      </c>
      <c r="D85">
        <v>2</v>
      </c>
      <c r="F85" s="2" t="s">
        <v>64</v>
      </c>
      <c r="G85">
        <v>2</v>
      </c>
    </row>
    <row r="86" spans="3:7" x14ac:dyDescent="0.25">
      <c r="C86" s="2" t="s">
        <v>3074</v>
      </c>
      <c r="D86">
        <v>2</v>
      </c>
      <c r="F86" s="2" t="s">
        <v>186</v>
      </c>
      <c r="G86">
        <v>2</v>
      </c>
    </row>
    <row r="87" spans="3:7" x14ac:dyDescent="0.25">
      <c r="C87" s="2" t="s">
        <v>3115</v>
      </c>
      <c r="D87">
        <v>2</v>
      </c>
      <c r="F87" s="2" t="s">
        <v>73</v>
      </c>
      <c r="G87">
        <v>2</v>
      </c>
    </row>
    <row r="88" spans="3:7" x14ac:dyDescent="0.25">
      <c r="C88" s="2" t="s">
        <v>3080</v>
      </c>
      <c r="D88">
        <v>2</v>
      </c>
      <c r="F88" s="2" t="s">
        <v>59</v>
      </c>
      <c r="G88">
        <v>2</v>
      </c>
    </row>
    <row r="89" spans="3:7" x14ac:dyDescent="0.25">
      <c r="C89" s="2" t="s">
        <v>3090</v>
      </c>
      <c r="D89">
        <v>2</v>
      </c>
      <c r="F89" s="2" t="s">
        <v>67</v>
      </c>
      <c r="G89">
        <v>2</v>
      </c>
    </row>
    <row r="90" spans="3:7" x14ac:dyDescent="0.25">
      <c r="C90" s="2" t="s">
        <v>3076</v>
      </c>
      <c r="D90">
        <v>2</v>
      </c>
      <c r="F90" s="2" t="s">
        <v>55</v>
      </c>
      <c r="G90">
        <v>2</v>
      </c>
    </row>
    <row r="91" spans="3:7" x14ac:dyDescent="0.25">
      <c r="C91" s="2" t="s">
        <v>3122</v>
      </c>
      <c r="D91">
        <v>2</v>
      </c>
      <c r="F91" s="2" t="s">
        <v>78</v>
      </c>
      <c r="G91">
        <v>2</v>
      </c>
    </row>
    <row r="92" spans="3:7" x14ac:dyDescent="0.25">
      <c r="C92" s="2" t="s">
        <v>3062</v>
      </c>
      <c r="D92">
        <v>2</v>
      </c>
      <c r="F92" s="2" t="s">
        <v>84</v>
      </c>
      <c r="G92">
        <v>2</v>
      </c>
    </row>
    <row r="93" spans="3:7" x14ac:dyDescent="0.25">
      <c r="C93" s="2" t="s">
        <v>3099</v>
      </c>
      <c r="D93">
        <v>2</v>
      </c>
      <c r="F93" s="2" t="s">
        <v>79</v>
      </c>
      <c r="G93">
        <v>2</v>
      </c>
    </row>
    <row r="94" spans="3:7" x14ac:dyDescent="0.25">
      <c r="C94" s="2" t="s">
        <v>3078</v>
      </c>
      <c r="D94">
        <v>2</v>
      </c>
      <c r="F94" s="2" t="s">
        <v>142</v>
      </c>
      <c r="G94">
        <v>2</v>
      </c>
    </row>
    <row r="95" spans="3:7" x14ac:dyDescent="0.25">
      <c r="C95" s="2" t="s">
        <v>3101</v>
      </c>
      <c r="D95">
        <v>2</v>
      </c>
      <c r="F95" s="2" t="s">
        <v>89</v>
      </c>
      <c r="G95">
        <v>2</v>
      </c>
    </row>
    <row r="96" spans="3:7" x14ac:dyDescent="0.25">
      <c r="C96" s="2" t="s">
        <v>3068</v>
      </c>
      <c r="D96">
        <v>2</v>
      </c>
      <c r="F96" s="2" t="s">
        <v>76</v>
      </c>
      <c r="G96">
        <v>2</v>
      </c>
    </row>
    <row r="97" spans="3:7" x14ac:dyDescent="0.25">
      <c r="C97" s="2" t="s">
        <v>3103</v>
      </c>
      <c r="D97">
        <v>2</v>
      </c>
      <c r="F97" s="2" t="s">
        <v>81</v>
      </c>
      <c r="G97">
        <v>2</v>
      </c>
    </row>
    <row r="98" spans="3:7" x14ac:dyDescent="0.25">
      <c r="C98" s="2" t="s">
        <v>3106</v>
      </c>
      <c r="D98">
        <v>2</v>
      </c>
      <c r="F98" s="2" t="s">
        <v>68</v>
      </c>
      <c r="G98">
        <v>2</v>
      </c>
    </row>
    <row r="99" spans="3:7" x14ac:dyDescent="0.25">
      <c r="C99" s="2" t="s">
        <v>3105</v>
      </c>
      <c r="D99">
        <v>2</v>
      </c>
      <c r="F99" s="2" t="s">
        <v>83</v>
      </c>
      <c r="G99">
        <v>2</v>
      </c>
    </row>
    <row r="100" spans="3:7" x14ac:dyDescent="0.25">
      <c r="C100" s="2" t="s">
        <v>3061</v>
      </c>
      <c r="D100">
        <v>2</v>
      </c>
      <c r="F100" s="2" t="s">
        <v>172</v>
      </c>
      <c r="G100">
        <v>2</v>
      </c>
    </row>
    <row r="101" spans="3:7" x14ac:dyDescent="0.25">
      <c r="C101" s="2" t="s">
        <v>3104</v>
      </c>
      <c r="D101">
        <v>2</v>
      </c>
      <c r="F101" s="2" t="s">
        <v>85</v>
      </c>
      <c r="G101">
        <v>2</v>
      </c>
    </row>
    <row r="102" spans="3:7" x14ac:dyDescent="0.25">
      <c r="C102" s="2" t="s">
        <v>3070</v>
      </c>
      <c r="D102">
        <v>2</v>
      </c>
      <c r="F102" s="2" t="s">
        <v>54</v>
      </c>
      <c r="G102">
        <v>2</v>
      </c>
    </row>
    <row r="103" spans="3:7" x14ac:dyDescent="0.25">
      <c r="C103" s="2" t="s">
        <v>3109</v>
      </c>
      <c r="D103">
        <v>2</v>
      </c>
      <c r="F103" s="2" t="s">
        <v>87</v>
      </c>
      <c r="G103">
        <v>2</v>
      </c>
    </row>
    <row r="104" spans="3:7" x14ac:dyDescent="0.25">
      <c r="C104" s="2" t="s">
        <v>3064</v>
      </c>
      <c r="D104">
        <v>2</v>
      </c>
      <c r="F104" s="2" t="s">
        <v>86</v>
      </c>
      <c r="G104">
        <v>2</v>
      </c>
    </row>
    <row r="105" spans="3:7" x14ac:dyDescent="0.25">
      <c r="C105" s="2" t="s">
        <v>3111</v>
      </c>
      <c r="D105">
        <v>2</v>
      </c>
      <c r="F105" s="2" t="s">
        <v>70</v>
      </c>
      <c r="G105">
        <v>2</v>
      </c>
    </row>
    <row r="106" spans="3:7" x14ac:dyDescent="0.25">
      <c r="C106" s="2" t="s">
        <v>3084</v>
      </c>
      <c r="D106">
        <v>2</v>
      </c>
      <c r="F106" s="2" t="s">
        <v>62</v>
      </c>
      <c r="G106">
        <v>2</v>
      </c>
    </row>
    <row r="107" spans="3:7" x14ac:dyDescent="0.25">
      <c r="C107" s="2" t="s">
        <v>3113</v>
      </c>
      <c r="D107">
        <v>2</v>
      </c>
      <c r="F107" s="2" t="s">
        <v>80</v>
      </c>
      <c r="G107">
        <v>2</v>
      </c>
    </row>
    <row r="108" spans="3:7" x14ac:dyDescent="0.25">
      <c r="C108" s="2" t="s">
        <v>3114</v>
      </c>
      <c r="D108">
        <v>2</v>
      </c>
      <c r="F108" s="2" t="s">
        <v>60</v>
      </c>
      <c r="G108">
        <v>2</v>
      </c>
    </row>
    <row r="109" spans="3:7" x14ac:dyDescent="0.25">
      <c r="C109" s="2" t="s">
        <v>3124</v>
      </c>
      <c r="D109">
        <v>2</v>
      </c>
      <c r="F109" s="2" t="s">
        <v>150</v>
      </c>
      <c r="G109">
        <v>2</v>
      </c>
    </row>
    <row r="110" spans="3:7" x14ac:dyDescent="0.25">
      <c r="C110" s="2" t="s">
        <v>3116</v>
      </c>
      <c r="D110">
        <v>2</v>
      </c>
      <c r="F110" s="2" t="s">
        <v>56</v>
      </c>
      <c r="G110">
        <v>2</v>
      </c>
    </row>
    <row r="111" spans="3:7" x14ac:dyDescent="0.25">
      <c r="C111" s="2" t="s">
        <v>3117</v>
      </c>
      <c r="D111">
        <v>2</v>
      </c>
      <c r="F111" s="2" t="s">
        <v>112</v>
      </c>
      <c r="G111">
        <v>2</v>
      </c>
    </row>
    <row r="112" spans="3:7" x14ac:dyDescent="0.25">
      <c r="C112" s="2" t="s">
        <v>3118</v>
      </c>
      <c r="D112">
        <v>2</v>
      </c>
      <c r="F112" s="2" t="s">
        <v>88</v>
      </c>
      <c r="G112">
        <v>2</v>
      </c>
    </row>
    <row r="113" spans="3:7" x14ac:dyDescent="0.25">
      <c r="C113" s="2" t="s">
        <v>3092</v>
      </c>
      <c r="D113">
        <v>2</v>
      </c>
      <c r="F113" s="2" t="s">
        <v>156</v>
      </c>
      <c r="G113">
        <v>1</v>
      </c>
    </row>
    <row r="114" spans="3:7" x14ac:dyDescent="0.25">
      <c r="C114" s="2" t="s">
        <v>3088</v>
      </c>
      <c r="D114">
        <v>2</v>
      </c>
      <c r="F114" s="2" t="s">
        <v>138</v>
      </c>
      <c r="G114">
        <v>1</v>
      </c>
    </row>
    <row r="115" spans="3:7" x14ac:dyDescent="0.25">
      <c r="C115" s="2" t="s">
        <v>3121</v>
      </c>
      <c r="D115">
        <v>2</v>
      </c>
      <c r="F115" s="2" t="s">
        <v>153</v>
      </c>
      <c r="G115">
        <v>1</v>
      </c>
    </row>
    <row r="116" spans="3:7" x14ac:dyDescent="0.25">
      <c r="C116" s="2" t="s">
        <v>3077</v>
      </c>
      <c r="D116">
        <v>2</v>
      </c>
      <c r="F116" s="2" t="s">
        <v>104</v>
      </c>
      <c r="G116">
        <v>1</v>
      </c>
    </row>
    <row r="117" spans="3:7" x14ac:dyDescent="0.25">
      <c r="C117" s="2" t="s">
        <v>3123</v>
      </c>
      <c r="D117">
        <v>2</v>
      </c>
      <c r="F117" s="2" t="s">
        <v>1295</v>
      </c>
      <c r="G117">
        <v>1</v>
      </c>
    </row>
    <row r="118" spans="3:7" x14ac:dyDescent="0.25">
      <c r="C118" s="2" t="s">
        <v>3110</v>
      </c>
      <c r="D118">
        <v>2</v>
      </c>
      <c r="F118" s="2" t="s">
        <v>106</v>
      </c>
      <c r="G118">
        <v>1</v>
      </c>
    </row>
    <row r="119" spans="3:7" x14ac:dyDescent="0.25">
      <c r="C119" s="2" t="s">
        <v>3097</v>
      </c>
      <c r="D119">
        <v>2</v>
      </c>
      <c r="F119" s="2" t="s">
        <v>164</v>
      </c>
      <c r="G119">
        <v>1</v>
      </c>
    </row>
    <row r="120" spans="3:7" x14ac:dyDescent="0.25">
      <c r="C120" s="2" t="s">
        <v>3143</v>
      </c>
      <c r="D120">
        <v>2</v>
      </c>
      <c r="F120" s="2" t="s">
        <v>108</v>
      </c>
      <c r="G120">
        <v>1</v>
      </c>
    </row>
    <row r="121" spans="3:7" x14ac:dyDescent="0.25">
      <c r="C121" s="2" t="s">
        <v>3305</v>
      </c>
      <c r="D121">
        <v>2</v>
      </c>
      <c r="F121" s="2" t="s">
        <v>180</v>
      </c>
      <c r="G121">
        <v>1</v>
      </c>
    </row>
    <row r="122" spans="3:7" x14ac:dyDescent="0.25">
      <c r="C122" s="2" t="s">
        <v>3125</v>
      </c>
      <c r="D122">
        <v>2</v>
      </c>
      <c r="F122" s="2" t="s">
        <v>110</v>
      </c>
      <c r="G122">
        <v>1</v>
      </c>
    </row>
    <row r="123" spans="3:7" x14ac:dyDescent="0.25">
      <c r="C123" s="2" t="s">
        <v>3126</v>
      </c>
      <c r="D123">
        <v>2</v>
      </c>
      <c r="F123" s="2" t="s">
        <v>132</v>
      </c>
      <c r="G123">
        <v>1</v>
      </c>
    </row>
    <row r="124" spans="3:7" x14ac:dyDescent="0.25">
      <c r="C124" s="2" t="s">
        <v>3251</v>
      </c>
      <c r="D124">
        <v>1</v>
      </c>
      <c r="F124" s="2" t="s">
        <v>166</v>
      </c>
      <c r="G124">
        <v>1</v>
      </c>
    </row>
    <row r="125" spans="3:7" x14ac:dyDescent="0.25">
      <c r="C125" s="2" t="s">
        <v>3128</v>
      </c>
      <c r="D125">
        <v>1</v>
      </c>
      <c r="F125" s="2" t="s">
        <v>139</v>
      </c>
      <c r="G125">
        <v>1</v>
      </c>
    </row>
    <row r="126" spans="3:7" x14ac:dyDescent="0.25">
      <c r="C126" s="2" t="s">
        <v>3285</v>
      </c>
      <c r="D126">
        <v>1</v>
      </c>
      <c r="F126" s="2" t="s">
        <v>114</v>
      </c>
      <c r="G126">
        <v>1</v>
      </c>
    </row>
    <row r="127" spans="3:7" x14ac:dyDescent="0.25">
      <c r="C127" s="2" t="s">
        <v>3132</v>
      </c>
      <c r="D127">
        <v>1</v>
      </c>
      <c r="F127" s="2" t="s">
        <v>145</v>
      </c>
      <c r="G127">
        <v>1</v>
      </c>
    </row>
    <row r="128" spans="3:7" x14ac:dyDescent="0.25">
      <c r="C128" s="2" t="s">
        <v>3237</v>
      </c>
      <c r="D128">
        <v>1</v>
      </c>
      <c r="F128" s="2" t="s">
        <v>94</v>
      </c>
      <c r="G128">
        <v>1</v>
      </c>
    </row>
    <row r="129" spans="3:7" x14ac:dyDescent="0.25">
      <c r="C129" s="2" t="s">
        <v>3134</v>
      </c>
      <c r="D129">
        <v>1</v>
      </c>
      <c r="F129" s="2" t="s">
        <v>168</v>
      </c>
      <c r="G129">
        <v>1</v>
      </c>
    </row>
    <row r="130" spans="3:7" x14ac:dyDescent="0.25">
      <c r="C130" s="2" t="s">
        <v>3269</v>
      </c>
      <c r="D130">
        <v>1</v>
      </c>
      <c r="F130" s="2" t="s">
        <v>96</v>
      </c>
      <c r="G130">
        <v>1</v>
      </c>
    </row>
    <row r="131" spans="3:7" x14ac:dyDescent="0.25">
      <c r="C131" s="2" t="s">
        <v>3136</v>
      </c>
      <c r="D131">
        <v>1</v>
      </c>
      <c r="F131" s="2" t="s">
        <v>140</v>
      </c>
      <c r="G131">
        <v>1</v>
      </c>
    </row>
    <row r="132" spans="3:7" x14ac:dyDescent="0.25">
      <c r="C132" s="2" t="s">
        <v>3301</v>
      </c>
      <c r="D132">
        <v>1</v>
      </c>
      <c r="F132" s="2" t="s">
        <v>203</v>
      </c>
      <c r="G132">
        <v>1</v>
      </c>
    </row>
    <row r="133" spans="3:7" x14ac:dyDescent="0.25">
      <c r="C133" s="2" t="s">
        <v>3138</v>
      </c>
      <c r="D133">
        <v>1</v>
      </c>
      <c r="F133" s="2" t="s">
        <v>184</v>
      </c>
      <c r="G133">
        <v>1</v>
      </c>
    </row>
    <row r="134" spans="3:7" x14ac:dyDescent="0.25">
      <c r="C134" s="2" t="s">
        <v>3229</v>
      </c>
      <c r="D134">
        <v>1</v>
      </c>
      <c r="F134" s="2" t="s">
        <v>204</v>
      </c>
      <c r="G134">
        <v>1</v>
      </c>
    </row>
    <row r="135" spans="3:7" x14ac:dyDescent="0.25">
      <c r="C135" s="2" t="s">
        <v>3140</v>
      </c>
      <c r="D135">
        <v>1</v>
      </c>
      <c r="F135" s="2" t="s">
        <v>127</v>
      </c>
      <c r="G135">
        <v>1</v>
      </c>
    </row>
    <row r="136" spans="3:7" x14ac:dyDescent="0.25">
      <c r="C136" s="2" t="s">
        <v>3245</v>
      </c>
      <c r="D136">
        <v>1</v>
      </c>
      <c r="F136" s="2" t="s">
        <v>3323</v>
      </c>
      <c r="G136">
        <v>1</v>
      </c>
    </row>
    <row r="137" spans="3:7" x14ac:dyDescent="0.25">
      <c r="C137" s="2" t="s">
        <v>3142</v>
      </c>
      <c r="D137">
        <v>1</v>
      </c>
      <c r="F137" s="2" t="s">
        <v>120</v>
      </c>
      <c r="G137">
        <v>1</v>
      </c>
    </row>
    <row r="138" spans="3:7" x14ac:dyDescent="0.25">
      <c r="C138" s="2" t="s">
        <v>3261</v>
      </c>
      <c r="D138">
        <v>1</v>
      </c>
      <c r="F138" s="2" t="s">
        <v>122</v>
      </c>
      <c r="G138">
        <v>1</v>
      </c>
    </row>
    <row r="139" spans="3:7" x14ac:dyDescent="0.25">
      <c r="C139" s="2" t="s">
        <v>3144</v>
      </c>
      <c r="D139">
        <v>1</v>
      </c>
      <c r="F139" s="2" t="s">
        <v>3318</v>
      </c>
      <c r="G139">
        <v>1</v>
      </c>
    </row>
    <row r="140" spans="3:7" x14ac:dyDescent="0.25">
      <c r="C140" s="2" t="s">
        <v>3277</v>
      </c>
      <c r="D140">
        <v>1</v>
      </c>
      <c r="F140" s="2" t="s">
        <v>128</v>
      </c>
      <c r="G140">
        <v>1</v>
      </c>
    </row>
    <row r="141" spans="3:7" x14ac:dyDescent="0.25">
      <c r="C141" s="2" t="s">
        <v>3146</v>
      </c>
      <c r="D141">
        <v>1</v>
      </c>
      <c r="F141" s="2" t="s">
        <v>154</v>
      </c>
      <c r="G141">
        <v>1</v>
      </c>
    </row>
    <row r="142" spans="3:7" x14ac:dyDescent="0.25">
      <c r="C142" s="2" t="s">
        <v>3293</v>
      </c>
      <c r="D142">
        <v>1</v>
      </c>
      <c r="F142" s="2" t="s">
        <v>130</v>
      </c>
      <c r="G142">
        <v>1</v>
      </c>
    </row>
    <row r="143" spans="3:7" x14ac:dyDescent="0.25">
      <c r="C143" s="2" t="s">
        <v>3148</v>
      </c>
      <c r="D143">
        <v>1</v>
      </c>
      <c r="F143" s="2" t="s">
        <v>158</v>
      </c>
      <c r="G143">
        <v>1</v>
      </c>
    </row>
    <row r="144" spans="3:7" x14ac:dyDescent="0.25">
      <c r="C144" s="2" t="s">
        <v>3217</v>
      </c>
      <c r="D144">
        <v>1</v>
      </c>
      <c r="F144" s="2" t="s">
        <v>311</v>
      </c>
      <c r="G144">
        <v>1</v>
      </c>
    </row>
    <row r="145" spans="3:7" x14ac:dyDescent="0.25">
      <c r="C145" s="2" t="s">
        <v>3150</v>
      </c>
      <c r="D145">
        <v>1</v>
      </c>
      <c r="F145" s="2" t="s">
        <v>136</v>
      </c>
      <c r="G145">
        <v>1</v>
      </c>
    </row>
    <row r="146" spans="3:7" x14ac:dyDescent="0.25">
      <c r="C146" s="2" t="s">
        <v>3225</v>
      </c>
      <c r="D146">
        <v>1</v>
      </c>
      <c r="F146" s="2" t="s">
        <v>124</v>
      </c>
      <c r="G146">
        <v>1</v>
      </c>
    </row>
    <row r="147" spans="3:7" x14ac:dyDescent="0.25">
      <c r="C147" s="2" t="s">
        <v>3152</v>
      </c>
      <c r="D147">
        <v>1</v>
      </c>
      <c r="F147" s="2" t="s">
        <v>149</v>
      </c>
      <c r="G147">
        <v>1</v>
      </c>
    </row>
    <row r="148" spans="3:7" x14ac:dyDescent="0.25">
      <c r="C148" s="2" t="s">
        <v>3231</v>
      </c>
      <c r="D148">
        <v>1</v>
      </c>
      <c r="F148" s="2" t="s">
        <v>170</v>
      </c>
      <c r="G148">
        <v>1</v>
      </c>
    </row>
    <row r="149" spans="3:7" x14ac:dyDescent="0.25">
      <c r="C149" s="2" t="s">
        <v>3154</v>
      </c>
      <c r="D149">
        <v>1</v>
      </c>
      <c r="F149" s="2" t="s">
        <v>109</v>
      </c>
      <c r="G149">
        <v>1</v>
      </c>
    </row>
    <row r="150" spans="3:7" x14ac:dyDescent="0.25">
      <c r="C150" s="2" t="s">
        <v>3241</v>
      </c>
      <c r="D150">
        <v>1</v>
      </c>
      <c r="F150" s="2" t="s">
        <v>137</v>
      </c>
      <c r="G150">
        <v>1</v>
      </c>
    </row>
    <row r="151" spans="3:7" x14ac:dyDescent="0.25">
      <c r="C151" s="2" t="s">
        <v>3156</v>
      </c>
      <c r="D151">
        <v>1</v>
      </c>
      <c r="F151" s="2" t="s">
        <v>174</v>
      </c>
      <c r="G151">
        <v>1</v>
      </c>
    </row>
    <row r="152" spans="3:7" x14ac:dyDescent="0.25">
      <c r="C152" s="2" t="s">
        <v>3249</v>
      </c>
      <c r="D152">
        <v>1</v>
      </c>
      <c r="F152" s="2" t="s">
        <v>134</v>
      </c>
      <c r="G152">
        <v>1</v>
      </c>
    </row>
    <row r="153" spans="3:7" x14ac:dyDescent="0.25">
      <c r="C153" s="2" t="s">
        <v>3158</v>
      </c>
      <c r="D153">
        <v>1</v>
      </c>
      <c r="F153" s="2" t="s">
        <v>178</v>
      </c>
      <c r="G153">
        <v>1</v>
      </c>
    </row>
    <row r="154" spans="3:7" x14ac:dyDescent="0.25">
      <c r="C154" s="2" t="s">
        <v>3257</v>
      </c>
      <c r="D154">
        <v>1</v>
      </c>
      <c r="F154" s="2" t="s">
        <v>198</v>
      </c>
      <c r="G154">
        <v>1</v>
      </c>
    </row>
    <row r="155" spans="3:7" x14ac:dyDescent="0.25">
      <c r="C155" s="2" t="s">
        <v>3160</v>
      </c>
      <c r="D155">
        <v>1</v>
      </c>
      <c r="F155" s="2" t="s">
        <v>182</v>
      </c>
      <c r="G155">
        <v>1</v>
      </c>
    </row>
    <row r="156" spans="3:7" x14ac:dyDescent="0.25">
      <c r="C156" s="2" t="s">
        <v>3159</v>
      </c>
      <c r="D156">
        <v>1</v>
      </c>
      <c r="F156" s="2" t="s">
        <v>176</v>
      </c>
      <c r="G156">
        <v>1</v>
      </c>
    </row>
    <row r="157" spans="3:7" x14ac:dyDescent="0.25">
      <c r="C157" s="2" t="s">
        <v>3162</v>
      </c>
      <c r="D157">
        <v>1</v>
      </c>
      <c r="F157" s="2" t="s">
        <v>113</v>
      </c>
      <c r="G157">
        <v>1</v>
      </c>
    </row>
    <row r="158" spans="3:7" x14ac:dyDescent="0.25">
      <c r="C158" s="2" t="s">
        <v>3273</v>
      </c>
      <c r="D158">
        <v>1</v>
      </c>
      <c r="F158" s="2" t="s">
        <v>143</v>
      </c>
      <c r="G158">
        <v>1</v>
      </c>
    </row>
    <row r="159" spans="3:7" x14ac:dyDescent="0.25">
      <c r="C159" s="2" t="s">
        <v>3164</v>
      </c>
      <c r="D159">
        <v>1</v>
      </c>
      <c r="F159" s="2" t="s">
        <v>101</v>
      </c>
      <c r="G159">
        <v>1</v>
      </c>
    </row>
    <row r="160" spans="3:7" x14ac:dyDescent="0.25">
      <c r="C160" s="2" t="s">
        <v>3281</v>
      </c>
      <c r="D160">
        <v>1</v>
      </c>
      <c r="F160" s="2" t="s">
        <v>147</v>
      </c>
      <c r="G160">
        <v>1</v>
      </c>
    </row>
    <row r="161" spans="3:7" x14ac:dyDescent="0.25">
      <c r="C161" s="2" t="s">
        <v>3166</v>
      </c>
      <c r="D161">
        <v>1</v>
      </c>
      <c r="F161" s="2" t="s">
        <v>160</v>
      </c>
      <c r="G161">
        <v>1</v>
      </c>
    </row>
    <row r="162" spans="3:7" x14ac:dyDescent="0.25">
      <c r="C162" s="2" t="s">
        <v>3289</v>
      </c>
      <c r="D162">
        <v>1</v>
      </c>
      <c r="F162" s="2" t="s">
        <v>141</v>
      </c>
      <c r="G162">
        <v>1</v>
      </c>
    </row>
    <row r="163" spans="3:7" x14ac:dyDescent="0.25">
      <c r="C163" s="2" t="s">
        <v>3168</v>
      </c>
      <c r="D163">
        <v>1</v>
      </c>
      <c r="F163" s="2" t="s">
        <v>100</v>
      </c>
      <c r="G163">
        <v>1</v>
      </c>
    </row>
    <row r="164" spans="3:7" x14ac:dyDescent="0.25">
      <c r="C164" s="2" t="s">
        <v>3297</v>
      </c>
      <c r="D164">
        <v>1</v>
      </c>
      <c r="F164" s="2" t="s">
        <v>116</v>
      </c>
      <c r="G164">
        <v>1</v>
      </c>
    </row>
    <row r="165" spans="3:7" x14ac:dyDescent="0.25">
      <c r="C165" s="2" t="s">
        <v>3170</v>
      </c>
      <c r="D165">
        <v>1</v>
      </c>
      <c r="F165" s="2" t="s">
        <v>971</v>
      </c>
      <c r="G165">
        <v>1</v>
      </c>
    </row>
    <row r="166" spans="3:7" x14ac:dyDescent="0.25">
      <c r="C166" s="2" t="s">
        <v>3215</v>
      </c>
      <c r="D166">
        <v>1</v>
      </c>
      <c r="F166" s="2" t="s">
        <v>151</v>
      </c>
      <c r="G166">
        <v>1</v>
      </c>
    </row>
    <row r="167" spans="3:7" x14ac:dyDescent="0.25">
      <c r="C167" s="2" t="s">
        <v>3172</v>
      </c>
      <c r="D167">
        <v>1</v>
      </c>
      <c r="F167" s="2" t="s">
        <v>2995</v>
      </c>
      <c r="G167">
        <v>1</v>
      </c>
    </row>
    <row r="168" spans="3:7" x14ac:dyDescent="0.25">
      <c r="C168" s="2" t="s">
        <v>3171</v>
      </c>
      <c r="D168">
        <v>1</v>
      </c>
      <c r="F168" s="2" t="s">
        <v>155</v>
      </c>
      <c r="G168">
        <v>1</v>
      </c>
    </row>
    <row r="169" spans="3:7" x14ac:dyDescent="0.25">
      <c r="C169" s="2" t="s">
        <v>3174</v>
      </c>
      <c r="D169">
        <v>1</v>
      </c>
      <c r="F169" s="2" t="s">
        <v>91</v>
      </c>
      <c r="G169">
        <v>1</v>
      </c>
    </row>
    <row r="170" spans="3:7" x14ac:dyDescent="0.25">
      <c r="C170" s="2" t="s">
        <v>3223</v>
      </c>
      <c r="D170">
        <v>1</v>
      </c>
      <c r="F170" s="2" t="s">
        <v>157</v>
      </c>
      <c r="G170">
        <v>1</v>
      </c>
    </row>
    <row r="171" spans="3:7" x14ac:dyDescent="0.25">
      <c r="C171" s="2" t="s">
        <v>3176</v>
      </c>
      <c r="D171">
        <v>1</v>
      </c>
      <c r="F171" s="2" t="s">
        <v>121</v>
      </c>
      <c r="G171">
        <v>1</v>
      </c>
    </row>
    <row r="172" spans="3:7" x14ac:dyDescent="0.25">
      <c r="C172" s="2" t="s">
        <v>3149</v>
      </c>
      <c r="D172">
        <v>1</v>
      </c>
      <c r="F172" s="2" t="s">
        <v>159</v>
      </c>
      <c r="G172">
        <v>1</v>
      </c>
    </row>
    <row r="173" spans="3:7" x14ac:dyDescent="0.25">
      <c r="C173" s="2" t="s">
        <v>3178</v>
      </c>
      <c r="D173">
        <v>1</v>
      </c>
      <c r="F173" s="2" t="s">
        <v>105</v>
      </c>
      <c r="G173">
        <v>1</v>
      </c>
    </row>
    <row r="174" spans="3:7" x14ac:dyDescent="0.25">
      <c r="C174" s="2" t="s">
        <v>3227</v>
      </c>
      <c r="D174">
        <v>1</v>
      </c>
      <c r="F174" s="2" t="s">
        <v>762</v>
      </c>
      <c r="G174">
        <v>1</v>
      </c>
    </row>
    <row r="175" spans="3:7" x14ac:dyDescent="0.25">
      <c r="C175" s="2" t="s">
        <v>3180</v>
      </c>
      <c r="D175">
        <v>1</v>
      </c>
      <c r="F175" s="2" t="s">
        <v>123</v>
      </c>
      <c r="G175">
        <v>1</v>
      </c>
    </row>
    <row r="176" spans="3:7" x14ac:dyDescent="0.25">
      <c r="C176" s="2" t="s">
        <v>3235</v>
      </c>
      <c r="D176">
        <v>1</v>
      </c>
      <c r="F176" s="2" t="s">
        <v>163</v>
      </c>
      <c r="G176">
        <v>1</v>
      </c>
    </row>
    <row r="177" spans="3:7" x14ac:dyDescent="0.25">
      <c r="C177" s="2" t="s">
        <v>3182</v>
      </c>
      <c r="D177">
        <v>1</v>
      </c>
      <c r="F177" s="2" t="s">
        <v>97</v>
      </c>
      <c r="G177">
        <v>1</v>
      </c>
    </row>
    <row r="178" spans="3:7" x14ac:dyDescent="0.25">
      <c r="C178" s="2" t="s">
        <v>3239</v>
      </c>
      <c r="D178">
        <v>1</v>
      </c>
      <c r="F178" s="2" t="s">
        <v>161</v>
      </c>
      <c r="G178">
        <v>1</v>
      </c>
    </row>
    <row r="179" spans="3:7" x14ac:dyDescent="0.25">
      <c r="C179" s="2" t="s">
        <v>3184</v>
      </c>
      <c r="D179">
        <v>1</v>
      </c>
      <c r="F179" s="2" t="s">
        <v>125</v>
      </c>
      <c r="G179">
        <v>1</v>
      </c>
    </row>
    <row r="180" spans="3:7" x14ac:dyDescent="0.25">
      <c r="C180" s="2" t="s">
        <v>3233</v>
      </c>
      <c r="D180">
        <v>1</v>
      </c>
      <c r="F180" s="2" t="s">
        <v>167</v>
      </c>
      <c r="G180">
        <v>1</v>
      </c>
    </row>
    <row r="181" spans="3:7" x14ac:dyDescent="0.25">
      <c r="C181" s="2" t="s">
        <v>3186</v>
      </c>
      <c r="D181">
        <v>1</v>
      </c>
      <c r="F181" s="2" t="s">
        <v>107</v>
      </c>
      <c r="G181">
        <v>1</v>
      </c>
    </row>
    <row r="182" spans="3:7" x14ac:dyDescent="0.25">
      <c r="C182" s="2" t="s">
        <v>3139</v>
      </c>
      <c r="D182">
        <v>1</v>
      </c>
      <c r="F182" s="2" t="s">
        <v>169</v>
      </c>
      <c r="G182">
        <v>1</v>
      </c>
    </row>
    <row r="183" spans="3:7" x14ac:dyDescent="0.25">
      <c r="C183" s="2" t="s">
        <v>3188</v>
      </c>
      <c r="D183">
        <v>1</v>
      </c>
      <c r="F183" s="2" t="s">
        <v>181</v>
      </c>
      <c r="G183">
        <v>1</v>
      </c>
    </row>
    <row r="184" spans="3:7" x14ac:dyDescent="0.25">
      <c r="C184" s="2" t="s">
        <v>3155</v>
      </c>
      <c r="D184">
        <v>1</v>
      </c>
      <c r="F184" s="2" t="s">
        <v>171</v>
      </c>
      <c r="G184">
        <v>1</v>
      </c>
    </row>
    <row r="185" spans="3:7" x14ac:dyDescent="0.25">
      <c r="C185" s="2" t="s">
        <v>3190</v>
      </c>
      <c r="D185">
        <v>1</v>
      </c>
      <c r="F185" s="2" t="s">
        <v>93</v>
      </c>
      <c r="G185">
        <v>1</v>
      </c>
    </row>
    <row r="186" spans="3:7" x14ac:dyDescent="0.25">
      <c r="C186" s="2" t="s">
        <v>3255</v>
      </c>
      <c r="D186">
        <v>1</v>
      </c>
      <c r="F186" s="2" t="s">
        <v>173</v>
      </c>
      <c r="G186">
        <v>1</v>
      </c>
    </row>
    <row r="187" spans="3:7" x14ac:dyDescent="0.25">
      <c r="C187" s="2" t="s">
        <v>3192</v>
      </c>
      <c r="D187">
        <v>1</v>
      </c>
      <c r="F187" s="2" t="s">
        <v>129</v>
      </c>
      <c r="G187">
        <v>1</v>
      </c>
    </row>
    <row r="188" spans="3:7" x14ac:dyDescent="0.25">
      <c r="C188" s="2" t="s">
        <v>3259</v>
      </c>
      <c r="D188">
        <v>1</v>
      </c>
      <c r="F188" s="2" t="s">
        <v>741</v>
      </c>
      <c r="G188">
        <v>1</v>
      </c>
    </row>
    <row r="189" spans="3:7" x14ac:dyDescent="0.25">
      <c r="C189" s="2" t="s">
        <v>3194</v>
      </c>
      <c r="D189">
        <v>1</v>
      </c>
      <c r="F189" s="2" t="s">
        <v>99</v>
      </c>
      <c r="G189">
        <v>1</v>
      </c>
    </row>
    <row r="190" spans="3:7" x14ac:dyDescent="0.25">
      <c r="C190" s="2" t="s">
        <v>3263</v>
      </c>
      <c r="D190">
        <v>1</v>
      </c>
      <c r="F190" s="2" t="s">
        <v>177</v>
      </c>
      <c r="G190">
        <v>1</v>
      </c>
    </row>
    <row r="191" spans="3:7" x14ac:dyDescent="0.25">
      <c r="C191" s="2" t="s">
        <v>3198</v>
      </c>
      <c r="D191">
        <v>1</v>
      </c>
      <c r="F191" s="2" t="s">
        <v>131</v>
      </c>
      <c r="G191">
        <v>1</v>
      </c>
    </row>
    <row r="192" spans="3:7" x14ac:dyDescent="0.25">
      <c r="C192" s="2" t="s">
        <v>3267</v>
      </c>
      <c r="D192">
        <v>1</v>
      </c>
      <c r="F192" s="2" t="s">
        <v>179</v>
      </c>
      <c r="G192">
        <v>1</v>
      </c>
    </row>
    <row r="193" spans="3:7" x14ac:dyDescent="0.25">
      <c r="C193" s="2" t="s">
        <v>3309</v>
      </c>
      <c r="D193">
        <v>1</v>
      </c>
      <c r="F193" s="2" t="s">
        <v>92</v>
      </c>
      <c r="G193">
        <v>1</v>
      </c>
    </row>
    <row r="194" spans="3:7" x14ac:dyDescent="0.25">
      <c r="C194" s="2" t="s">
        <v>3271</v>
      </c>
      <c r="D194">
        <v>1</v>
      </c>
      <c r="F194" s="2" t="s">
        <v>175</v>
      </c>
      <c r="G194">
        <v>1</v>
      </c>
    </row>
    <row r="195" spans="3:7" x14ac:dyDescent="0.25">
      <c r="C195" s="2" t="s">
        <v>3200</v>
      </c>
      <c r="D195">
        <v>1</v>
      </c>
      <c r="F195" s="2" t="s">
        <v>133</v>
      </c>
      <c r="G195">
        <v>1</v>
      </c>
    </row>
    <row r="196" spans="3:7" x14ac:dyDescent="0.25">
      <c r="C196" s="2" t="s">
        <v>3275</v>
      </c>
      <c r="D196">
        <v>1</v>
      </c>
      <c r="F196" s="2" t="s">
        <v>183</v>
      </c>
      <c r="G196">
        <v>1</v>
      </c>
    </row>
    <row r="197" spans="3:7" x14ac:dyDescent="0.25">
      <c r="C197" s="2" t="s">
        <v>3202</v>
      </c>
      <c r="D197">
        <v>1</v>
      </c>
      <c r="F197" s="2" t="s">
        <v>111</v>
      </c>
      <c r="G197">
        <v>1</v>
      </c>
    </row>
    <row r="198" spans="3:7" x14ac:dyDescent="0.25">
      <c r="C198" s="2" t="s">
        <v>3279</v>
      </c>
      <c r="D198">
        <v>1</v>
      </c>
      <c r="F198" s="2" t="s">
        <v>185</v>
      </c>
      <c r="G198">
        <v>1</v>
      </c>
    </row>
    <row r="199" spans="3:7" x14ac:dyDescent="0.25">
      <c r="C199" s="2" t="s">
        <v>3204</v>
      </c>
      <c r="D199">
        <v>1</v>
      </c>
      <c r="F199" s="2" t="s">
        <v>115</v>
      </c>
      <c r="G199">
        <v>1</v>
      </c>
    </row>
    <row r="200" spans="3:7" x14ac:dyDescent="0.25">
      <c r="C200" s="2" t="s">
        <v>3283</v>
      </c>
      <c r="D200">
        <v>1</v>
      </c>
      <c r="F200" s="2" t="s">
        <v>187</v>
      </c>
      <c r="G200">
        <v>1</v>
      </c>
    </row>
    <row r="201" spans="3:7" x14ac:dyDescent="0.25">
      <c r="C201" s="2" t="s">
        <v>3331</v>
      </c>
      <c r="D201">
        <v>1</v>
      </c>
      <c r="F201" s="2" t="s">
        <v>144</v>
      </c>
      <c r="G201">
        <v>1</v>
      </c>
    </row>
    <row r="202" spans="3:7" x14ac:dyDescent="0.25">
      <c r="C202" s="2" t="s">
        <v>3287</v>
      </c>
      <c r="D202">
        <v>1</v>
      </c>
      <c r="F202" s="2" t="s">
        <v>189</v>
      </c>
      <c r="G202">
        <v>1</v>
      </c>
    </row>
    <row r="203" spans="3:7" x14ac:dyDescent="0.25">
      <c r="C203" s="2" t="s">
        <v>3206</v>
      </c>
      <c r="D203">
        <v>1</v>
      </c>
      <c r="F203" s="2" t="s">
        <v>95</v>
      </c>
      <c r="G203">
        <v>1</v>
      </c>
    </row>
    <row r="204" spans="3:7" x14ac:dyDescent="0.25">
      <c r="C204" s="2" t="s">
        <v>3291</v>
      </c>
      <c r="D204">
        <v>1</v>
      </c>
      <c r="F204" s="2" t="s">
        <v>165</v>
      </c>
      <c r="G204">
        <v>1</v>
      </c>
    </row>
    <row r="205" spans="3:7" x14ac:dyDescent="0.25">
      <c r="C205" s="2" t="s">
        <v>3210</v>
      </c>
      <c r="D205">
        <v>1</v>
      </c>
      <c r="F205" s="2" t="s">
        <v>188</v>
      </c>
      <c r="G205">
        <v>1</v>
      </c>
    </row>
    <row r="206" spans="3:7" x14ac:dyDescent="0.25">
      <c r="C206" s="2" t="s">
        <v>3295</v>
      </c>
      <c r="D206">
        <v>1</v>
      </c>
      <c r="F206" s="2" t="s">
        <v>191</v>
      </c>
      <c r="G206">
        <v>1</v>
      </c>
    </row>
    <row r="207" spans="3:7" x14ac:dyDescent="0.25">
      <c r="C207" s="2" t="s">
        <v>3212</v>
      </c>
      <c r="D207">
        <v>1</v>
      </c>
      <c r="F207" s="2" t="s">
        <v>190</v>
      </c>
      <c r="G207">
        <v>1</v>
      </c>
    </row>
    <row r="208" spans="3:7" x14ac:dyDescent="0.25">
      <c r="C208" s="2" t="s">
        <v>3299</v>
      </c>
      <c r="D208">
        <v>1</v>
      </c>
      <c r="F208" s="2" t="s">
        <v>195</v>
      </c>
      <c r="G208">
        <v>1</v>
      </c>
    </row>
    <row r="209" spans="3:7" x14ac:dyDescent="0.25">
      <c r="C209" s="2" t="s">
        <v>3214</v>
      </c>
      <c r="D209">
        <v>1</v>
      </c>
      <c r="F209" s="2" t="s">
        <v>192</v>
      </c>
      <c r="G209">
        <v>1</v>
      </c>
    </row>
    <row r="210" spans="3:7" x14ac:dyDescent="0.25">
      <c r="C210" s="2" t="s">
        <v>3303</v>
      </c>
      <c r="D210">
        <v>1</v>
      </c>
      <c r="F210" s="2" t="s">
        <v>193</v>
      </c>
      <c r="G210">
        <v>1</v>
      </c>
    </row>
    <row r="211" spans="3:7" x14ac:dyDescent="0.25">
      <c r="C211" s="2" t="s">
        <v>3208</v>
      </c>
      <c r="D211">
        <v>1</v>
      </c>
      <c r="F211" s="2" t="s">
        <v>194</v>
      </c>
      <c r="G211">
        <v>1</v>
      </c>
    </row>
    <row r="212" spans="3:7" x14ac:dyDescent="0.25">
      <c r="C212" s="2" t="s">
        <v>3130</v>
      </c>
      <c r="D212">
        <v>1</v>
      </c>
      <c r="F212" s="2" t="s">
        <v>199</v>
      </c>
      <c r="G212">
        <v>1</v>
      </c>
    </row>
    <row r="213" spans="3:7" x14ac:dyDescent="0.25">
      <c r="C213" s="2" t="s">
        <v>3218</v>
      </c>
      <c r="D213">
        <v>1</v>
      </c>
      <c r="F213" s="2" t="s">
        <v>196</v>
      </c>
      <c r="G213">
        <v>1</v>
      </c>
    </row>
    <row r="214" spans="3:7" x14ac:dyDescent="0.25">
      <c r="C214" s="2" t="s">
        <v>3306</v>
      </c>
      <c r="D214">
        <v>1</v>
      </c>
      <c r="F214" s="2" t="s">
        <v>201</v>
      </c>
      <c r="G214">
        <v>1</v>
      </c>
    </row>
    <row r="215" spans="3:7" x14ac:dyDescent="0.25">
      <c r="C215" s="2" t="s">
        <v>3220</v>
      </c>
      <c r="D215">
        <v>1</v>
      </c>
      <c r="F215" s="2" t="s">
        <v>98</v>
      </c>
      <c r="G215">
        <v>1</v>
      </c>
    </row>
    <row r="216" spans="3:7" x14ac:dyDescent="0.25">
      <c r="C216" s="2" t="s">
        <v>3219</v>
      </c>
      <c r="D216">
        <v>1</v>
      </c>
      <c r="F216" s="2" t="s">
        <v>197</v>
      </c>
      <c r="G216">
        <v>1</v>
      </c>
    </row>
    <row r="217" spans="3:7" x14ac:dyDescent="0.25">
      <c r="C217" s="2" t="s">
        <v>3216</v>
      </c>
      <c r="D217">
        <v>1</v>
      </c>
      <c r="F217" s="2" t="s">
        <v>118</v>
      </c>
      <c r="G217">
        <v>1</v>
      </c>
    </row>
    <row r="218" spans="3:7" x14ac:dyDescent="0.25">
      <c r="C218" s="2" t="s">
        <v>3173</v>
      </c>
      <c r="D218">
        <v>1</v>
      </c>
      <c r="F218" s="2" t="s">
        <v>117</v>
      </c>
      <c r="G218">
        <v>1</v>
      </c>
    </row>
    <row r="219" spans="3:7" x14ac:dyDescent="0.25">
      <c r="C219" s="2" t="s">
        <v>3222</v>
      </c>
      <c r="D219">
        <v>1</v>
      </c>
      <c r="F219" s="2" t="s">
        <v>202</v>
      </c>
      <c r="G219">
        <v>1</v>
      </c>
    </row>
    <row r="220" spans="3:7" x14ac:dyDescent="0.25">
      <c r="C220" s="2" t="s">
        <v>3221</v>
      </c>
      <c r="D220">
        <v>1</v>
      </c>
      <c r="F220" s="2" t="s">
        <v>146</v>
      </c>
      <c r="G220">
        <v>1</v>
      </c>
    </row>
    <row r="221" spans="3:7" x14ac:dyDescent="0.25">
      <c r="C221" s="2" t="s">
        <v>3224</v>
      </c>
      <c r="D221">
        <v>1</v>
      </c>
      <c r="F221" s="2" t="s">
        <v>1290</v>
      </c>
      <c r="G221">
        <v>1</v>
      </c>
    </row>
    <row r="222" spans="3:7" x14ac:dyDescent="0.25">
      <c r="C222" s="2" t="s">
        <v>3175</v>
      </c>
      <c r="D222">
        <v>1</v>
      </c>
      <c r="F222" s="2" t="s">
        <v>103</v>
      </c>
      <c r="G222">
        <v>1</v>
      </c>
    </row>
    <row r="223" spans="3:7" x14ac:dyDescent="0.25">
      <c r="C223" s="2" t="s">
        <v>3228</v>
      </c>
      <c r="D223">
        <v>1</v>
      </c>
      <c r="F223" s="2" t="s">
        <v>1300</v>
      </c>
      <c r="G223">
        <v>1</v>
      </c>
    </row>
    <row r="224" spans="3:7" x14ac:dyDescent="0.25">
      <c r="C224" s="2" t="s">
        <v>3137</v>
      </c>
      <c r="D224">
        <v>1</v>
      </c>
      <c r="F224" s="2" t="s">
        <v>148</v>
      </c>
      <c r="G224">
        <v>1</v>
      </c>
    </row>
    <row r="225" spans="3:7" x14ac:dyDescent="0.25">
      <c r="C225" s="2" t="s">
        <v>3226</v>
      </c>
      <c r="D225">
        <v>1</v>
      </c>
      <c r="F225" s="2" t="s">
        <v>3012</v>
      </c>
      <c r="G225">
        <v>1</v>
      </c>
    </row>
    <row r="226" spans="3:7" x14ac:dyDescent="0.25">
      <c r="C226" s="2" t="s">
        <v>3177</v>
      </c>
      <c r="D226">
        <v>1</v>
      </c>
      <c r="F226" s="2" t="s">
        <v>119</v>
      </c>
      <c r="G226">
        <v>1</v>
      </c>
    </row>
    <row r="227" spans="3:7" x14ac:dyDescent="0.25">
      <c r="C227" s="2" t="s">
        <v>3232</v>
      </c>
      <c r="D227">
        <v>1</v>
      </c>
      <c r="F227" s="2" t="s">
        <v>102</v>
      </c>
      <c r="G227">
        <v>1</v>
      </c>
    </row>
    <row r="228" spans="3:7" x14ac:dyDescent="0.25">
      <c r="C228" s="2" t="s">
        <v>3151</v>
      </c>
      <c r="D228">
        <v>1</v>
      </c>
      <c r="F228" s="2" t="s">
        <v>152</v>
      </c>
      <c r="G228">
        <v>1</v>
      </c>
    </row>
    <row r="229" spans="3:7" x14ac:dyDescent="0.25">
      <c r="C229" s="2" t="s">
        <v>3234</v>
      </c>
      <c r="D229">
        <v>1</v>
      </c>
      <c r="F229" s="2" t="s">
        <v>126</v>
      </c>
      <c r="G229">
        <v>1</v>
      </c>
    </row>
    <row r="230" spans="3:7" x14ac:dyDescent="0.25">
      <c r="C230" s="2" t="s">
        <v>3179</v>
      </c>
      <c r="D230">
        <v>1</v>
      </c>
      <c r="F230" s="2" t="s">
        <v>6</v>
      </c>
      <c r="G230">
        <v>522</v>
      </c>
    </row>
    <row r="231" spans="3:7" x14ac:dyDescent="0.25">
      <c r="C231" s="2" t="s">
        <v>3230</v>
      </c>
      <c r="D231">
        <v>1</v>
      </c>
      <c r="F231"/>
      <c r="G231"/>
    </row>
    <row r="232" spans="3:7" x14ac:dyDescent="0.25">
      <c r="C232" s="2" t="s">
        <v>3131</v>
      </c>
      <c r="D232">
        <v>1</v>
      </c>
      <c r="F232"/>
      <c r="G232"/>
    </row>
    <row r="233" spans="3:7" x14ac:dyDescent="0.25">
      <c r="C233" s="2" t="s">
        <v>3238</v>
      </c>
      <c r="D233">
        <v>1</v>
      </c>
      <c r="F233"/>
      <c r="G233"/>
    </row>
    <row r="234" spans="3:7" x14ac:dyDescent="0.25">
      <c r="C234" s="2" t="s">
        <v>3181</v>
      </c>
      <c r="D234">
        <v>1</v>
      </c>
      <c r="F234"/>
      <c r="G234"/>
    </row>
    <row r="235" spans="3:7" x14ac:dyDescent="0.25">
      <c r="C235" s="2" t="s">
        <v>3240</v>
      </c>
      <c r="D235">
        <v>1</v>
      </c>
      <c r="F235"/>
      <c r="G235"/>
    </row>
    <row r="236" spans="3:7" x14ac:dyDescent="0.25">
      <c r="C236" s="2" t="s">
        <v>3153</v>
      </c>
      <c r="D236">
        <v>1</v>
      </c>
      <c r="F236"/>
      <c r="G236"/>
    </row>
    <row r="237" spans="3:7" x14ac:dyDescent="0.25">
      <c r="C237" s="2" t="s">
        <v>3236</v>
      </c>
      <c r="D237">
        <v>1</v>
      </c>
      <c r="F237"/>
      <c r="G237"/>
    </row>
    <row r="238" spans="3:7" x14ac:dyDescent="0.25">
      <c r="C238" s="2" t="s">
        <v>3183</v>
      </c>
      <c r="D238">
        <v>1</v>
      </c>
      <c r="F238"/>
      <c r="G238"/>
    </row>
    <row r="239" spans="3:7" x14ac:dyDescent="0.25">
      <c r="C239" s="2" t="s">
        <v>3242</v>
      </c>
      <c r="D239">
        <v>1</v>
      </c>
      <c r="F239"/>
      <c r="G239"/>
    </row>
    <row r="240" spans="3:7" x14ac:dyDescent="0.25">
      <c r="C240" s="2" t="s">
        <v>3243</v>
      </c>
      <c r="D240">
        <v>1</v>
      </c>
      <c r="F240"/>
      <c r="G240"/>
    </row>
    <row r="241" spans="3:7" x14ac:dyDescent="0.25">
      <c r="C241" s="2" t="s">
        <v>3246</v>
      </c>
      <c r="D241">
        <v>1</v>
      </c>
      <c r="F241"/>
      <c r="G241"/>
    </row>
    <row r="242" spans="3:7" x14ac:dyDescent="0.25">
      <c r="C242" s="2" t="s">
        <v>3185</v>
      </c>
      <c r="D242">
        <v>1</v>
      </c>
      <c r="F242"/>
      <c r="G242"/>
    </row>
    <row r="243" spans="3:7" x14ac:dyDescent="0.25">
      <c r="C243" s="2" t="s">
        <v>3244</v>
      </c>
      <c r="D243">
        <v>1</v>
      </c>
      <c r="F243"/>
      <c r="G243"/>
    </row>
    <row r="244" spans="3:7" x14ac:dyDescent="0.25">
      <c r="C244" s="2" t="s">
        <v>3247</v>
      </c>
      <c r="D244">
        <v>1</v>
      </c>
      <c r="F244"/>
      <c r="G244"/>
    </row>
    <row r="245" spans="3:7" x14ac:dyDescent="0.25">
      <c r="C245" s="2" t="s">
        <v>3250</v>
      </c>
      <c r="D245">
        <v>1</v>
      </c>
      <c r="F245"/>
      <c r="G245"/>
    </row>
    <row r="246" spans="3:7" x14ac:dyDescent="0.25">
      <c r="C246" s="2" t="s">
        <v>3187</v>
      </c>
      <c r="D246">
        <v>1</v>
      </c>
      <c r="F246"/>
      <c r="G246"/>
    </row>
    <row r="247" spans="3:7" x14ac:dyDescent="0.25">
      <c r="C247" s="2" t="s">
        <v>3252</v>
      </c>
      <c r="D247">
        <v>1</v>
      </c>
      <c r="F247"/>
      <c r="G247"/>
    </row>
    <row r="248" spans="3:7" x14ac:dyDescent="0.25">
      <c r="C248" s="2" t="s">
        <v>3127</v>
      </c>
      <c r="D248">
        <v>1</v>
      </c>
      <c r="F248"/>
      <c r="G248"/>
    </row>
    <row r="249" spans="3:7" x14ac:dyDescent="0.25">
      <c r="C249" s="2" t="s">
        <v>3248</v>
      </c>
      <c r="D249">
        <v>1</v>
      </c>
      <c r="F249"/>
      <c r="G249"/>
    </row>
    <row r="250" spans="3:7" x14ac:dyDescent="0.25">
      <c r="C250" s="2" t="s">
        <v>3189</v>
      </c>
      <c r="D250">
        <v>1</v>
      </c>
      <c r="F250"/>
      <c r="G250"/>
    </row>
    <row r="251" spans="3:7" x14ac:dyDescent="0.25">
      <c r="C251" s="2" t="s">
        <v>3254</v>
      </c>
      <c r="D251">
        <v>1</v>
      </c>
      <c r="F251"/>
      <c r="G251"/>
    </row>
    <row r="252" spans="3:7" x14ac:dyDescent="0.25">
      <c r="C252" s="2" t="s">
        <v>3157</v>
      </c>
      <c r="D252">
        <v>1</v>
      </c>
      <c r="F252"/>
      <c r="G252"/>
    </row>
    <row r="253" spans="3:7" x14ac:dyDescent="0.25">
      <c r="C253" s="2" t="s">
        <v>3256</v>
      </c>
      <c r="D253">
        <v>1</v>
      </c>
      <c r="F253"/>
      <c r="G253"/>
    </row>
    <row r="254" spans="3:7" x14ac:dyDescent="0.25">
      <c r="C254" s="2" t="s">
        <v>3191</v>
      </c>
      <c r="D254">
        <v>1</v>
      </c>
      <c r="F254"/>
      <c r="G254"/>
    </row>
    <row r="255" spans="3:7" x14ac:dyDescent="0.25">
      <c r="C255" s="2" t="s">
        <v>3258</v>
      </c>
      <c r="D255">
        <v>1</v>
      </c>
      <c r="F255"/>
      <c r="G255"/>
    </row>
    <row r="256" spans="3:7" x14ac:dyDescent="0.25">
      <c r="C256" s="2" t="s">
        <v>3141</v>
      </c>
      <c r="D256">
        <v>1</v>
      </c>
      <c r="F256"/>
      <c r="G256"/>
    </row>
    <row r="257" spans="3:7" x14ac:dyDescent="0.25">
      <c r="C257" s="2" t="s">
        <v>3262</v>
      </c>
      <c r="D257">
        <v>1</v>
      </c>
      <c r="F257"/>
      <c r="G257"/>
    </row>
    <row r="258" spans="3:7" x14ac:dyDescent="0.25">
      <c r="C258" s="2" t="s">
        <v>3253</v>
      </c>
      <c r="D258">
        <v>1</v>
      </c>
      <c r="F258"/>
      <c r="G258"/>
    </row>
    <row r="259" spans="3:7" x14ac:dyDescent="0.25">
      <c r="C259" s="2" t="s">
        <v>3264</v>
      </c>
      <c r="D259">
        <v>1</v>
      </c>
      <c r="F259"/>
      <c r="G259"/>
    </row>
    <row r="260" spans="3:7" x14ac:dyDescent="0.25">
      <c r="C260" s="2" t="s">
        <v>3193</v>
      </c>
      <c r="D260">
        <v>1</v>
      </c>
      <c r="F260"/>
      <c r="G260"/>
    </row>
    <row r="261" spans="3:7" x14ac:dyDescent="0.25">
      <c r="C261" s="2" t="s">
        <v>3266</v>
      </c>
      <c r="D261">
        <v>1</v>
      </c>
      <c r="F261"/>
      <c r="G261"/>
    </row>
    <row r="262" spans="3:7" x14ac:dyDescent="0.25">
      <c r="C262" s="2" t="s">
        <v>3265</v>
      </c>
      <c r="D262">
        <v>1</v>
      </c>
      <c r="F262"/>
      <c r="G262"/>
    </row>
    <row r="263" spans="3:7" x14ac:dyDescent="0.25">
      <c r="C263" s="2" t="s">
        <v>3268</v>
      </c>
      <c r="D263">
        <v>1</v>
      </c>
      <c r="F263"/>
      <c r="G263"/>
    </row>
    <row r="264" spans="3:7" x14ac:dyDescent="0.25">
      <c r="C264" s="2" t="s">
        <v>3133</v>
      </c>
      <c r="D264">
        <v>1</v>
      </c>
      <c r="F264"/>
      <c r="G264"/>
    </row>
    <row r="265" spans="3:7" x14ac:dyDescent="0.25">
      <c r="C265" s="2" t="s">
        <v>3270</v>
      </c>
      <c r="D265">
        <v>1</v>
      </c>
      <c r="F265"/>
      <c r="G265"/>
    </row>
    <row r="266" spans="3:7" x14ac:dyDescent="0.25">
      <c r="C266" s="2" t="s">
        <v>3197</v>
      </c>
      <c r="D266">
        <v>1</v>
      </c>
      <c r="F266"/>
      <c r="G266"/>
    </row>
    <row r="267" spans="3:7" x14ac:dyDescent="0.25">
      <c r="C267" s="2" t="s">
        <v>3260</v>
      </c>
      <c r="D267">
        <v>1</v>
      </c>
      <c r="F267"/>
      <c r="G267"/>
    </row>
    <row r="268" spans="3:7" x14ac:dyDescent="0.25">
      <c r="C268" s="2" t="s">
        <v>3161</v>
      </c>
      <c r="D268">
        <v>1</v>
      </c>
      <c r="F268"/>
      <c r="G268"/>
    </row>
    <row r="269" spans="3:7" x14ac:dyDescent="0.25">
      <c r="C269" s="2" t="s">
        <v>3274</v>
      </c>
      <c r="D269">
        <v>1</v>
      </c>
      <c r="F269"/>
      <c r="G269"/>
    </row>
    <row r="270" spans="3:7" x14ac:dyDescent="0.25">
      <c r="C270" s="2" t="s">
        <v>3199</v>
      </c>
      <c r="D270">
        <v>1</v>
      </c>
      <c r="F270"/>
      <c r="G270"/>
    </row>
    <row r="271" spans="3:7" x14ac:dyDescent="0.25">
      <c r="C271" s="2" t="s">
        <v>3276</v>
      </c>
      <c r="D271">
        <v>1</v>
      </c>
      <c r="F271"/>
      <c r="G271"/>
    </row>
    <row r="272" spans="3:7" x14ac:dyDescent="0.25">
      <c r="C272" s="2" t="s">
        <v>3195</v>
      </c>
      <c r="D272">
        <v>1</v>
      </c>
      <c r="F272"/>
      <c r="G272"/>
    </row>
    <row r="273" spans="3:7" x14ac:dyDescent="0.25">
      <c r="C273" s="2" t="s">
        <v>3272</v>
      </c>
      <c r="D273">
        <v>1</v>
      </c>
      <c r="F273"/>
      <c r="G273"/>
    </row>
    <row r="274" spans="3:7" x14ac:dyDescent="0.25">
      <c r="C274" s="2" t="s">
        <v>3201</v>
      </c>
      <c r="D274">
        <v>1</v>
      </c>
      <c r="F274"/>
      <c r="G274"/>
    </row>
    <row r="275" spans="3:7" x14ac:dyDescent="0.25">
      <c r="C275" s="2" t="s">
        <v>3278</v>
      </c>
      <c r="D275">
        <v>1</v>
      </c>
      <c r="F275"/>
      <c r="G275"/>
    </row>
    <row r="276" spans="3:7" x14ac:dyDescent="0.25">
      <c r="C276" s="2" t="s">
        <v>3163</v>
      </c>
      <c r="D276">
        <v>1</v>
      </c>
      <c r="F276"/>
      <c r="G276"/>
    </row>
    <row r="277" spans="3:7" x14ac:dyDescent="0.25">
      <c r="C277" s="2" t="s">
        <v>3280</v>
      </c>
      <c r="D277">
        <v>1</v>
      </c>
      <c r="F277"/>
      <c r="G277"/>
    </row>
    <row r="278" spans="3:7" x14ac:dyDescent="0.25">
      <c r="C278" s="2" t="s">
        <v>3203</v>
      </c>
      <c r="D278">
        <v>1</v>
      </c>
      <c r="F278"/>
      <c r="G278"/>
    </row>
    <row r="279" spans="3:7" x14ac:dyDescent="0.25">
      <c r="C279" s="2" t="s">
        <v>3282</v>
      </c>
      <c r="D279">
        <v>1</v>
      </c>
      <c r="F279"/>
      <c r="G279"/>
    </row>
    <row r="280" spans="3:7" x14ac:dyDescent="0.25">
      <c r="C280" s="2" t="s">
        <v>3129</v>
      </c>
      <c r="D280">
        <v>1</v>
      </c>
      <c r="F280"/>
      <c r="G280"/>
    </row>
    <row r="281" spans="3:7" x14ac:dyDescent="0.25">
      <c r="C281" s="2" t="s">
        <v>3284</v>
      </c>
      <c r="D281">
        <v>1</v>
      </c>
      <c r="F281"/>
      <c r="G281"/>
    </row>
    <row r="282" spans="3:7" x14ac:dyDescent="0.25">
      <c r="C282" s="2" t="s">
        <v>3205</v>
      </c>
      <c r="D282">
        <v>1</v>
      </c>
      <c r="F282"/>
      <c r="G282"/>
    </row>
    <row r="283" spans="3:7" x14ac:dyDescent="0.25">
      <c r="C283" s="2" t="s">
        <v>3286</v>
      </c>
      <c r="D283">
        <v>1</v>
      </c>
      <c r="F283"/>
      <c r="G283"/>
    </row>
    <row r="284" spans="3:7" x14ac:dyDescent="0.25">
      <c r="C284" s="2" t="s">
        <v>3165</v>
      </c>
      <c r="D284">
        <v>1</v>
      </c>
      <c r="F284"/>
      <c r="G284"/>
    </row>
    <row r="285" spans="3:7" x14ac:dyDescent="0.25">
      <c r="C285" s="2" t="s">
        <v>3290</v>
      </c>
      <c r="D285">
        <v>1</v>
      </c>
      <c r="F285"/>
      <c r="G285"/>
    </row>
    <row r="286" spans="3:7" x14ac:dyDescent="0.25">
      <c r="C286" s="2" t="s">
        <v>3207</v>
      </c>
      <c r="D286">
        <v>1</v>
      </c>
      <c r="F286"/>
      <c r="G286"/>
    </row>
    <row r="287" spans="3:7" x14ac:dyDescent="0.25">
      <c r="C287" s="2" t="s">
        <v>3288</v>
      </c>
      <c r="D287">
        <v>1</v>
      </c>
      <c r="F287"/>
      <c r="G287"/>
    </row>
    <row r="288" spans="3:7" x14ac:dyDescent="0.25">
      <c r="C288" s="2" t="s">
        <v>3145</v>
      </c>
      <c r="D288">
        <v>1</v>
      </c>
      <c r="F288"/>
      <c r="G288"/>
    </row>
    <row r="289" spans="3:7" x14ac:dyDescent="0.25">
      <c r="C289" s="2" t="s">
        <v>3294</v>
      </c>
      <c r="D289">
        <v>1</v>
      </c>
      <c r="F289"/>
      <c r="G289"/>
    </row>
    <row r="290" spans="3:7" x14ac:dyDescent="0.25">
      <c r="C290" s="2" t="s">
        <v>3209</v>
      </c>
      <c r="D290">
        <v>1</v>
      </c>
      <c r="F290"/>
      <c r="G290"/>
    </row>
    <row r="291" spans="3:7" x14ac:dyDescent="0.25">
      <c r="C291" s="2" t="s">
        <v>3296</v>
      </c>
      <c r="D291">
        <v>1</v>
      </c>
      <c r="F291"/>
      <c r="G291"/>
    </row>
    <row r="292" spans="3:7" x14ac:dyDescent="0.25">
      <c r="C292" s="2" t="s">
        <v>3167</v>
      </c>
      <c r="D292">
        <v>1</v>
      </c>
      <c r="F292"/>
      <c r="G292"/>
    </row>
    <row r="293" spans="3:7" x14ac:dyDescent="0.25">
      <c r="C293" s="2" t="s">
        <v>3298</v>
      </c>
      <c r="D293">
        <v>1</v>
      </c>
    </row>
    <row r="294" spans="3:7" x14ac:dyDescent="0.25">
      <c r="C294" s="2" t="s">
        <v>3211</v>
      </c>
      <c r="D294">
        <v>1</v>
      </c>
    </row>
    <row r="295" spans="3:7" x14ac:dyDescent="0.25">
      <c r="C295" s="2" t="s">
        <v>3292</v>
      </c>
      <c r="D295">
        <v>1</v>
      </c>
    </row>
    <row r="296" spans="3:7" x14ac:dyDescent="0.25">
      <c r="C296" s="2" t="s">
        <v>3135</v>
      </c>
      <c r="D296">
        <v>1</v>
      </c>
    </row>
    <row r="297" spans="3:7" x14ac:dyDescent="0.25">
      <c r="C297" s="2" t="s">
        <v>3302</v>
      </c>
      <c r="D297">
        <v>1</v>
      </c>
    </row>
    <row r="298" spans="3:7" x14ac:dyDescent="0.25">
      <c r="C298" s="2" t="s">
        <v>3213</v>
      </c>
      <c r="D298">
        <v>1</v>
      </c>
    </row>
    <row r="299" spans="3:7" x14ac:dyDescent="0.25">
      <c r="C299" s="2" t="s">
        <v>3300</v>
      </c>
      <c r="D299">
        <v>1</v>
      </c>
    </row>
    <row r="300" spans="3:7" x14ac:dyDescent="0.25">
      <c r="C300" s="2" t="s">
        <v>3169</v>
      </c>
      <c r="D300">
        <v>1</v>
      </c>
    </row>
    <row r="301" spans="3:7" x14ac:dyDescent="0.25">
      <c r="C301" s="2" t="s">
        <v>3304</v>
      </c>
      <c r="D301">
        <v>1</v>
      </c>
    </row>
    <row r="302" spans="3:7" x14ac:dyDescent="0.25">
      <c r="C302" s="2" t="s">
        <v>3196</v>
      </c>
      <c r="D302">
        <v>1</v>
      </c>
    </row>
    <row r="303" spans="3:7" x14ac:dyDescent="0.25">
      <c r="C303" s="2" t="s">
        <v>3307</v>
      </c>
      <c r="D303">
        <v>1</v>
      </c>
    </row>
    <row r="304" spans="3:7" x14ac:dyDescent="0.25">
      <c r="C304" s="2" t="s">
        <v>3147</v>
      </c>
      <c r="D304">
        <v>1</v>
      </c>
    </row>
    <row r="305" spans="3:4" x14ac:dyDescent="0.25">
      <c r="C305" s="2" t="s">
        <v>3308</v>
      </c>
      <c r="D305">
        <v>1</v>
      </c>
    </row>
    <row r="306" spans="3:4" x14ac:dyDescent="0.25">
      <c r="C306" s="2" t="s">
        <v>3310</v>
      </c>
      <c r="D306">
        <v>1</v>
      </c>
    </row>
    <row r="307" spans="3:4" x14ac:dyDescent="0.25">
      <c r="C307" s="2" t="s">
        <v>6</v>
      </c>
      <c r="D307">
        <v>486</v>
      </c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17" t="s">
        <v>205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1070"/>
  <sheetViews>
    <sheetView tabSelected="1" zoomScale="85" zoomScaleNormal="85" workbookViewId="0">
      <pane ySplit="1" topLeftCell="A1052" activePane="bottomLeft" state="frozen"/>
      <selection activeCell="F1" sqref="F1"/>
      <selection pane="bottomLeft" activeCell="J1053" sqref="J1053"/>
    </sheetView>
  </sheetViews>
  <sheetFormatPr defaultRowHeight="15" x14ac:dyDescent="0.25"/>
  <cols>
    <col min="1" max="1" width="15" style="20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11.85546875" style="15" customWidth="1"/>
    <col min="7" max="7" width="50.140625" style="4" customWidth="1"/>
    <col min="8" max="8" width="31.5703125" bestFit="1" customWidth="1"/>
    <col min="9" max="9" width="16.140625" style="4" customWidth="1"/>
    <col min="10" max="11" width="12.28515625" style="23" customWidth="1"/>
    <col min="12" max="12" width="9.140625" style="23"/>
  </cols>
  <sheetData>
    <row r="1" spans="1:12" x14ac:dyDescent="0.25">
      <c r="A1" s="20" t="s">
        <v>206</v>
      </c>
      <c r="B1" t="s">
        <v>207</v>
      </c>
      <c r="C1" t="s">
        <v>208</v>
      </c>
      <c r="D1" t="s">
        <v>209</v>
      </c>
      <c r="E1" s="2" t="s">
        <v>210</v>
      </c>
      <c r="F1" s="14" t="s">
        <v>211</v>
      </c>
      <c r="G1" s="13" t="s">
        <v>212</v>
      </c>
      <c r="H1" t="s">
        <v>215</v>
      </c>
      <c r="I1" s="4" t="s">
        <v>216</v>
      </c>
      <c r="J1" s="4" t="s">
        <v>217</v>
      </c>
      <c r="K1" s="4" t="s">
        <v>218</v>
      </c>
      <c r="L1" s="23" t="s">
        <v>219</v>
      </c>
    </row>
    <row r="2" spans="1:12" s="7" customFormat="1" hidden="1" x14ac:dyDescent="0.25">
      <c r="A2">
        <v>9999</v>
      </c>
      <c r="B2" t="e">
        <f>VLOOKUP(bron[[#This Row],[personeelsnr]],[1]Blad1!$A:$H,2,FALSE)</f>
        <v>#N/A</v>
      </c>
      <c r="C2" t="e">
        <f>VLOOKUP(bron[[#This Row],[personeelsnr]],[1]Blad1!$A:$H,3,FALSE)</f>
        <v>#N/A</v>
      </c>
      <c r="D2" t="e">
        <f>VLOOKUP(bron[[#This Row],[personeelsnr]],[1]Blad1!$A:$H,4,FALSE)</f>
        <v>#N/A</v>
      </c>
      <c r="E2" s="2" t="s">
        <v>221</v>
      </c>
      <c r="F2" s="6">
        <v>45296</v>
      </c>
      <c r="G2" s="5" t="s">
        <v>222</v>
      </c>
      <c r="H2" t="s">
        <v>10</v>
      </c>
      <c r="I2"/>
      <c r="J2" t="e">
        <f>VLOOKUP(bron[[#This Row],[voertuig]],Voertuigen!A:C,3,FALSE)</f>
        <v>#N/A</v>
      </c>
      <c r="K2" t="e">
        <f>VLOOKUP(bron[[#This Row],[voertuig]],Voertuigen!A:C,2,FALSE)</f>
        <v>#N/A</v>
      </c>
      <c r="L2">
        <f>COUNTIF(A:A,bron[[#This Row],[personeelsnr]])</f>
        <v>59</v>
      </c>
    </row>
    <row r="3" spans="1:12" s="7" customFormat="1" hidden="1" x14ac:dyDescent="0.25">
      <c r="A3">
        <v>34328</v>
      </c>
      <c r="B3" t="str">
        <f>VLOOKUP(bron[[#This Row],[personeelsnr]],[1]Blad1!$A:$H,2,FALSE)</f>
        <v>Kerremans Jürgen</v>
      </c>
      <c r="C3" t="str">
        <f>VLOOKUP(bron[[#This Row],[personeelsnr]],[1]Blad1!$A:$H,3,FALSE)</f>
        <v>Kerremans</v>
      </c>
      <c r="D3" t="str">
        <f>VLOOKUP(bron[[#This Row],[personeelsnr]],[1]Blad1!$A:$H,4,FALSE)</f>
        <v>Jürgen</v>
      </c>
      <c r="E3" s="2" t="str">
        <f>VLOOKUP(bron[[#This Row],[personeelsnr]],[1]Blad1!$A:$H,8,FALSE)</f>
        <v>De Rick Kenneth</v>
      </c>
      <c r="F3" s="6">
        <v>45296</v>
      </c>
      <c r="G3" s="5" t="s">
        <v>223</v>
      </c>
      <c r="H3" t="s">
        <v>25</v>
      </c>
      <c r="I3"/>
      <c r="J3" t="e">
        <f>VLOOKUP(bron[[#This Row],[voertuig]],Voertuigen!A:C,3,FALSE)</f>
        <v>#N/A</v>
      </c>
      <c r="K3" t="e">
        <f>VLOOKUP(bron[[#This Row],[voertuig]],Voertuigen!A:C,2,FALSE)</f>
        <v>#N/A</v>
      </c>
      <c r="L3">
        <f>COUNTIF(A:A,bron[[#This Row],[personeelsnr]])</f>
        <v>4</v>
      </c>
    </row>
    <row r="4" spans="1:12" hidden="1" x14ac:dyDescent="0.25">
      <c r="A4">
        <v>39581</v>
      </c>
      <c r="B4" t="str">
        <f>VLOOKUP(bron[[#This Row],[personeelsnr]],[1]Blad1!$A:$H,2,FALSE)</f>
        <v>Vandenhaute Linus</v>
      </c>
      <c r="C4" t="str">
        <f>VLOOKUP(bron[[#This Row],[personeelsnr]],[1]Blad1!$A:$H,3,FALSE)</f>
        <v>Vandenhaute</v>
      </c>
      <c r="D4" t="str">
        <f>VLOOKUP(bron[[#This Row],[personeelsnr]],[1]Blad1!$A:$H,4,FALSE)</f>
        <v>Linus</v>
      </c>
      <c r="E4" s="2" t="str">
        <f>VLOOKUP(bron[[#This Row],[personeelsnr]],[1]Blad1!$A:$H,8,FALSE)</f>
        <v>Dewulf Els</v>
      </c>
      <c r="F4" s="6">
        <v>45296</v>
      </c>
      <c r="G4" s="5" t="s">
        <v>224</v>
      </c>
      <c r="H4" t="s">
        <v>8</v>
      </c>
      <c r="I4"/>
      <c r="J4" t="e">
        <f>VLOOKUP(bron[[#This Row],[voertuig]],Voertuigen!A:C,3,FALSE)</f>
        <v>#N/A</v>
      </c>
      <c r="K4" t="e">
        <f>VLOOKUP(bron[[#This Row],[voertuig]],Voertuigen!A:C,2,FALSE)</f>
        <v>#N/A</v>
      </c>
      <c r="L4">
        <f>COUNTIF(A:A,bron[[#This Row],[personeelsnr]])</f>
        <v>5</v>
      </c>
    </row>
    <row r="5" spans="1:12" hidden="1" x14ac:dyDescent="0.25">
      <c r="A5">
        <v>38346</v>
      </c>
      <c r="B5" t="e">
        <f>VLOOKUP(bron[[#This Row],[personeelsnr]],[1]Blad1!$A:$H,2,FALSE)</f>
        <v>#N/A</v>
      </c>
      <c r="C5" t="e">
        <f>VLOOKUP(bron[[#This Row],[personeelsnr]],[1]Blad1!$A:$H,3,FALSE)</f>
        <v>#N/A</v>
      </c>
      <c r="D5" t="e">
        <f>VLOOKUP(bron[[#This Row],[personeelsnr]],[1]Blad1!$A:$H,4,FALSE)</f>
        <v>#N/A</v>
      </c>
      <c r="E5" s="2" t="s">
        <v>221</v>
      </c>
      <c r="F5" s="6">
        <v>45297</v>
      </c>
      <c r="G5" s="5" t="s">
        <v>225</v>
      </c>
      <c r="H5" t="s">
        <v>8</v>
      </c>
      <c r="I5"/>
      <c r="J5" t="e">
        <f>VLOOKUP(bron[[#This Row],[voertuig]],Voertuigen!A:C,3,FALSE)</f>
        <v>#N/A</v>
      </c>
      <c r="K5" t="e">
        <f>VLOOKUP(bron[[#This Row],[voertuig]],Voertuigen!A:C,2,FALSE)</f>
        <v>#N/A</v>
      </c>
      <c r="L5">
        <f>COUNTIF(A:A,bron[[#This Row],[personeelsnr]])</f>
        <v>3</v>
      </c>
    </row>
    <row r="6" spans="1:12" hidden="1" x14ac:dyDescent="0.25">
      <c r="A6">
        <v>31111</v>
      </c>
      <c r="B6" t="str">
        <f>VLOOKUP(bron[[#This Row],[personeelsnr]],[1]Blad1!$A:$H,2,FALSE)</f>
        <v>Bonne Niko</v>
      </c>
      <c r="C6" t="str">
        <f>VLOOKUP(bron[[#This Row],[personeelsnr]],[1]Blad1!$A:$H,3,FALSE)</f>
        <v>Bonne</v>
      </c>
      <c r="D6" t="str">
        <f>VLOOKUP(bron[[#This Row],[personeelsnr]],[1]Blad1!$A:$H,4,FALSE)</f>
        <v>Niko</v>
      </c>
      <c r="E6" s="2" t="str">
        <f>VLOOKUP(bron[[#This Row],[personeelsnr]],[1]Blad1!$A:$H,8,FALSE)</f>
        <v>Vanhoe Els</v>
      </c>
      <c r="F6" s="6">
        <v>45299</v>
      </c>
      <c r="G6" s="5" t="s">
        <v>226</v>
      </c>
      <c r="H6" t="s">
        <v>8</v>
      </c>
      <c r="I6"/>
      <c r="J6" t="e">
        <f>VLOOKUP(bron[[#This Row],[voertuig]],Voertuigen!A:C,3,FALSE)</f>
        <v>#N/A</v>
      </c>
      <c r="K6" t="e">
        <f>VLOOKUP(bron[[#This Row],[voertuig]],Voertuigen!A:C,2,FALSE)</f>
        <v>#N/A</v>
      </c>
      <c r="L6">
        <f>COUNTIF(A:A,bron[[#This Row],[personeelsnr]])</f>
        <v>2</v>
      </c>
    </row>
    <row r="7" spans="1:12" hidden="1" x14ac:dyDescent="0.25">
      <c r="A7">
        <v>37313</v>
      </c>
      <c r="B7" t="str">
        <f>VLOOKUP(bron[[#This Row],[personeelsnr]],[1]Blad1!$A:$H,2,FALSE)</f>
        <v>Dedeci Mecit</v>
      </c>
      <c r="C7" t="str">
        <f>VLOOKUP(bron[[#This Row],[personeelsnr]],[1]Blad1!$A:$H,3,FALSE)</f>
        <v>Dedeci</v>
      </c>
      <c r="D7" t="str">
        <f>VLOOKUP(bron[[#This Row],[personeelsnr]],[1]Blad1!$A:$H,4,FALSE)</f>
        <v>Mecit</v>
      </c>
      <c r="E7" s="2" t="str">
        <f>VLOOKUP(bron[[#This Row],[personeelsnr]],[1]Blad1!$A:$H,8,FALSE)</f>
        <v>Van Der Beken Bart</v>
      </c>
      <c r="F7" s="6">
        <v>45299</v>
      </c>
      <c r="G7" s="5" t="s">
        <v>227</v>
      </c>
      <c r="H7" t="s">
        <v>8</v>
      </c>
      <c r="I7"/>
      <c r="J7" t="e">
        <f>VLOOKUP(bron[[#This Row],[voertuig]],Voertuigen!A:C,3,FALSE)</f>
        <v>#N/A</v>
      </c>
      <c r="K7" t="e">
        <f>VLOOKUP(bron[[#This Row],[voertuig]],Voertuigen!A:C,2,FALSE)</f>
        <v>#N/A</v>
      </c>
      <c r="L7">
        <f>COUNTIF(A:A,bron[[#This Row],[personeelsnr]])</f>
        <v>1</v>
      </c>
    </row>
    <row r="8" spans="1:12" hidden="1" x14ac:dyDescent="0.25">
      <c r="A8">
        <v>37808</v>
      </c>
      <c r="B8" t="str">
        <f>VLOOKUP(bron[[#This Row],[personeelsnr]],[1]Blad1!$A:$H,2,FALSE)</f>
        <v>Gök Mustafa</v>
      </c>
      <c r="C8" t="str">
        <f>VLOOKUP(bron[[#This Row],[personeelsnr]],[1]Blad1!$A:$H,3,FALSE)</f>
        <v>Gök</v>
      </c>
      <c r="D8" t="str">
        <f>VLOOKUP(bron[[#This Row],[personeelsnr]],[1]Blad1!$A:$H,4,FALSE)</f>
        <v>Mustafa</v>
      </c>
      <c r="E8" s="2" t="str">
        <f>VLOOKUP(bron[[#This Row],[personeelsnr]],[1]Blad1!$A:$H,8,FALSE)</f>
        <v>Vanhoe Els</v>
      </c>
      <c r="F8" s="6">
        <v>45301</v>
      </c>
      <c r="G8" s="5" t="s">
        <v>228</v>
      </c>
      <c r="H8" t="s">
        <v>90</v>
      </c>
      <c r="I8"/>
      <c r="J8" t="e">
        <f>VLOOKUP(bron[[#This Row],[voertuig]],Voertuigen!A:C,3,FALSE)</f>
        <v>#N/A</v>
      </c>
      <c r="K8" t="e">
        <f>VLOOKUP(bron[[#This Row],[voertuig]],Voertuigen!A:C,2,FALSE)</f>
        <v>#N/A</v>
      </c>
      <c r="L8">
        <f>COUNTIF(A:A,bron[[#This Row],[personeelsnr]])</f>
        <v>1</v>
      </c>
    </row>
    <row r="9" spans="1:12" hidden="1" x14ac:dyDescent="0.25">
      <c r="A9">
        <v>39183</v>
      </c>
      <c r="B9" t="str">
        <f>VLOOKUP(bron[[#This Row],[personeelsnr]],[1]Blad1!$A:$H,2,FALSE)</f>
        <v>Al Masri Anas</v>
      </c>
      <c r="C9" t="str">
        <f>VLOOKUP(bron[[#This Row],[personeelsnr]],[1]Blad1!$A:$H,3,FALSE)</f>
        <v>Al Masri</v>
      </c>
      <c r="D9" t="str">
        <f>VLOOKUP(bron[[#This Row],[personeelsnr]],[1]Blad1!$A:$H,4,FALSE)</f>
        <v>Anas</v>
      </c>
      <c r="E9" s="2" t="str">
        <f>VLOOKUP(bron[[#This Row],[personeelsnr]],[1]Blad1!$A:$H,8,FALSE)</f>
        <v>Rotty Christoff</v>
      </c>
      <c r="F9" s="6">
        <v>45301</v>
      </c>
      <c r="G9" s="5" t="s">
        <v>229</v>
      </c>
      <c r="H9" t="s">
        <v>90</v>
      </c>
      <c r="I9"/>
      <c r="J9" t="e">
        <f>VLOOKUP(bron[[#This Row],[voertuig]],Voertuigen!A:C,3,FALSE)</f>
        <v>#N/A</v>
      </c>
      <c r="K9" t="e">
        <f>VLOOKUP(bron[[#This Row],[voertuig]],Voertuigen!A:C,2,FALSE)</f>
        <v>#N/A</v>
      </c>
      <c r="L9">
        <f>COUNTIF(A:A,bron[[#This Row],[personeelsnr]])</f>
        <v>5</v>
      </c>
    </row>
    <row r="10" spans="1:12" hidden="1" x14ac:dyDescent="0.25">
      <c r="A10">
        <v>39145</v>
      </c>
      <c r="B10" t="str">
        <f>VLOOKUP(bron[[#This Row],[personeelsnr]],[1]Blad1!$A:$H,2,FALSE)</f>
        <v>Landoulsi Sabeur</v>
      </c>
      <c r="C10" t="str">
        <f>VLOOKUP(bron[[#This Row],[personeelsnr]],[1]Blad1!$A:$H,3,FALSE)</f>
        <v>Landoulsi</v>
      </c>
      <c r="D10" t="str">
        <f>VLOOKUP(bron[[#This Row],[personeelsnr]],[1]Blad1!$A:$H,4,FALSE)</f>
        <v>Sabeur</v>
      </c>
      <c r="E10" s="2" t="str">
        <f>VLOOKUP(bron[[#This Row],[personeelsnr]],[1]Blad1!$A:$H,8,FALSE)</f>
        <v>Rotty Christoff</v>
      </c>
      <c r="F10" s="6">
        <v>45302</v>
      </c>
      <c r="G10" s="5" t="s">
        <v>230</v>
      </c>
      <c r="H10" t="s">
        <v>36</v>
      </c>
      <c r="I10"/>
      <c r="J10" t="e">
        <f>VLOOKUP(bron[[#This Row],[voertuig]],Voertuigen!A:C,3,FALSE)</f>
        <v>#N/A</v>
      </c>
      <c r="K10" t="e">
        <f>VLOOKUP(bron[[#This Row],[voertuig]],Voertuigen!A:C,2,FALSE)</f>
        <v>#N/A</v>
      </c>
      <c r="L10">
        <f>COUNTIF(A:A,bron[[#This Row],[personeelsnr]])</f>
        <v>1</v>
      </c>
    </row>
    <row r="11" spans="1:12" hidden="1" x14ac:dyDescent="0.25">
      <c r="A11">
        <v>17566</v>
      </c>
      <c r="B11" t="str">
        <f>VLOOKUP(bron[[#This Row],[personeelsnr]],[1]Blad1!$A:$H,2,FALSE)</f>
        <v>Praet Reginald</v>
      </c>
      <c r="C11" t="str">
        <f>VLOOKUP(bron[[#This Row],[personeelsnr]],[1]Blad1!$A:$H,3,FALSE)</f>
        <v>Praet</v>
      </c>
      <c r="D11" t="str">
        <f>VLOOKUP(bron[[#This Row],[personeelsnr]],[1]Blad1!$A:$H,4,FALSE)</f>
        <v>Reginald</v>
      </c>
      <c r="E11" s="2" t="str">
        <f>VLOOKUP(bron[[#This Row],[personeelsnr]],[1]Blad1!$A:$H,8,FALSE)</f>
        <v>Van Der Beken Bart</v>
      </c>
      <c r="F11" s="6">
        <v>45302</v>
      </c>
      <c r="G11" s="5" t="s">
        <v>231</v>
      </c>
      <c r="H11" t="s">
        <v>102</v>
      </c>
      <c r="I11"/>
      <c r="J11" t="e">
        <f>VLOOKUP(bron[[#This Row],[voertuig]],Voertuigen!A:C,3,FALSE)</f>
        <v>#N/A</v>
      </c>
      <c r="K11" t="e">
        <f>VLOOKUP(bron[[#This Row],[voertuig]],Voertuigen!A:C,2,FALSE)</f>
        <v>#N/A</v>
      </c>
      <c r="L11">
        <f>COUNTIF(A:A,bron[[#This Row],[personeelsnr]])</f>
        <v>2</v>
      </c>
    </row>
    <row r="12" spans="1:12" hidden="1" x14ac:dyDescent="0.25">
      <c r="A12">
        <v>38634</v>
      </c>
      <c r="B12" t="str">
        <f>VLOOKUP(bron[[#This Row],[personeelsnr]],[1]Blad1!$A:$H,2,FALSE)</f>
        <v>Asskale Zouhir</v>
      </c>
      <c r="C12" t="str">
        <f>VLOOKUP(bron[[#This Row],[personeelsnr]],[1]Blad1!$A:$H,3,FALSE)</f>
        <v>Asskale</v>
      </c>
      <c r="D12" t="str">
        <f>VLOOKUP(bron[[#This Row],[personeelsnr]],[1]Blad1!$A:$H,4,FALSE)</f>
        <v>Zouhir</v>
      </c>
      <c r="E12" s="2" t="str">
        <f>VLOOKUP(bron[[#This Row],[personeelsnr]],[1]Blad1!$A:$H,8,FALSE)</f>
        <v>Van Der Beken Bart</v>
      </c>
      <c r="F12" s="6">
        <v>45302</v>
      </c>
      <c r="G12" s="5" t="s">
        <v>232</v>
      </c>
      <c r="H12" t="s">
        <v>90</v>
      </c>
      <c r="I12"/>
      <c r="J12" t="e">
        <f>VLOOKUP(bron[[#This Row],[voertuig]],Voertuigen!A:C,3,FALSE)</f>
        <v>#N/A</v>
      </c>
      <c r="K12" t="e">
        <f>VLOOKUP(bron[[#This Row],[voertuig]],Voertuigen!A:C,2,FALSE)</f>
        <v>#N/A</v>
      </c>
      <c r="L12">
        <f>COUNTIF(A:A,bron[[#This Row],[personeelsnr]])</f>
        <v>3</v>
      </c>
    </row>
    <row r="13" spans="1:12" hidden="1" x14ac:dyDescent="0.25">
      <c r="A13">
        <v>15282</v>
      </c>
      <c r="B13" t="str">
        <f>VLOOKUP(bron[[#This Row],[personeelsnr]],[1]Blad1!$A:$H,2,FALSE)</f>
        <v>Marinx Kristoff</v>
      </c>
      <c r="C13" t="str">
        <f>VLOOKUP(bron[[#This Row],[personeelsnr]],[1]Blad1!$A:$H,3,FALSE)</f>
        <v>Marinx</v>
      </c>
      <c r="D13" t="str">
        <f>VLOOKUP(bron[[#This Row],[personeelsnr]],[1]Blad1!$A:$H,4,FALSE)</f>
        <v>Kristoff</v>
      </c>
      <c r="E13" s="2" t="str">
        <f>VLOOKUP(bron[[#This Row],[personeelsnr]],[1]Blad1!$A:$H,8,FALSE)</f>
        <v>De Rick Kenneth</v>
      </c>
      <c r="F13" s="6">
        <v>45303</v>
      </c>
      <c r="G13" s="5" t="s">
        <v>233</v>
      </c>
      <c r="H13" t="s">
        <v>8</v>
      </c>
      <c r="I13"/>
      <c r="J13" t="e">
        <f>VLOOKUP(bron[[#This Row],[voertuig]],Voertuigen!A:C,3,FALSE)</f>
        <v>#N/A</v>
      </c>
      <c r="K13" t="e">
        <f>VLOOKUP(bron[[#This Row],[voertuig]],Voertuigen!A:C,2,FALSE)</f>
        <v>#N/A</v>
      </c>
      <c r="L13">
        <f>COUNTIF(A:A,bron[[#This Row],[personeelsnr]])</f>
        <v>2</v>
      </c>
    </row>
    <row r="14" spans="1:12" hidden="1" x14ac:dyDescent="0.25">
      <c r="A14">
        <v>9999</v>
      </c>
      <c r="B14" t="e">
        <f>VLOOKUP(bron[[#This Row],[personeelsnr]],[1]Blad1!$A:$H,2,FALSE)</f>
        <v>#N/A</v>
      </c>
      <c r="C14" t="e">
        <f>VLOOKUP(bron[[#This Row],[personeelsnr]],[1]Blad1!$A:$H,3,FALSE)</f>
        <v>#N/A</v>
      </c>
      <c r="D14" t="e">
        <f>VLOOKUP(bron[[#This Row],[personeelsnr]],[1]Blad1!$A:$H,4,FALSE)</f>
        <v>#N/A</v>
      </c>
      <c r="E14" s="2" t="s">
        <v>221</v>
      </c>
      <c r="F14" s="6">
        <v>45303</v>
      </c>
      <c r="G14" s="5" t="s">
        <v>234</v>
      </c>
      <c r="H14" t="s">
        <v>46</v>
      </c>
      <c r="I14"/>
      <c r="J14" t="e">
        <f>VLOOKUP(bron[[#This Row],[voertuig]],Voertuigen!A:C,3,FALSE)</f>
        <v>#N/A</v>
      </c>
      <c r="K14" t="e">
        <f>VLOOKUP(bron[[#This Row],[voertuig]],Voertuigen!A:C,2,FALSE)</f>
        <v>#N/A</v>
      </c>
      <c r="L14">
        <f>COUNTIF(A:A,bron[[#This Row],[personeelsnr]])</f>
        <v>59</v>
      </c>
    </row>
    <row r="15" spans="1:12" hidden="1" x14ac:dyDescent="0.25">
      <c r="A15">
        <v>9999</v>
      </c>
      <c r="B15" t="e">
        <f>VLOOKUP(bron[[#This Row],[personeelsnr]],[1]Blad1!$A:$H,2,FALSE)</f>
        <v>#N/A</v>
      </c>
      <c r="C15" t="e">
        <f>VLOOKUP(bron[[#This Row],[personeelsnr]],[1]Blad1!$A:$H,3,FALSE)</f>
        <v>#N/A</v>
      </c>
      <c r="D15" t="e">
        <f>VLOOKUP(bron[[#This Row],[personeelsnr]],[1]Blad1!$A:$H,4,FALSE)</f>
        <v>#N/A</v>
      </c>
      <c r="E15" s="2" t="s">
        <v>221</v>
      </c>
      <c r="F15" s="6">
        <v>45303</v>
      </c>
      <c r="G15" s="5" t="s">
        <v>235</v>
      </c>
      <c r="H15" t="s">
        <v>73</v>
      </c>
      <c r="I15"/>
      <c r="J15" t="e">
        <f>VLOOKUP(bron[[#This Row],[voertuig]],Voertuigen!A:C,3,FALSE)</f>
        <v>#N/A</v>
      </c>
      <c r="K15" t="e">
        <f>VLOOKUP(bron[[#This Row],[voertuig]],Voertuigen!A:C,2,FALSE)</f>
        <v>#N/A</v>
      </c>
      <c r="L15">
        <f>COUNTIF(A:A,bron[[#This Row],[personeelsnr]])</f>
        <v>59</v>
      </c>
    </row>
    <row r="16" spans="1:12" hidden="1" x14ac:dyDescent="0.25">
      <c r="A16">
        <v>19917</v>
      </c>
      <c r="B16" t="str">
        <f>VLOOKUP(bron[[#This Row],[personeelsnr]],[1]Blad1!$A:$H,2,FALSE)</f>
        <v>Vandevyvere Frank</v>
      </c>
      <c r="C16" t="str">
        <f>VLOOKUP(bron[[#This Row],[personeelsnr]],[1]Blad1!$A:$H,3,FALSE)</f>
        <v>Vandevyvere</v>
      </c>
      <c r="D16" t="str">
        <f>VLOOKUP(bron[[#This Row],[personeelsnr]],[1]Blad1!$A:$H,4,FALSE)</f>
        <v>Frank</v>
      </c>
      <c r="E16" s="2" t="str">
        <f>VLOOKUP(bron[[#This Row],[personeelsnr]],[1]Blad1!$A:$H,8,FALSE)</f>
        <v>Van Der Beken Bart</v>
      </c>
      <c r="F16" s="6">
        <v>45303</v>
      </c>
      <c r="G16" s="5" t="s">
        <v>236</v>
      </c>
      <c r="H16" t="s">
        <v>11</v>
      </c>
      <c r="I16"/>
      <c r="J16" t="e">
        <f>VLOOKUP(bron[[#This Row],[voertuig]],Voertuigen!A:C,3,FALSE)</f>
        <v>#N/A</v>
      </c>
      <c r="K16" t="e">
        <f>VLOOKUP(bron[[#This Row],[voertuig]],Voertuigen!A:C,2,FALSE)</f>
        <v>#N/A</v>
      </c>
      <c r="L16">
        <f>COUNTIF(A:A,bron[[#This Row],[personeelsnr]])</f>
        <v>10</v>
      </c>
    </row>
    <row r="17" spans="1:12" hidden="1" x14ac:dyDescent="0.25">
      <c r="A17">
        <v>36626</v>
      </c>
      <c r="B17" t="str">
        <f>VLOOKUP(bron[[#This Row],[personeelsnr]],[1]Blad1!$A:$H,2,FALSE)</f>
        <v>Kartal Kadir</v>
      </c>
      <c r="C17" t="str">
        <f>VLOOKUP(bron[[#This Row],[personeelsnr]],[1]Blad1!$A:$H,3,FALSE)</f>
        <v>Kartal</v>
      </c>
      <c r="D17" t="str">
        <f>VLOOKUP(bron[[#This Row],[personeelsnr]],[1]Blad1!$A:$H,4,FALSE)</f>
        <v>Kadir</v>
      </c>
      <c r="E17" s="2" t="str">
        <f>VLOOKUP(bron[[#This Row],[personeelsnr]],[1]Blad1!$A:$H,8,FALSE)</f>
        <v>Dewulf Els</v>
      </c>
      <c r="F17" s="6">
        <v>45306</v>
      </c>
      <c r="G17" s="5" t="s">
        <v>237</v>
      </c>
      <c r="H17" t="s">
        <v>8</v>
      </c>
      <c r="I17"/>
      <c r="J17" t="e">
        <f>VLOOKUP(bron[[#This Row],[voertuig]],Voertuigen!A:C,3,FALSE)</f>
        <v>#N/A</v>
      </c>
      <c r="K17" t="e">
        <f>VLOOKUP(bron[[#This Row],[voertuig]],Voertuigen!A:C,2,FALSE)</f>
        <v>#N/A</v>
      </c>
      <c r="L17">
        <f>COUNTIF(A:A,bron[[#This Row],[personeelsnr]])</f>
        <v>10</v>
      </c>
    </row>
    <row r="18" spans="1:12" hidden="1" x14ac:dyDescent="0.25">
      <c r="A18">
        <v>39859</v>
      </c>
      <c r="B18" t="str">
        <f>VLOOKUP(bron[[#This Row],[personeelsnr]],[1]Blad1!$A:$H,2,FALSE)</f>
        <v>Costers Kelly</v>
      </c>
      <c r="C18" t="str">
        <f>VLOOKUP(bron[[#This Row],[personeelsnr]],[1]Blad1!$A:$H,3,FALSE)</f>
        <v>Costers</v>
      </c>
      <c r="D18" t="str">
        <f>VLOOKUP(bron[[#This Row],[personeelsnr]],[1]Blad1!$A:$H,4,FALSE)</f>
        <v>Kelly</v>
      </c>
      <c r="E18" s="2" t="str">
        <f>VLOOKUP(bron[[#This Row],[personeelsnr]],[1]Blad1!$A:$H,8,FALSE)</f>
        <v>Van Der Beken Bart</v>
      </c>
      <c r="F18" s="6">
        <v>45306</v>
      </c>
      <c r="G18" s="5" t="s">
        <v>238</v>
      </c>
      <c r="H18" t="s">
        <v>16</v>
      </c>
      <c r="I18"/>
      <c r="J18" t="e">
        <f>VLOOKUP(bron[[#This Row],[voertuig]],Voertuigen!A:C,3,FALSE)</f>
        <v>#N/A</v>
      </c>
      <c r="K18" t="e">
        <f>VLOOKUP(bron[[#This Row],[voertuig]],Voertuigen!A:C,2,FALSE)</f>
        <v>#N/A</v>
      </c>
      <c r="L18">
        <f>COUNTIF(A:A,bron[[#This Row],[personeelsnr]])</f>
        <v>4</v>
      </c>
    </row>
    <row r="19" spans="1:12" hidden="1" x14ac:dyDescent="0.25">
      <c r="A19">
        <v>38931</v>
      </c>
      <c r="B19" t="str">
        <f>VLOOKUP(bron[[#This Row],[personeelsnr]],[1]Blad1!$A:$H,2,FALSE)</f>
        <v>Sancak Eyuphan</v>
      </c>
      <c r="C19" t="str">
        <f>VLOOKUP(bron[[#This Row],[personeelsnr]],[1]Blad1!$A:$H,3,FALSE)</f>
        <v>Sancak</v>
      </c>
      <c r="D19" t="str">
        <f>VLOOKUP(bron[[#This Row],[personeelsnr]],[1]Blad1!$A:$H,4,FALSE)</f>
        <v>Eyuphan</v>
      </c>
      <c r="E19" s="2" t="str">
        <f>VLOOKUP(bron[[#This Row],[personeelsnr]],[1]Blad1!$A:$H,8,FALSE)</f>
        <v>Van Der Beken Bart</v>
      </c>
      <c r="F19" s="6">
        <v>45306</v>
      </c>
      <c r="G19" s="5" t="s">
        <v>239</v>
      </c>
      <c r="H19" t="s">
        <v>26</v>
      </c>
      <c r="I19"/>
      <c r="J19" t="e">
        <f>VLOOKUP(bron[[#This Row],[voertuig]],Voertuigen!A:C,3,FALSE)</f>
        <v>#N/A</v>
      </c>
      <c r="K19" t="e">
        <f>VLOOKUP(bron[[#This Row],[voertuig]],Voertuigen!A:C,2,FALSE)</f>
        <v>#N/A</v>
      </c>
      <c r="L19">
        <f>COUNTIF(A:A,bron[[#This Row],[personeelsnr]])</f>
        <v>4</v>
      </c>
    </row>
    <row r="20" spans="1:12" hidden="1" x14ac:dyDescent="0.25">
      <c r="A20">
        <v>38579</v>
      </c>
      <c r="B20" t="str">
        <f>VLOOKUP(bron[[#This Row],[personeelsnr]],[1]Blad1!$A:$H,2,FALSE)</f>
        <v>Haaze Sven</v>
      </c>
      <c r="C20" t="str">
        <f>VLOOKUP(bron[[#This Row],[personeelsnr]],[1]Blad1!$A:$H,3,FALSE)</f>
        <v>Haaze</v>
      </c>
      <c r="D20" t="str">
        <f>VLOOKUP(bron[[#This Row],[personeelsnr]],[1]Blad1!$A:$H,4,FALSE)</f>
        <v>Sven</v>
      </c>
      <c r="E20" s="2" t="str">
        <f>VLOOKUP(bron[[#This Row],[personeelsnr]],[1]Blad1!$A:$H,8,FALSE)</f>
        <v>Dewulf Els</v>
      </c>
      <c r="F20" s="6">
        <v>45308</v>
      </c>
      <c r="G20" s="5" t="s">
        <v>240</v>
      </c>
      <c r="H20" t="s">
        <v>102</v>
      </c>
      <c r="I20"/>
      <c r="J20" t="e">
        <f>VLOOKUP(bron[[#This Row],[voertuig]],Voertuigen!A:C,3,FALSE)</f>
        <v>#N/A</v>
      </c>
      <c r="K20" t="e">
        <f>VLOOKUP(bron[[#This Row],[voertuig]],Voertuigen!A:C,2,FALSE)</f>
        <v>#N/A</v>
      </c>
      <c r="L20">
        <f>COUNTIF(A:A,bron[[#This Row],[personeelsnr]])</f>
        <v>1</v>
      </c>
    </row>
    <row r="21" spans="1:12" hidden="1" x14ac:dyDescent="0.25">
      <c r="A21">
        <v>39019</v>
      </c>
      <c r="B21" t="str">
        <f>VLOOKUP(bron[[#This Row],[personeelsnr]],[1]Blad1!$A:$H,2,FALSE)</f>
        <v>De taeye Kelly</v>
      </c>
      <c r="C21" t="str">
        <f>VLOOKUP(bron[[#This Row],[personeelsnr]],[1]Blad1!$A:$H,3,FALSE)</f>
        <v>De taeye</v>
      </c>
      <c r="D21" t="str">
        <f>VLOOKUP(bron[[#This Row],[personeelsnr]],[1]Blad1!$A:$H,4,FALSE)</f>
        <v>Kelly</v>
      </c>
      <c r="E21" s="2" t="str">
        <f>VLOOKUP(bron[[#This Row],[personeelsnr]],[1]Blad1!$A:$H,8,FALSE)</f>
        <v>Van De Velde Lucie</v>
      </c>
      <c r="F21" s="6">
        <v>45308</v>
      </c>
      <c r="G21" s="5" t="s">
        <v>241</v>
      </c>
      <c r="H21" t="s">
        <v>29</v>
      </c>
      <c r="I21"/>
      <c r="J21" t="e">
        <f>VLOOKUP(bron[[#This Row],[voertuig]],Voertuigen!A:C,3,FALSE)</f>
        <v>#N/A</v>
      </c>
      <c r="K21" t="e">
        <f>VLOOKUP(bron[[#This Row],[voertuig]],Voertuigen!A:C,2,FALSE)</f>
        <v>#N/A</v>
      </c>
      <c r="L21">
        <f>COUNTIF(A:A,bron[[#This Row],[personeelsnr]])</f>
        <v>2</v>
      </c>
    </row>
    <row r="22" spans="1:12" hidden="1" x14ac:dyDescent="0.25">
      <c r="A22">
        <v>39673</v>
      </c>
      <c r="B22" t="str">
        <f>VLOOKUP(bron[[#This Row],[personeelsnr]],[1]Blad1!$A:$H,2,FALSE)</f>
        <v>Steurbaut Henri</v>
      </c>
      <c r="C22" t="str">
        <f>VLOOKUP(bron[[#This Row],[personeelsnr]],[1]Blad1!$A:$H,3,FALSE)</f>
        <v>Steurbaut</v>
      </c>
      <c r="D22" t="str">
        <f>VLOOKUP(bron[[#This Row],[personeelsnr]],[1]Blad1!$A:$H,4,FALSE)</f>
        <v>Henri</v>
      </c>
      <c r="E22" s="2" t="str">
        <f>VLOOKUP(bron[[#This Row],[personeelsnr]],[1]Blad1!$A:$H,8,FALSE)</f>
        <v>Vanhoe Els</v>
      </c>
      <c r="F22" s="6">
        <v>45308</v>
      </c>
      <c r="G22" s="5" t="s">
        <v>242</v>
      </c>
      <c r="H22" t="s">
        <v>13</v>
      </c>
      <c r="I22"/>
      <c r="J22" t="e">
        <f>VLOOKUP(bron[[#This Row],[voertuig]],Voertuigen!A:C,3,FALSE)</f>
        <v>#N/A</v>
      </c>
      <c r="K22" t="e">
        <f>VLOOKUP(bron[[#This Row],[voertuig]],Voertuigen!A:C,2,FALSE)</f>
        <v>#N/A</v>
      </c>
      <c r="L22">
        <f>COUNTIF(A:A,bron[[#This Row],[personeelsnr]])</f>
        <v>5</v>
      </c>
    </row>
    <row r="23" spans="1:12" hidden="1" x14ac:dyDescent="0.25">
      <c r="A23">
        <v>36627</v>
      </c>
      <c r="B23" t="str">
        <f>VLOOKUP(bron[[#This Row],[personeelsnr]],[1]Blad1!$A:$H,2,FALSE)</f>
        <v>Dobbelaere David</v>
      </c>
      <c r="C23" t="str">
        <f>VLOOKUP(bron[[#This Row],[personeelsnr]],[1]Blad1!$A:$H,3,FALSE)</f>
        <v>Dobbelaere</v>
      </c>
      <c r="D23" t="str">
        <f>VLOOKUP(bron[[#This Row],[personeelsnr]],[1]Blad1!$A:$H,4,FALSE)</f>
        <v>David</v>
      </c>
      <c r="E23" s="2" t="str">
        <f>VLOOKUP(bron[[#This Row],[personeelsnr]],[1]Blad1!$A:$H,8,FALSE)</f>
        <v>Dewulf Els</v>
      </c>
      <c r="F23" s="6">
        <v>45309</v>
      </c>
      <c r="G23" s="5" t="s">
        <v>243</v>
      </c>
      <c r="H23" t="s">
        <v>244</v>
      </c>
      <c r="I23"/>
      <c r="J23" t="e">
        <f>VLOOKUP(bron[[#This Row],[voertuig]],Voertuigen!A:C,3,FALSE)</f>
        <v>#N/A</v>
      </c>
      <c r="K23" t="e">
        <f>VLOOKUP(bron[[#This Row],[voertuig]],Voertuigen!A:C,2,FALSE)</f>
        <v>#N/A</v>
      </c>
      <c r="L23">
        <f>COUNTIF(A:A,bron[[#This Row],[personeelsnr]])</f>
        <v>5</v>
      </c>
    </row>
    <row r="24" spans="1:12" hidden="1" x14ac:dyDescent="0.25">
      <c r="A24">
        <v>31668</v>
      </c>
      <c r="B24" t="str">
        <f>VLOOKUP(bron[[#This Row],[personeelsnr]],[1]Blad1!$A:$H,2,FALSE)</f>
        <v>Weemhof Maurice</v>
      </c>
      <c r="C24" t="str">
        <f>VLOOKUP(bron[[#This Row],[personeelsnr]],[1]Blad1!$A:$H,3,FALSE)</f>
        <v>Weemhof</v>
      </c>
      <c r="D24" t="str">
        <f>VLOOKUP(bron[[#This Row],[personeelsnr]],[1]Blad1!$A:$H,4,FALSE)</f>
        <v>Maurice</v>
      </c>
      <c r="E24" s="2" t="str">
        <f>VLOOKUP(bron[[#This Row],[personeelsnr]],[1]Blad1!$A:$H,8,FALSE)</f>
        <v>De Clercq Dominique</v>
      </c>
      <c r="F24" s="6">
        <v>45310</v>
      </c>
      <c r="G24" s="5" t="s">
        <v>245</v>
      </c>
      <c r="H24" t="s">
        <v>27</v>
      </c>
      <c r="I24"/>
      <c r="J24" t="e">
        <f>VLOOKUP(bron[[#This Row],[voertuig]],Voertuigen!A:C,3,FALSE)</f>
        <v>#N/A</v>
      </c>
      <c r="K24" t="e">
        <f>VLOOKUP(bron[[#This Row],[voertuig]],Voertuigen!A:C,2,FALSE)</f>
        <v>#N/A</v>
      </c>
      <c r="L24">
        <f>COUNTIF(A:A,bron[[#This Row],[personeelsnr]])</f>
        <v>5</v>
      </c>
    </row>
    <row r="25" spans="1:12" hidden="1" x14ac:dyDescent="0.25">
      <c r="A25">
        <v>9999</v>
      </c>
      <c r="B25" t="e">
        <f>VLOOKUP(bron[[#This Row],[personeelsnr]],[1]Blad1!$A:$H,2,FALSE)</f>
        <v>#N/A</v>
      </c>
      <c r="C25" t="e">
        <f>VLOOKUP(bron[[#This Row],[personeelsnr]],[1]Blad1!$A:$H,3,FALSE)</f>
        <v>#N/A</v>
      </c>
      <c r="D25" t="e">
        <f>VLOOKUP(bron[[#This Row],[personeelsnr]],[1]Blad1!$A:$H,4,FALSE)</f>
        <v>#N/A</v>
      </c>
      <c r="E25" s="2" t="s">
        <v>221</v>
      </c>
      <c r="F25" s="6">
        <v>45311</v>
      </c>
      <c r="G25" s="5" t="s">
        <v>246</v>
      </c>
      <c r="H25" t="s">
        <v>153</v>
      </c>
      <c r="I25"/>
      <c r="J25" t="e">
        <f>VLOOKUP(bron[[#This Row],[voertuig]],Voertuigen!A:C,3,FALSE)</f>
        <v>#N/A</v>
      </c>
      <c r="K25" t="e">
        <f>VLOOKUP(bron[[#This Row],[voertuig]],Voertuigen!A:C,2,FALSE)</f>
        <v>#N/A</v>
      </c>
      <c r="L25">
        <f>COUNTIF(A:A,bron[[#This Row],[personeelsnr]])</f>
        <v>59</v>
      </c>
    </row>
    <row r="26" spans="1:12" hidden="1" x14ac:dyDescent="0.25">
      <c r="A26">
        <v>9999</v>
      </c>
      <c r="B26" t="e">
        <f>VLOOKUP(bron[[#This Row],[personeelsnr]],[1]Blad1!$A:$H,2,FALSE)</f>
        <v>#N/A</v>
      </c>
      <c r="C26" t="e">
        <f>VLOOKUP(bron[[#This Row],[personeelsnr]],[1]Blad1!$A:$H,3,FALSE)</f>
        <v>#N/A</v>
      </c>
      <c r="D26" t="e">
        <f>VLOOKUP(bron[[#This Row],[personeelsnr]],[1]Blad1!$A:$H,4,FALSE)</f>
        <v>#N/A</v>
      </c>
      <c r="E26" s="2" t="s">
        <v>221</v>
      </c>
      <c r="F26" s="6">
        <v>45311</v>
      </c>
      <c r="G26" s="5" t="s">
        <v>247</v>
      </c>
      <c r="H26" t="s">
        <v>101</v>
      </c>
      <c r="I26"/>
      <c r="J26" t="e">
        <f>VLOOKUP(bron[[#This Row],[voertuig]],Voertuigen!A:C,3,FALSE)</f>
        <v>#N/A</v>
      </c>
      <c r="K26" t="e">
        <f>VLOOKUP(bron[[#This Row],[voertuig]],Voertuigen!A:C,2,FALSE)</f>
        <v>#N/A</v>
      </c>
      <c r="L26">
        <f>COUNTIF(A:A,bron[[#This Row],[personeelsnr]])</f>
        <v>59</v>
      </c>
    </row>
    <row r="27" spans="1:12" hidden="1" x14ac:dyDescent="0.25">
      <c r="A27">
        <v>5063</v>
      </c>
      <c r="B27" t="str">
        <f>VLOOKUP(bron[[#This Row],[personeelsnr]],[1]Blad1!$A:$H,2,FALSE)</f>
        <v>Merre Bart</v>
      </c>
      <c r="C27" t="str">
        <f>VLOOKUP(bron[[#This Row],[personeelsnr]],[1]Blad1!$A:$H,3,FALSE)</f>
        <v>Merre</v>
      </c>
      <c r="D27" t="str">
        <f>VLOOKUP(bron[[#This Row],[personeelsnr]],[1]Blad1!$A:$H,4,FALSE)</f>
        <v>Bart</v>
      </c>
      <c r="E27" s="2" t="str">
        <f>VLOOKUP(bron[[#This Row],[personeelsnr]],[1]Blad1!$A:$H,8,FALSE)</f>
        <v>Van De Velde Lucie</v>
      </c>
      <c r="F27" s="6">
        <v>45312</v>
      </c>
      <c r="G27" s="5" t="s">
        <v>248</v>
      </c>
      <c r="H27" t="s">
        <v>134</v>
      </c>
      <c r="I27"/>
      <c r="J27" t="e">
        <f>VLOOKUP(bron[[#This Row],[voertuig]],Voertuigen!A:C,3,FALSE)</f>
        <v>#N/A</v>
      </c>
      <c r="K27" t="e">
        <f>VLOOKUP(bron[[#This Row],[voertuig]],Voertuigen!A:C,2,FALSE)</f>
        <v>#N/A</v>
      </c>
      <c r="L27">
        <f>COUNTIF(A:A,bron[[#This Row],[personeelsnr]])</f>
        <v>1</v>
      </c>
    </row>
    <row r="28" spans="1:12" hidden="1" x14ac:dyDescent="0.25">
      <c r="A28">
        <v>9999</v>
      </c>
      <c r="B28" t="e">
        <f>VLOOKUP(bron[[#This Row],[personeelsnr]],[1]Blad1!$A:$H,2,FALSE)</f>
        <v>#N/A</v>
      </c>
      <c r="C28" t="e">
        <f>VLOOKUP(bron[[#This Row],[personeelsnr]],[1]Blad1!$A:$H,3,FALSE)</f>
        <v>#N/A</v>
      </c>
      <c r="D28" t="e">
        <f>VLOOKUP(bron[[#This Row],[personeelsnr]],[1]Blad1!$A:$H,4,FALSE)</f>
        <v>#N/A</v>
      </c>
      <c r="E28" s="2" t="s">
        <v>221</v>
      </c>
      <c r="F28" s="6">
        <v>45313</v>
      </c>
      <c r="G28" s="5" t="s">
        <v>249</v>
      </c>
      <c r="H28" t="s">
        <v>250</v>
      </c>
      <c r="I28"/>
      <c r="J28" t="e">
        <f>VLOOKUP(bron[[#This Row],[voertuig]],Voertuigen!A:C,3,FALSE)</f>
        <v>#N/A</v>
      </c>
      <c r="K28" t="e">
        <f>VLOOKUP(bron[[#This Row],[voertuig]],Voertuigen!A:C,2,FALSE)</f>
        <v>#N/A</v>
      </c>
      <c r="L28">
        <f>COUNTIF(A:A,bron[[#This Row],[personeelsnr]])</f>
        <v>59</v>
      </c>
    </row>
    <row r="29" spans="1:12" hidden="1" x14ac:dyDescent="0.25">
      <c r="A29">
        <v>36626</v>
      </c>
      <c r="B29" t="str">
        <f>VLOOKUP(bron[[#This Row],[personeelsnr]],[1]Blad1!$A:$H,2,FALSE)</f>
        <v>Kartal Kadir</v>
      </c>
      <c r="C29" t="str">
        <f>VLOOKUP(bron[[#This Row],[personeelsnr]],[1]Blad1!$A:$H,3,FALSE)</f>
        <v>Kartal</v>
      </c>
      <c r="D29" t="str">
        <f>VLOOKUP(bron[[#This Row],[personeelsnr]],[1]Blad1!$A:$H,4,FALSE)</f>
        <v>Kadir</v>
      </c>
      <c r="E29" s="2" t="str">
        <f>VLOOKUP(bron[[#This Row],[personeelsnr]],[1]Blad1!$A:$H,8,FALSE)</f>
        <v>Dewulf Els</v>
      </c>
      <c r="F29" s="6">
        <v>45314</v>
      </c>
      <c r="G29" s="5" t="s">
        <v>251</v>
      </c>
      <c r="H29" t="s">
        <v>8</v>
      </c>
      <c r="I29"/>
      <c r="J29" t="e">
        <f>VLOOKUP(bron[[#This Row],[voertuig]],Voertuigen!A:C,3,FALSE)</f>
        <v>#N/A</v>
      </c>
      <c r="K29" t="e">
        <f>VLOOKUP(bron[[#This Row],[voertuig]],Voertuigen!A:C,2,FALSE)</f>
        <v>#N/A</v>
      </c>
      <c r="L29">
        <f>COUNTIF(A:A,bron[[#This Row],[personeelsnr]])</f>
        <v>10</v>
      </c>
    </row>
    <row r="30" spans="1:12" hidden="1" x14ac:dyDescent="0.25">
      <c r="A30">
        <v>34445</v>
      </c>
      <c r="B30" t="str">
        <f>VLOOKUP(bron[[#This Row],[personeelsnr]],[1]Blad1!$A:$H,2,FALSE)</f>
        <v>Wulleput Illya</v>
      </c>
      <c r="C30" t="str">
        <f>VLOOKUP(bron[[#This Row],[personeelsnr]],[1]Blad1!$A:$H,3,FALSE)</f>
        <v>Wulleput</v>
      </c>
      <c r="D30" t="str">
        <f>VLOOKUP(bron[[#This Row],[personeelsnr]],[1]Blad1!$A:$H,4,FALSE)</f>
        <v>Illya</v>
      </c>
      <c r="E30" s="2" t="str">
        <f>VLOOKUP(bron[[#This Row],[personeelsnr]],[1]Blad1!$A:$H,8,FALSE)</f>
        <v>De Clercq Dominique</v>
      </c>
      <c r="F30" s="6">
        <v>45314</v>
      </c>
      <c r="G30" s="5" t="s">
        <v>252</v>
      </c>
      <c r="H30" t="s">
        <v>75</v>
      </c>
      <c r="I30"/>
      <c r="J30" t="e">
        <f>VLOOKUP(bron[[#This Row],[voertuig]],Voertuigen!A:C,3,FALSE)</f>
        <v>#N/A</v>
      </c>
      <c r="K30" t="e">
        <f>VLOOKUP(bron[[#This Row],[voertuig]],Voertuigen!A:C,2,FALSE)</f>
        <v>#N/A</v>
      </c>
      <c r="L30">
        <f>COUNTIF(A:A,bron[[#This Row],[personeelsnr]])</f>
        <v>6</v>
      </c>
    </row>
    <row r="31" spans="1:12" hidden="1" x14ac:dyDescent="0.25">
      <c r="A31">
        <v>20404</v>
      </c>
      <c r="B31" t="str">
        <f>VLOOKUP(bron[[#This Row],[personeelsnr]],[1]Blad1!$A:$H,2,FALSE)</f>
        <v>Vranken Kenneth</v>
      </c>
      <c r="C31" t="str">
        <f>VLOOKUP(bron[[#This Row],[personeelsnr]],[1]Blad1!$A:$H,3,FALSE)</f>
        <v>Vranken</v>
      </c>
      <c r="D31" t="str">
        <f>VLOOKUP(bron[[#This Row],[personeelsnr]],[1]Blad1!$A:$H,4,FALSE)</f>
        <v>Kenneth</v>
      </c>
      <c r="E31" s="2" t="str">
        <f>VLOOKUP(bron[[#This Row],[personeelsnr]],[1]Blad1!$A:$H,8,FALSE)</f>
        <v>Rotty Christoff</v>
      </c>
      <c r="F31" s="6">
        <v>45315</v>
      </c>
      <c r="G31" s="5" t="s">
        <v>253</v>
      </c>
      <c r="H31" t="s">
        <v>254</v>
      </c>
      <c r="I31"/>
      <c r="J31" t="e">
        <f>VLOOKUP(bron[[#This Row],[voertuig]],Voertuigen!A:C,3,FALSE)</f>
        <v>#N/A</v>
      </c>
      <c r="K31" t="e">
        <f>VLOOKUP(bron[[#This Row],[voertuig]],Voertuigen!A:C,2,FALSE)</f>
        <v>#N/A</v>
      </c>
      <c r="L31">
        <f>COUNTIF(A:A,bron[[#This Row],[personeelsnr]])</f>
        <v>2</v>
      </c>
    </row>
    <row r="32" spans="1:12" hidden="1" x14ac:dyDescent="0.25">
      <c r="A32">
        <v>31731</v>
      </c>
      <c r="B32" t="str">
        <f>VLOOKUP(bron[[#This Row],[personeelsnr]],[1]Blad1!$A:$H,2,FALSE)</f>
        <v>Dedapper Marijke</v>
      </c>
      <c r="C32" t="str">
        <f>VLOOKUP(bron[[#This Row],[personeelsnr]],[1]Blad1!$A:$H,3,FALSE)</f>
        <v>Dedapper</v>
      </c>
      <c r="D32" t="str">
        <f>VLOOKUP(bron[[#This Row],[personeelsnr]],[1]Blad1!$A:$H,4,FALSE)</f>
        <v>Marijke</v>
      </c>
      <c r="E32" s="2" t="str">
        <f>VLOOKUP(bron[[#This Row],[personeelsnr]],[1]Blad1!$A:$H,8,FALSE)</f>
        <v>Vanhoe Els</v>
      </c>
      <c r="F32" s="6">
        <v>45316</v>
      </c>
      <c r="G32" s="5" t="s">
        <v>255</v>
      </c>
      <c r="H32" t="s">
        <v>171</v>
      </c>
      <c r="I32"/>
      <c r="J32" t="e">
        <f>VLOOKUP(bron[[#This Row],[voertuig]],Voertuigen!A:C,3,FALSE)</f>
        <v>#N/A</v>
      </c>
      <c r="K32" t="e">
        <f>VLOOKUP(bron[[#This Row],[voertuig]],Voertuigen!A:C,2,FALSE)</f>
        <v>#N/A</v>
      </c>
      <c r="L32">
        <f>COUNTIF(A:A,bron[[#This Row],[personeelsnr]])</f>
        <v>4</v>
      </c>
    </row>
    <row r="33" spans="1:12" hidden="1" x14ac:dyDescent="0.25">
      <c r="A33">
        <v>37543</v>
      </c>
      <c r="B33" t="str">
        <f>VLOOKUP(bron[[#This Row],[personeelsnr]],[1]Blad1!$A:$H,2,FALSE)</f>
        <v>Öztürk Bilgehan</v>
      </c>
      <c r="C33" t="str">
        <f>VLOOKUP(bron[[#This Row],[personeelsnr]],[1]Blad1!$A:$H,3,FALSE)</f>
        <v>Öztürk</v>
      </c>
      <c r="D33" t="str">
        <f>VLOOKUP(bron[[#This Row],[personeelsnr]],[1]Blad1!$A:$H,4,FALSE)</f>
        <v>Bilgehan</v>
      </c>
      <c r="E33" s="2" t="str">
        <f>VLOOKUP(bron[[#This Row],[personeelsnr]],[1]Blad1!$A:$H,8,FALSE)</f>
        <v>De Rick Kenneth</v>
      </c>
      <c r="F33" s="6">
        <v>45316</v>
      </c>
      <c r="G33" s="5" t="s">
        <v>256</v>
      </c>
      <c r="H33" t="s">
        <v>58</v>
      </c>
      <c r="I33"/>
      <c r="J33" t="e">
        <f>VLOOKUP(bron[[#This Row],[voertuig]],Voertuigen!A:C,3,FALSE)</f>
        <v>#N/A</v>
      </c>
      <c r="K33" t="e">
        <f>VLOOKUP(bron[[#This Row],[voertuig]],Voertuigen!A:C,2,FALSE)</f>
        <v>#N/A</v>
      </c>
      <c r="L33">
        <f>COUNTIF(A:A,bron[[#This Row],[personeelsnr]])</f>
        <v>6</v>
      </c>
    </row>
    <row r="34" spans="1:12" hidden="1" x14ac:dyDescent="0.25">
      <c r="A34">
        <v>15628</v>
      </c>
      <c r="B34" t="str">
        <f>VLOOKUP(bron[[#This Row],[personeelsnr]],[1]Blad1!$A:$H,2,FALSE)</f>
        <v>Wulfranck Dominique</v>
      </c>
      <c r="C34" t="str">
        <f>VLOOKUP(bron[[#This Row],[personeelsnr]],[1]Blad1!$A:$H,3,FALSE)</f>
        <v>Wulfranck</v>
      </c>
      <c r="D34" t="str">
        <f>VLOOKUP(bron[[#This Row],[personeelsnr]],[1]Blad1!$A:$H,4,FALSE)</f>
        <v>Dominique</v>
      </c>
      <c r="E34" s="2" t="str">
        <f>VLOOKUP(bron[[#This Row],[personeelsnr]],[1]Blad1!$A:$H,8,FALSE)</f>
        <v>De Rick Kenneth</v>
      </c>
      <c r="F34" s="6">
        <v>45317</v>
      </c>
      <c r="G34" s="5" t="s">
        <v>257</v>
      </c>
      <c r="H34" t="s">
        <v>18</v>
      </c>
      <c r="I34"/>
      <c r="J34" t="e">
        <f>VLOOKUP(bron[[#This Row],[voertuig]],Voertuigen!A:C,3,FALSE)</f>
        <v>#N/A</v>
      </c>
      <c r="K34" t="e">
        <f>VLOOKUP(bron[[#This Row],[voertuig]],Voertuigen!A:C,2,FALSE)</f>
        <v>#N/A</v>
      </c>
      <c r="L34">
        <f>COUNTIF(A:A,bron[[#This Row],[personeelsnr]])</f>
        <v>3</v>
      </c>
    </row>
    <row r="35" spans="1:12" hidden="1" x14ac:dyDescent="0.25">
      <c r="A35">
        <v>31733</v>
      </c>
      <c r="B35" t="str">
        <f>VLOOKUP(bron[[#This Row],[personeelsnr]],[1]Blad1!$A:$H,2,FALSE)</f>
        <v>Sonck Kristof</v>
      </c>
      <c r="C35" t="str">
        <f>VLOOKUP(bron[[#This Row],[personeelsnr]],[1]Blad1!$A:$H,3,FALSE)</f>
        <v>Sonck</v>
      </c>
      <c r="D35" t="str">
        <f>VLOOKUP(bron[[#This Row],[personeelsnr]],[1]Blad1!$A:$H,4,FALSE)</f>
        <v>Kristof</v>
      </c>
      <c r="E35" s="2" t="str">
        <f>VLOOKUP(bron[[#This Row],[personeelsnr]],[1]Blad1!$A:$H,8,FALSE)</f>
        <v>De Clercq Dominique</v>
      </c>
      <c r="F35" s="6">
        <v>45319</v>
      </c>
      <c r="G35" s="5" t="s">
        <v>258</v>
      </c>
      <c r="H35" t="s">
        <v>8</v>
      </c>
      <c r="I35"/>
      <c r="J35" t="e">
        <f>VLOOKUP(bron[[#This Row],[voertuig]],Voertuigen!A:C,3,FALSE)</f>
        <v>#N/A</v>
      </c>
      <c r="K35" t="e">
        <f>VLOOKUP(bron[[#This Row],[voertuig]],Voertuigen!A:C,2,FALSE)</f>
        <v>#N/A</v>
      </c>
      <c r="L35">
        <f>COUNTIF(A:A,bron[[#This Row],[personeelsnr]])</f>
        <v>2</v>
      </c>
    </row>
    <row r="36" spans="1:12" hidden="1" x14ac:dyDescent="0.25">
      <c r="A36">
        <v>30121</v>
      </c>
      <c r="B36" t="str">
        <f>VLOOKUP(bron[[#This Row],[personeelsnr]],[1]Blad1!$A:$H,2,FALSE)</f>
        <v>Simons Andreas</v>
      </c>
      <c r="C36" t="str">
        <f>VLOOKUP(bron[[#This Row],[personeelsnr]],[1]Blad1!$A:$H,3,FALSE)</f>
        <v>Simons</v>
      </c>
      <c r="D36" t="str">
        <f>VLOOKUP(bron[[#This Row],[personeelsnr]],[1]Blad1!$A:$H,4,FALSE)</f>
        <v>Andreas</v>
      </c>
      <c r="E36" s="2" t="str">
        <f>VLOOKUP(bron[[#This Row],[personeelsnr]],[1]Blad1!$A:$H,8,FALSE)</f>
        <v>Rotty Christoff</v>
      </c>
      <c r="F36" s="6">
        <v>45320</v>
      </c>
      <c r="G36" s="5" t="s">
        <v>259</v>
      </c>
      <c r="H36" t="s">
        <v>15</v>
      </c>
      <c r="I36"/>
      <c r="J36" t="e">
        <f>VLOOKUP(bron[[#This Row],[voertuig]],Voertuigen!A:C,3,FALSE)</f>
        <v>#N/A</v>
      </c>
      <c r="K36" t="e">
        <f>VLOOKUP(bron[[#This Row],[voertuig]],Voertuigen!A:C,2,FALSE)</f>
        <v>#N/A</v>
      </c>
      <c r="L36">
        <f>COUNTIF(A:A,bron[[#This Row],[personeelsnr]])</f>
        <v>3</v>
      </c>
    </row>
    <row r="37" spans="1:12" hidden="1" x14ac:dyDescent="0.25">
      <c r="A37">
        <v>38938</v>
      </c>
      <c r="B37" t="str">
        <f>VLOOKUP(bron[[#This Row],[personeelsnr]],[1]Blad1!$A:$H,2,FALSE)</f>
        <v>Sedighi Hamid</v>
      </c>
      <c r="C37" t="str">
        <f>VLOOKUP(bron[[#This Row],[personeelsnr]],[1]Blad1!$A:$H,3,FALSE)</f>
        <v>Sedighi</v>
      </c>
      <c r="D37" t="str">
        <f>VLOOKUP(bron[[#This Row],[personeelsnr]],[1]Blad1!$A:$H,4,FALSE)</f>
        <v>Hamid</v>
      </c>
      <c r="E37" s="2" t="str">
        <f>VLOOKUP(bron[[#This Row],[personeelsnr]],[1]Blad1!$A:$H,8,FALSE)</f>
        <v>Van De Velde Lucie</v>
      </c>
      <c r="F37" s="6">
        <v>45321</v>
      </c>
      <c r="G37" s="5" t="s">
        <v>260</v>
      </c>
      <c r="H37" t="s">
        <v>90</v>
      </c>
      <c r="I37"/>
      <c r="J37" t="e">
        <f>VLOOKUP(bron[[#This Row],[voertuig]],Voertuigen!A:C,3,FALSE)</f>
        <v>#N/A</v>
      </c>
      <c r="K37" t="e">
        <f>VLOOKUP(bron[[#This Row],[voertuig]],Voertuigen!A:C,2,FALSE)</f>
        <v>#N/A</v>
      </c>
      <c r="L37">
        <f>COUNTIF(A:A,bron[[#This Row],[personeelsnr]])</f>
        <v>7</v>
      </c>
    </row>
    <row r="38" spans="1:12" hidden="1" x14ac:dyDescent="0.25">
      <c r="A38">
        <v>31092</v>
      </c>
      <c r="B38" t="str">
        <f>VLOOKUP(bron[[#This Row],[personeelsnr]],[1]Blad1!$A:$H,2,FALSE)</f>
        <v>De Jaeger Kevin</v>
      </c>
      <c r="C38" t="str">
        <f>VLOOKUP(bron[[#This Row],[personeelsnr]],[1]Blad1!$A:$H,3,FALSE)</f>
        <v>De Jaeger</v>
      </c>
      <c r="D38" t="str">
        <f>VLOOKUP(bron[[#This Row],[personeelsnr]],[1]Blad1!$A:$H,4,FALSE)</f>
        <v>Kevin</v>
      </c>
      <c r="E38" s="2" t="str">
        <f>VLOOKUP(bron[[#This Row],[personeelsnr]],[1]Blad1!$A:$H,8,FALSE)</f>
        <v>Van De Velde Lucie</v>
      </c>
      <c r="F38" s="6">
        <v>45322</v>
      </c>
      <c r="G38" s="5" t="s">
        <v>261</v>
      </c>
      <c r="H38" t="s">
        <v>46</v>
      </c>
      <c r="I38"/>
      <c r="J38" t="e">
        <f>VLOOKUP(bron[[#This Row],[voertuig]],Voertuigen!A:C,3,FALSE)</f>
        <v>#N/A</v>
      </c>
      <c r="K38" t="e">
        <f>VLOOKUP(bron[[#This Row],[voertuig]],Voertuigen!A:C,2,FALSE)</f>
        <v>#N/A</v>
      </c>
      <c r="L38">
        <f>COUNTIF(A:A,bron[[#This Row],[personeelsnr]])</f>
        <v>2</v>
      </c>
    </row>
    <row r="39" spans="1:12" hidden="1" x14ac:dyDescent="0.25">
      <c r="A39">
        <v>38013</v>
      </c>
      <c r="B39" t="str">
        <f>VLOOKUP(bron[[#This Row],[personeelsnr]],[1]Blad1!$A:$H,2,FALSE)</f>
        <v>Mine Akin</v>
      </c>
      <c r="C39" t="str">
        <f>VLOOKUP(bron[[#This Row],[personeelsnr]],[1]Blad1!$A:$H,3,FALSE)</f>
        <v>Mine</v>
      </c>
      <c r="D39" t="str">
        <f>VLOOKUP(bron[[#This Row],[personeelsnr]],[1]Blad1!$A:$H,4,FALSE)</f>
        <v>Akin</v>
      </c>
      <c r="E39" s="2" t="str">
        <f>VLOOKUP(bron[[#This Row],[personeelsnr]],[1]Blad1!$A:$H,8,FALSE)</f>
        <v>Van De Velde Lucie</v>
      </c>
      <c r="F39" s="6">
        <v>45322</v>
      </c>
      <c r="G39" s="5" t="s">
        <v>262</v>
      </c>
      <c r="H39" t="s">
        <v>8</v>
      </c>
      <c r="I39"/>
      <c r="J39" t="e">
        <f>VLOOKUP(bron[[#This Row],[voertuig]],Voertuigen!A:C,3,FALSE)</f>
        <v>#N/A</v>
      </c>
      <c r="K39" t="e">
        <f>VLOOKUP(bron[[#This Row],[voertuig]],Voertuigen!A:C,2,FALSE)</f>
        <v>#N/A</v>
      </c>
      <c r="L39">
        <f>COUNTIF(A:A,bron[[#This Row],[personeelsnr]])</f>
        <v>2</v>
      </c>
    </row>
    <row r="40" spans="1:12" hidden="1" x14ac:dyDescent="0.25">
      <c r="A40">
        <v>27153</v>
      </c>
      <c r="B40" t="str">
        <f>VLOOKUP(bron[[#This Row],[personeelsnr]],[1]Blad1!$A:$H,2,FALSE)</f>
        <v>Oben Thibaud</v>
      </c>
      <c r="C40" t="str">
        <f>VLOOKUP(bron[[#This Row],[personeelsnr]],[1]Blad1!$A:$H,3,FALSE)</f>
        <v>Oben</v>
      </c>
      <c r="D40" t="str">
        <f>VLOOKUP(bron[[#This Row],[personeelsnr]],[1]Blad1!$A:$H,4,FALSE)</f>
        <v>Thibaud</v>
      </c>
      <c r="E40" s="2" t="str">
        <f>VLOOKUP(bron[[#This Row],[personeelsnr]],[1]Blad1!$A:$H,8,FALSE)</f>
        <v>Rotty Christoff</v>
      </c>
      <c r="F40" s="6">
        <v>45322</v>
      </c>
      <c r="G40" s="5" t="s">
        <v>263</v>
      </c>
      <c r="H40" t="s">
        <v>8</v>
      </c>
      <c r="I40"/>
      <c r="J40" t="e">
        <f>VLOOKUP(bron[[#This Row],[voertuig]],Voertuigen!A:C,3,FALSE)</f>
        <v>#N/A</v>
      </c>
      <c r="K40" t="e">
        <f>VLOOKUP(bron[[#This Row],[voertuig]],Voertuigen!A:C,2,FALSE)</f>
        <v>#N/A</v>
      </c>
      <c r="L40">
        <f>COUNTIF(A:A,bron[[#This Row],[personeelsnr]])</f>
        <v>3</v>
      </c>
    </row>
    <row r="41" spans="1:12" hidden="1" x14ac:dyDescent="0.25">
      <c r="A41">
        <v>26384</v>
      </c>
      <c r="B41" t="str">
        <f>VLOOKUP(bron[[#This Row],[personeelsnr]],[1]Blad1!$A:$H,2,FALSE)</f>
        <v>Van Cauwenberg Steven</v>
      </c>
      <c r="C41" t="str">
        <f>VLOOKUP(bron[[#This Row],[personeelsnr]],[1]Blad1!$A:$H,3,FALSE)</f>
        <v>Van Cauwenberg</v>
      </c>
      <c r="D41" t="str">
        <f>VLOOKUP(bron[[#This Row],[personeelsnr]],[1]Blad1!$A:$H,4,FALSE)</f>
        <v>Steven</v>
      </c>
      <c r="E41" s="2" t="str">
        <f>VLOOKUP(bron[[#This Row],[personeelsnr]],[1]Blad1!$A:$H,8,FALSE)</f>
        <v>Dewulf Els</v>
      </c>
      <c r="F41" s="6">
        <v>45322</v>
      </c>
      <c r="G41" s="5" t="s">
        <v>264</v>
      </c>
      <c r="H41" t="s">
        <v>8</v>
      </c>
      <c r="I41"/>
      <c r="J41" t="e">
        <f>VLOOKUP(bron[[#This Row],[voertuig]],Voertuigen!A:C,3,FALSE)</f>
        <v>#N/A</v>
      </c>
      <c r="K41" t="e">
        <f>VLOOKUP(bron[[#This Row],[voertuig]],Voertuigen!A:C,2,FALSE)</f>
        <v>#N/A</v>
      </c>
      <c r="L41">
        <f>COUNTIF(A:A,bron[[#This Row],[personeelsnr]])</f>
        <v>1</v>
      </c>
    </row>
    <row r="42" spans="1:12" hidden="1" x14ac:dyDescent="0.25">
      <c r="A42">
        <v>19219</v>
      </c>
      <c r="B42" t="str">
        <f>VLOOKUP(bron[[#This Row],[personeelsnr]],[1]Blad1!$A:$H,2,FALSE)</f>
        <v>Aspeslagh Geert</v>
      </c>
      <c r="C42" t="str">
        <f>VLOOKUP(bron[[#This Row],[personeelsnr]],[1]Blad1!$A:$H,3,FALSE)</f>
        <v>Aspeslagh</v>
      </c>
      <c r="D42" t="str">
        <f>VLOOKUP(bron[[#This Row],[personeelsnr]],[1]Blad1!$A:$H,4,FALSE)</f>
        <v>Geert</v>
      </c>
      <c r="E42" s="2" t="str">
        <f>VLOOKUP(bron[[#This Row],[personeelsnr]],[1]Blad1!$A:$H,8,FALSE)</f>
        <v>Van De Velde Lucie</v>
      </c>
      <c r="F42" s="6">
        <v>45323</v>
      </c>
      <c r="G42" s="5" t="s">
        <v>265</v>
      </c>
      <c r="H42" t="s">
        <v>129</v>
      </c>
      <c r="I42"/>
      <c r="J42" t="e">
        <f>VLOOKUP(bron[[#This Row],[voertuig]],Voertuigen!A:C,3,FALSE)</f>
        <v>#N/A</v>
      </c>
      <c r="K42" t="e">
        <f>VLOOKUP(bron[[#This Row],[voertuig]],Voertuigen!A:C,2,FALSE)</f>
        <v>#N/A</v>
      </c>
      <c r="L42">
        <f>COUNTIF(A:A,bron[[#This Row],[personeelsnr]])</f>
        <v>1</v>
      </c>
    </row>
    <row r="43" spans="1:12" hidden="1" x14ac:dyDescent="0.25">
      <c r="A43">
        <v>39146</v>
      </c>
      <c r="B43" t="str">
        <f>VLOOKUP(bron[[#This Row],[personeelsnr]],[1]Blad1!$A:$H,2,FALSE)</f>
        <v>Burrick Alex</v>
      </c>
      <c r="C43" t="str">
        <f>VLOOKUP(bron[[#This Row],[personeelsnr]],[1]Blad1!$A:$H,3,FALSE)</f>
        <v>Burrick</v>
      </c>
      <c r="D43" t="str">
        <f>VLOOKUP(bron[[#This Row],[personeelsnr]],[1]Blad1!$A:$H,4,FALSE)</f>
        <v>Alex</v>
      </c>
      <c r="E43" s="2" t="str">
        <f>VLOOKUP(bron[[#This Row],[personeelsnr]],[1]Blad1!$A:$H,8,FALSE)</f>
        <v>Dewulf Els</v>
      </c>
      <c r="F43" s="6">
        <v>45324</v>
      </c>
      <c r="G43" s="5" t="s">
        <v>266</v>
      </c>
      <c r="H43" t="s">
        <v>90</v>
      </c>
      <c r="I43"/>
      <c r="J43" t="e">
        <f>VLOOKUP(bron[[#This Row],[voertuig]],Voertuigen!A:C,3,FALSE)</f>
        <v>#N/A</v>
      </c>
      <c r="K43" t="e">
        <f>VLOOKUP(bron[[#This Row],[voertuig]],Voertuigen!A:C,2,FALSE)</f>
        <v>#N/A</v>
      </c>
      <c r="L43">
        <f>COUNTIF(A:A,bron[[#This Row],[personeelsnr]])</f>
        <v>3</v>
      </c>
    </row>
    <row r="44" spans="1:12" hidden="1" x14ac:dyDescent="0.25">
      <c r="A44">
        <v>39146</v>
      </c>
      <c r="B44" t="str">
        <f>VLOOKUP(bron[[#This Row],[personeelsnr]],[1]Blad1!$A:$H,2,FALSE)</f>
        <v>Burrick Alex</v>
      </c>
      <c r="C44" t="str">
        <f>VLOOKUP(bron[[#This Row],[personeelsnr]],[1]Blad1!$A:$H,3,FALSE)</f>
        <v>Burrick</v>
      </c>
      <c r="D44" t="str">
        <f>VLOOKUP(bron[[#This Row],[personeelsnr]],[1]Blad1!$A:$H,4,FALSE)</f>
        <v>Alex</v>
      </c>
      <c r="E44" s="2" t="str">
        <f>VLOOKUP(bron[[#This Row],[personeelsnr]],[1]Blad1!$A:$H,8,FALSE)</f>
        <v>Dewulf Els</v>
      </c>
      <c r="F44" s="6">
        <v>45324</v>
      </c>
      <c r="G44" s="5" t="s">
        <v>267</v>
      </c>
      <c r="H44" t="s">
        <v>90</v>
      </c>
      <c r="I44"/>
      <c r="J44" t="e">
        <f>VLOOKUP(bron[[#This Row],[voertuig]],Voertuigen!A:C,3,FALSE)</f>
        <v>#N/A</v>
      </c>
      <c r="K44" t="e">
        <f>VLOOKUP(bron[[#This Row],[voertuig]],Voertuigen!A:C,2,FALSE)</f>
        <v>#N/A</v>
      </c>
      <c r="L44">
        <f>COUNTIF(A:A,bron[[#This Row],[personeelsnr]])</f>
        <v>3</v>
      </c>
    </row>
    <row r="45" spans="1:12" hidden="1" x14ac:dyDescent="0.25">
      <c r="A45">
        <v>35463</v>
      </c>
      <c r="B45" t="str">
        <f>VLOOKUP(bron[[#This Row],[personeelsnr]],[1]Blad1!$A:$H,2,FALSE)</f>
        <v>Vandaele Tom</v>
      </c>
      <c r="C45" t="str">
        <f>VLOOKUP(bron[[#This Row],[personeelsnr]],[1]Blad1!$A:$H,3,FALSE)</f>
        <v>Vandaele</v>
      </c>
      <c r="D45" t="str">
        <f>VLOOKUP(bron[[#This Row],[personeelsnr]],[1]Blad1!$A:$H,4,FALSE)</f>
        <v>Tom</v>
      </c>
      <c r="E45" s="2" t="str">
        <f>VLOOKUP(bron[[#This Row],[personeelsnr]],[1]Blad1!$A:$H,8,FALSE)</f>
        <v>De Clercq Dominique</v>
      </c>
      <c r="F45" s="6">
        <v>45325</v>
      </c>
      <c r="G45" s="5" t="s">
        <v>268</v>
      </c>
      <c r="H45" t="s">
        <v>14</v>
      </c>
      <c r="I45"/>
      <c r="J45" t="e">
        <f>VLOOKUP(bron[[#This Row],[voertuig]],Voertuigen!A:C,3,FALSE)</f>
        <v>#N/A</v>
      </c>
      <c r="K45" t="e">
        <f>VLOOKUP(bron[[#This Row],[voertuig]],Voertuigen!A:C,2,FALSE)</f>
        <v>#N/A</v>
      </c>
      <c r="L45">
        <f>COUNTIF(A:A,bron[[#This Row],[personeelsnr]])</f>
        <v>4</v>
      </c>
    </row>
    <row r="46" spans="1:12" hidden="1" x14ac:dyDescent="0.25">
      <c r="A46">
        <v>38808</v>
      </c>
      <c r="B46" t="str">
        <f>VLOOKUP(bron[[#This Row],[personeelsnr]],[1]Blad1!$A:$H,2,FALSE)</f>
        <v>Wasen Jens</v>
      </c>
      <c r="C46" t="str">
        <f>VLOOKUP(bron[[#This Row],[personeelsnr]],[1]Blad1!$A:$H,3,FALSE)</f>
        <v>Wasen</v>
      </c>
      <c r="D46" t="str">
        <f>VLOOKUP(bron[[#This Row],[personeelsnr]],[1]Blad1!$A:$H,4,FALSE)</f>
        <v>Jens</v>
      </c>
      <c r="E46" s="2" t="str">
        <f>VLOOKUP(bron[[#This Row],[personeelsnr]],[1]Blad1!$A:$H,8,FALSE)</f>
        <v>Dewulf Els</v>
      </c>
      <c r="F46" s="6">
        <v>45325</v>
      </c>
      <c r="G46" s="5" t="s">
        <v>269</v>
      </c>
      <c r="H46" t="s">
        <v>270</v>
      </c>
      <c r="I46"/>
      <c r="J46" t="e">
        <f>VLOOKUP(bron[[#This Row],[voertuig]],Voertuigen!A:C,3,FALSE)</f>
        <v>#N/A</v>
      </c>
      <c r="K46" t="e">
        <f>VLOOKUP(bron[[#This Row],[voertuig]],Voertuigen!A:C,2,FALSE)</f>
        <v>#N/A</v>
      </c>
      <c r="L46">
        <f>COUNTIF(A:A,bron[[#This Row],[personeelsnr]])</f>
        <v>5</v>
      </c>
    </row>
    <row r="47" spans="1:12" hidden="1" x14ac:dyDescent="0.25">
      <c r="A47">
        <v>38529</v>
      </c>
      <c r="B47" t="str">
        <f>VLOOKUP(bron[[#This Row],[personeelsnr]],[1]Blad1!$A:$H,2,FALSE)</f>
        <v>Huyghe Jan</v>
      </c>
      <c r="C47" t="str">
        <f>VLOOKUP(bron[[#This Row],[personeelsnr]],[1]Blad1!$A:$H,3,FALSE)</f>
        <v>Huyghe</v>
      </c>
      <c r="D47" t="str">
        <f>VLOOKUP(bron[[#This Row],[personeelsnr]],[1]Blad1!$A:$H,4,FALSE)</f>
        <v>Jan</v>
      </c>
      <c r="E47" s="2" t="str">
        <f>VLOOKUP(bron[[#This Row],[personeelsnr]],[1]Blad1!$A:$H,8,FALSE)</f>
        <v>Dewulf Els</v>
      </c>
      <c r="F47" s="6">
        <v>45326</v>
      </c>
      <c r="G47" s="5" t="s">
        <v>271</v>
      </c>
      <c r="H47" t="s">
        <v>102</v>
      </c>
      <c r="I47"/>
      <c r="J47" t="e">
        <f>VLOOKUP(bron[[#This Row],[voertuig]],Voertuigen!A:C,3,FALSE)</f>
        <v>#N/A</v>
      </c>
      <c r="K47" t="e">
        <f>VLOOKUP(bron[[#This Row],[voertuig]],Voertuigen!A:C,2,FALSE)</f>
        <v>#N/A</v>
      </c>
      <c r="L47">
        <f>COUNTIF(A:A,bron[[#This Row],[personeelsnr]])</f>
        <v>5</v>
      </c>
    </row>
    <row r="48" spans="1:12" hidden="1" x14ac:dyDescent="0.25">
      <c r="A48">
        <v>37564</v>
      </c>
      <c r="B48" t="str">
        <f>VLOOKUP(bron[[#This Row],[personeelsnr]],[1]Blad1!$A:$H,2,FALSE)</f>
        <v>Damlakhi Nawras</v>
      </c>
      <c r="C48" t="str">
        <f>VLOOKUP(bron[[#This Row],[personeelsnr]],[1]Blad1!$A:$H,3,FALSE)</f>
        <v>Damlakhi</v>
      </c>
      <c r="D48" t="str">
        <f>VLOOKUP(bron[[#This Row],[personeelsnr]],[1]Blad1!$A:$H,4,FALSE)</f>
        <v>Nawras</v>
      </c>
      <c r="E48" s="2" t="str">
        <f>VLOOKUP(bron[[#This Row],[personeelsnr]],[1]Blad1!$A:$H,8,FALSE)</f>
        <v>Vanhoe Els</v>
      </c>
      <c r="F48" s="6">
        <v>45326</v>
      </c>
      <c r="G48" s="5" t="s">
        <v>272</v>
      </c>
      <c r="H48" t="s">
        <v>27</v>
      </c>
      <c r="I48"/>
      <c r="J48" t="e">
        <f>VLOOKUP(bron[[#This Row],[voertuig]],Voertuigen!A:C,3,FALSE)</f>
        <v>#N/A</v>
      </c>
      <c r="K48" t="e">
        <f>VLOOKUP(bron[[#This Row],[voertuig]],Voertuigen!A:C,2,FALSE)</f>
        <v>#N/A</v>
      </c>
      <c r="L48">
        <f>COUNTIF(A:A,bron[[#This Row],[personeelsnr]])</f>
        <v>1</v>
      </c>
    </row>
    <row r="49" spans="1:12" hidden="1" x14ac:dyDescent="0.25">
      <c r="A49">
        <v>38529</v>
      </c>
      <c r="B49" t="str">
        <f>VLOOKUP(bron[[#This Row],[personeelsnr]],[1]Blad1!$A:$H,2,FALSE)</f>
        <v>Huyghe Jan</v>
      </c>
      <c r="C49" t="str">
        <f>VLOOKUP(bron[[#This Row],[personeelsnr]],[1]Blad1!$A:$H,3,FALSE)</f>
        <v>Huyghe</v>
      </c>
      <c r="D49" t="str">
        <f>VLOOKUP(bron[[#This Row],[personeelsnr]],[1]Blad1!$A:$H,4,FALSE)</f>
        <v>Jan</v>
      </c>
      <c r="E49" s="2" t="str">
        <f>VLOOKUP(bron[[#This Row],[personeelsnr]],[1]Blad1!$A:$H,8,FALSE)</f>
        <v>Dewulf Els</v>
      </c>
      <c r="F49" s="6">
        <v>45326</v>
      </c>
      <c r="G49" s="5" t="s">
        <v>273</v>
      </c>
      <c r="H49" t="s">
        <v>274</v>
      </c>
      <c r="I49"/>
      <c r="J49" t="e">
        <f>VLOOKUP(bron[[#This Row],[voertuig]],Voertuigen!A:C,3,FALSE)</f>
        <v>#N/A</v>
      </c>
      <c r="K49" t="e">
        <f>VLOOKUP(bron[[#This Row],[voertuig]],Voertuigen!A:C,2,FALSE)</f>
        <v>#N/A</v>
      </c>
      <c r="L49">
        <f>COUNTIF(A:A,bron[[#This Row],[personeelsnr]])</f>
        <v>5</v>
      </c>
    </row>
    <row r="50" spans="1:12" hidden="1" x14ac:dyDescent="0.25">
      <c r="A50">
        <v>27209</v>
      </c>
      <c r="B50" t="str">
        <f>VLOOKUP(bron[[#This Row],[personeelsnr]],[1]Blad1!$A:$H,2,FALSE)</f>
        <v>Meyvaert Steven</v>
      </c>
      <c r="C50" t="str">
        <f>VLOOKUP(bron[[#This Row],[personeelsnr]],[1]Blad1!$A:$H,3,FALSE)</f>
        <v>Meyvaert</v>
      </c>
      <c r="D50" t="str">
        <f>VLOOKUP(bron[[#This Row],[personeelsnr]],[1]Blad1!$A:$H,4,FALSE)</f>
        <v>Steven</v>
      </c>
      <c r="E50" s="2" t="str">
        <f>VLOOKUP(bron[[#This Row],[personeelsnr]],[1]Blad1!$A:$H,8,FALSE)</f>
        <v>Dewulf Els</v>
      </c>
      <c r="F50" s="6">
        <v>45326</v>
      </c>
      <c r="G50" s="5" t="s">
        <v>275</v>
      </c>
      <c r="H50" t="s">
        <v>102</v>
      </c>
      <c r="I50"/>
      <c r="J50" t="e">
        <f>VLOOKUP(bron[[#This Row],[voertuig]],Voertuigen!A:C,3,FALSE)</f>
        <v>#N/A</v>
      </c>
      <c r="K50" t="e">
        <f>VLOOKUP(bron[[#This Row],[voertuig]],Voertuigen!A:C,2,FALSE)</f>
        <v>#N/A</v>
      </c>
      <c r="L50">
        <f>COUNTIF(A:A,bron[[#This Row],[personeelsnr]])</f>
        <v>3</v>
      </c>
    </row>
    <row r="51" spans="1:12" hidden="1" x14ac:dyDescent="0.25">
      <c r="A51">
        <v>39358</v>
      </c>
      <c r="B51" t="str">
        <f>VLOOKUP(bron[[#This Row],[personeelsnr]],[1]Blad1!$A:$H,2,FALSE)</f>
        <v>Weeks Aracena Jimmy Alexander</v>
      </c>
      <c r="C51" t="str">
        <f>VLOOKUP(bron[[#This Row],[personeelsnr]],[1]Blad1!$A:$H,3,FALSE)</f>
        <v>Weeks Aracena</v>
      </c>
      <c r="D51" t="str">
        <f>VLOOKUP(bron[[#This Row],[personeelsnr]],[1]Blad1!$A:$H,4,FALSE)</f>
        <v>Jimmy Alexander</v>
      </c>
      <c r="E51" s="2" t="str">
        <f>VLOOKUP(bron[[#This Row],[personeelsnr]],[1]Blad1!$A:$H,8,FALSE)</f>
        <v>Rotty Christoff</v>
      </c>
      <c r="F51" s="6">
        <v>45327</v>
      </c>
      <c r="G51" s="5" t="s">
        <v>276</v>
      </c>
      <c r="H51" t="s">
        <v>17</v>
      </c>
      <c r="I51"/>
      <c r="J51" t="e">
        <f>VLOOKUP(bron[[#This Row],[voertuig]],Voertuigen!A:C,3,FALSE)</f>
        <v>#N/A</v>
      </c>
      <c r="K51" t="e">
        <f>VLOOKUP(bron[[#This Row],[voertuig]],Voertuigen!A:C,2,FALSE)</f>
        <v>#N/A</v>
      </c>
      <c r="L51">
        <f>COUNTIF(A:A,bron[[#This Row],[personeelsnr]])</f>
        <v>5</v>
      </c>
    </row>
    <row r="52" spans="1:12" hidden="1" x14ac:dyDescent="0.25">
      <c r="A52">
        <v>34198</v>
      </c>
      <c r="B52" t="str">
        <f>VLOOKUP(bron[[#This Row],[personeelsnr]],[1]Blad1!$A:$H,2,FALSE)</f>
        <v>Pelfrene Toby</v>
      </c>
      <c r="C52" t="str">
        <f>VLOOKUP(bron[[#This Row],[personeelsnr]],[1]Blad1!$A:$H,3,FALSE)</f>
        <v>Pelfrene</v>
      </c>
      <c r="D52" t="str">
        <f>VLOOKUP(bron[[#This Row],[personeelsnr]],[1]Blad1!$A:$H,4,FALSE)</f>
        <v>Toby</v>
      </c>
      <c r="E52" s="2" t="str">
        <f>VLOOKUP(bron[[#This Row],[personeelsnr]],[1]Blad1!$A:$H,8,FALSE)</f>
        <v>Vanhoe Els</v>
      </c>
      <c r="F52" s="6">
        <v>45328</v>
      </c>
      <c r="G52" s="5" t="s">
        <v>277</v>
      </c>
      <c r="H52" t="s">
        <v>8</v>
      </c>
      <c r="I52"/>
      <c r="J52" t="e">
        <f>VLOOKUP(bron[[#This Row],[voertuig]],Voertuigen!A:C,3,FALSE)</f>
        <v>#N/A</v>
      </c>
      <c r="K52" t="e">
        <f>VLOOKUP(bron[[#This Row],[voertuig]],Voertuigen!A:C,2,FALSE)</f>
        <v>#N/A</v>
      </c>
      <c r="L52">
        <f>COUNTIF(A:A,bron[[#This Row],[personeelsnr]])</f>
        <v>2</v>
      </c>
    </row>
    <row r="53" spans="1:12" hidden="1" x14ac:dyDescent="0.25">
      <c r="A53">
        <v>18987</v>
      </c>
      <c r="B53" t="e">
        <f>VLOOKUP(bron[[#This Row],[personeelsnr]],[1]Blad1!$A:$H,2,FALSE)</f>
        <v>#N/A</v>
      </c>
      <c r="C53" t="e">
        <f>VLOOKUP(bron[[#This Row],[personeelsnr]],[1]Blad1!$A:$H,3,FALSE)</f>
        <v>#N/A</v>
      </c>
      <c r="D53" t="e">
        <f>VLOOKUP(bron[[#This Row],[personeelsnr]],[1]Blad1!$A:$H,4,FALSE)</f>
        <v>#N/A</v>
      </c>
      <c r="E53" s="2" t="s">
        <v>221</v>
      </c>
      <c r="F53" s="6">
        <v>45329</v>
      </c>
      <c r="G53" s="5" t="s">
        <v>278</v>
      </c>
      <c r="H53" t="s">
        <v>279</v>
      </c>
      <c r="I53"/>
      <c r="J53" t="e">
        <f>VLOOKUP(bron[[#This Row],[voertuig]],Voertuigen!A:C,3,FALSE)</f>
        <v>#N/A</v>
      </c>
      <c r="K53" t="e">
        <f>VLOOKUP(bron[[#This Row],[voertuig]],Voertuigen!A:C,2,FALSE)</f>
        <v>#N/A</v>
      </c>
      <c r="L53">
        <f>COUNTIF(A:A,bron[[#This Row],[personeelsnr]])</f>
        <v>3</v>
      </c>
    </row>
    <row r="54" spans="1:12" hidden="1" x14ac:dyDescent="0.25">
      <c r="A54">
        <v>5813</v>
      </c>
      <c r="B54" t="str">
        <f>VLOOKUP(bron[[#This Row],[personeelsnr]],[1]Blad1!$A:$H,2,FALSE)</f>
        <v>Binard Sabine</v>
      </c>
      <c r="C54" t="str">
        <f>VLOOKUP(bron[[#This Row],[personeelsnr]],[1]Blad1!$A:$H,3,FALSE)</f>
        <v>Binard</v>
      </c>
      <c r="D54" t="str">
        <f>VLOOKUP(bron[[#This Row],[personeelsnr]],[1]Blad1!$A:$H,4,FALSE)</f>
        <v>Sabine</v>
      </c>
      <c r="E54" s="2" t="str">
        <f>VLOOKUP(bron[[#This Row],[personeelsnr]],[1]Blad1!$A:$H,8,FALSE)</f>
        <v>Van De Velde Lucie</v>
      </c>
      <c r="F54" s="6">
        <v>45329</v>
      </c>
      <c r="G54" s="5" t="s">
        <v>280</v>
      </c>
      <c r="H54" t="s">
        <v>95</v>
      </c>
      <c r="I54"/>
      <c r="J54" t="e">
        <f>VLOOKUP(bron[[#This Row],[voertuig]],Voertuigen!A:C,3,FALSE)</f>
        <v>#N/A</v>
      </c>
      <c r="K54" t="e">
        <f>VLOOKUP(bron[[#This Row],[voertuig]],Voertuigen!A:C,2,FALSE)</f>
        <v>#N/A</v>
      </c>
      <c r="L54">
        <f>COUNTIF(A:A,bron[[#This Row],[personeelsnr]])</f>
        <v>1</v>
      </c>
    </row>
    <row r="55" spans="1:12" hidden="1" x14ac:dyDescent="0.25">
      <c r="A55">
        <v>38529</v>
      </c>
      <c r="B55" t="str">
        <f>VLOOKUP(bron[[#This Row],[personeelsnr]],[1]Blad1!$A:$H,2,FALSE)</f>
        <v>Huyghe Jan</v>
      </c>
      <c r="C55" t="str">
        <f>VLOOKUP(bron[[#This Row],[personeelsnr]],[1]Blad1!$A:$H,3,FALSE)</f>
        <v>Huyghe</v>
      </c>
      <c r="D55" t="str">
        <f>VLOOKUP(bron[[#This Row],[personeelsnr]],[1]Blad1!$A:$H,4,FALSE)</f>
        <v>Jan</v>
      </c>
      <c r="E55" s="2" t="str">
        <f>VLOOKUP(bron[[#This Row],[personeelsnr]],[1]Blad1!$A:$H,8,FALSE)</f>
        <v>Dewulf Els</v>
      </c>
      <c r="F55" s="6">
        <v>45330</v>
      </c>
      <c r="G55" s="5" t="s">
        <v>281</v>
      </c>
      <c r="H55" t="s">
        <v>8</v>
      </c>
      <c r="I55"/>
      <c r="J55" t="e">
        <f>VLOOKUP(bron[[#This Row],[voertuig]],Voertuigen!A:C,3,FALSE)</f>
        <v>#N/A</v>
      </c>
      <c r="K55" t="e">
        <f>VLOOKUP(bron[[#This Row],[voertuig]],Voertuigen!A:C,2,FALSE)</f>
        <v>#N/A</v>
      </c>
      <c r="L55">
        <f>COUNTIF(A:A,bron[[#This Row],[personeelsnr]])</f>
        <v>5</v>
      </c>
    </row>
    <row r="56" spans="1:12" hidden="1" x14ac:dyDescent="0.25">
      <c r="A56">
        <v>10324</v>
      </c>
      <c r="B56" t="str">
        <f>VLOOKUP(bron[[#This Row],[personeelsnr]],[1]Blad1!$A:$H,2,FALSE)</f>
        <v>Eggermont Wim</v>
      </c>
      <c r="C56" t="str">
        <f>VLOOKUP(bron[[#This Row],[personeelsnr]],[1]Blad1!$A:$H,3,FALSE)</f>
        <v>Eggermont</v>
      </c>
      <c r="D56" t="str">
        <f>VLOOKUP(bron[[#This Row],[personeelsnr]],[1]Blad1!$A:$H,4,FALSE)</f>
        <v>Wim</v>
      </c>
      <c r="E56" s="2" t="str">
        <f>VLOOKUP(bron[[#This Row],[personeelsnr]],[1]Blad1!$A:$H,8,FALSE)</f>
        <v>Van Der Beken Bart</v>
      </c>
      <c r="F56" s="6">
        <v>45330</v>
      </c>
      <c r="G56" s="5" t="s">
        <v>282</v>
      </c>
      <c r="H56" t="s">
        <v>8</v>
      </c>
      <c r="I56"/>
      <c r="J56" t="e">
        <f>VLOOKUP(bron[[#This Row],[voertuig]],Voertuigen!A:C,3,FALSE)</f>
        <v>#N/A</v>
      </c>
      <c r="K56" t="e">
        <f>VLOOKUP(bron[[#This Row],[voertuig]],Voertuigen!A:C,2,FALSE)</f>
        <v>#N/A</v>
      </c>
      <c r="L56">
        <f>COUNTIF(A:A,bron[[#This Row],[personeelsnr]])</f>
        <v>1</v>
      </c>
    </row>
    <row r="57" spans="1:12" hidden="1" x14ac:dyDescent="0.25">
      <c r="A57">
        <v>36289</v>
      </c>
      <c r="B57" t="str">
        <f>VLOOKUP(bron[[#This Row],[personeelsnr]],[1]Blad1!$A:$H,2,FALSE)</f>
        <v>Van Rentergem Steve</v>
      </c>
      <c r="C57" t="str">
        <f>VLOOKUP(bron[[#This Row],[personeelsnr]],[1]Blad1!$A:$H,3,FALSE)</f>
        <v>Van Rentergem</v>
      </c>
      <c r="D57" t="str">
        <f>VLOOKUP(bron[[#This Row],[personeelsnr]],[1]Blad1!$A:$H,4,FALSE)</f>
        <v>Steve</v>
      </c>
      <c r="E57" s="2" t="str">
        <f>VLOOKUP(bron[[#This Row],[personeelsnr]],[1]Blad1!$A:$H,8,FALSE)</f>
        <v>Vanhoe Els</v>
      </c>
      <c r="F57" s="6">
        <v>45331</v>
      </c>
      <c r="G57" s="5" t="s">
        <v>283</v>
      </c>
      <c r="H57" t="s">
        <v>9</v>
      </c>
      <c r="I57"/>
      <c r="J57" t="e">
        <f>VLOOKUP(bron[[#This Row],[voertuig]],Voertuigen!A:C,3,FALSE)</f>
        <v>#N/A</v>
      </c>
      <c r="K57" t="e">
        <f>VLOOKUP(bron[[#This Row],[voertuig]],Voertuigen!A:C,2,FALSE)</f>
        <v>#N/A</v>
      </c>
      <c r="L57">
        <f>COUNTIF(A:A,bron[[#This Row],[personeelsnr]])</f>
        <v>3</v>
      </c>
    </row>
    <row r="58" spans="1:12" hidden="1" x14ac:dyDescent="0.25">
      <c r="A58">
        <v>39779</v>
      </c>
      <c r="B58" t="str">
        <f>VLOOKUP(bron[[#This Row],[personeelsnr]],[1]Blad1!$A:$H,2,FALSE)</f>
        <v>Avci Muhammet Abdullah</v>
      </c>
      <c r="C58" t="str">
        <f>VLOOKUP(bron[[#This Row],[personeelsnr]],[1]Blad1!$A:$H,3,FALSE)</f>
        <v>Avci</v>
      </c>
      <c r="D58" t="str">
        <f>VLOOKUP(bron[[#This Row],[personeelsnr]],[1]Blad1!$A:$H,4,FALSE)</f>
        <v>Muhammet Abdullah</v>
      </c>
      <c r="E58" s="2" t="str">
        <f>VLOOKUP(bron[[#This Row],[personeelsnr]],[1]Blad1!$A:$H,8,FALSE)</f>
        <v>Van Der Beken Bart</v>
      </c>
      <c r="F58" s="6">
        <v>45335</v>
      </c>
      <c r="G58" s="5" t="s">
        <v>284</v>
      </c>
      <c r="H58" t="s">
        <v>8</v>
      </c>
      <c r="I58"/>
      <c r="J58" t="e">
        <f>VLOOKUP(bron[[#This Row],[voertuig]],Voertuigen!A:C,3,FALSE)</f>
        <v>#N/A</v>
      </c>
      <c r="K58" t="e">
        <f>VLOOKUP(bron[[#This Row],[voertuig]],Voertuigen!A:C,2,FALSE)</f>
        <v>#N/A</v>
      </c>
      <c r="L58">
        <f>COUNTIF(A:A,bron[[#This Row],[personeelsnr]])</f>
        <v>7</v>
      </c>
    </row>
    <row r="59" spans="1:12" hidden="1" x14ac:dyDescent="0.25">
      <c r="A59">
        <v>9999</v>
      </c>
      <c r="B59" t="e">
        <f>VLOOKUP(bron[[#This Row],[personeelsnr]],[1]Blad1!$A:$H,2,FALSE)</f>
        <v>#N/A</v>
      </c>
      <c r="C59" t="e">
        <f>VLOOKUP(bron[[#This Row],[personeelsnr]],[1]Blad1!$A:$H,3,FALSE)</f>
        <v>#N/A</v>
      </c>
      <c r="D59" t="e">
        <f>VLOOKUP(bron[[#This Row],[personeelsnr]],[1]Blad1!$A:$H,4,FALSE)</f>
        <v>#N/A</v>
      </c>
      <c r="E59" s="2" t="s">
        <v>221</v>
      </c>
      <c r="F59" s="6">
        <v>45336</v>
      </c>
      <c r="G59" s="5" t="s">
        <v>285</v>
      </c>
      <c r="H59" t="s">
        <v>286</v>
      </c>
      <c r="I59"/>
      <c r="J59" t="e">
        <f>VLOOKUP(bron[[#This Row],[voertuig]],Voertuigen!A:C,3,FALSE)</f>
        <v>#N/A</v>
      </c>
      <c r="K59" t="e">
        <f>VLOOKUP(bron[[#This Row],[voertuig]],Voertuigen!A:C,2,FALSE)</f>
        <v>#N/A</v>
      </c>
      <c r="L59">
        <f>COUNTIF(A:A,bron[[#This Row],[personeelsnr]])</f>
        <v>59</v>
      </c>
    </row>
    <row r="60" spans="1:12" hidden="1" x14ac:dyDescent="0.25">
      <c r="A60">
        <v>36635</v>
      </c>
      <c r="B60" t="str">
        <f>VLOOKUP(bron[[#This Row],[personeelsnr]],[1]Blad1!$A:$H,2,FALSE)</f>
        <v>Fadel Husam</v>
      </c>
      <c r="C60" t="str">
        <f>VLOOKUP(bron[[#This Row],[personeelsnr]],[1]Blad1!$A:$H,3,FALSE)</f>
        <v>Fadel</v>
      </c>
      <c r="D60" t="str">
        <f>VLOOKUP(bron[[#This Row],[personeelsnr]],[1]Blad1!$A:$H,4,FALSE)</f>
        <v>Husam</v>
      </c>
      <c r="E60" s="2" t="str">
        <f>VLOOKUP(bron[[#This Row],[personeelsnr]],[1]Blad1!$A:$H,8,FALSE)</f>
        <v>De Rick Kenneth</v>
      </c>
      <c r="F60" s="6">
        <v>45337</v>
      </c>
      <c r="G60" s="5" t="s">
        <v>287</v>
      </c>
      <c r="H60" t="s">
        <v>150</v>
      </c>
      <c r="I60"/>
      <c r="J60" t="e">
        <f>VLOOKUP(bron[[#This Row],[voertuig]],Voertuigen!A:C,3,FALSE)</f>
        <v>#N/A</v>
      </c>
      <c r="K60" t="e">
        <f>VLOOKUP(bron[[#This Row],[voertuig]],Voertuigen!A:C,2,FALSE)</f>
        <v>#N/A</v>
      </c>
      <c r="L60">
        <f>COUNTIF(A:A,bron[[#This Row],[personeelsnr]])</f>
        <v>4</v>
      </c>
    </row>
    <row r="61" spans="1:12" hidden="1" x14ac:dyDescent="0.25">
      <c r="A61">
        <v>35055</v>
      </c>
      <c r="B61" t="str">
        <f>VLOOKUP(bron[[#This Row],[personeelsnr]],[1]Blad1!$A:$H,2,FALSE)</f>
        <v>Kocabas Abdülkadir</v>
      </c>
      <c r="C61" t="str">
        <f>VLOOKUP(bron[[#This Row],[personeelsnr]],[1]Blad1!$A:$H,3,FALSE)</f>
        <v>Kocabas</v>
      </c>
      <c r="D61" t="str">
        <f>VLOOKUP(bron[[#This Row],[personeelsnr]],[1]Blad1!$A:$H,4,FALSE)</f>
        <v>Abdülkadir</v>
      </c>
      <c r="E61" s="2" t="str">
        <f>VLOOKUP(bron[[#This Row],[personeelsnr]],[1]Blad1!$A:$H,8,FALSE)</f>
        <v>Vanhoe Els</v>
      </c>
      <c r="F61" s="6">
        <v>45337</v>
      </c>
      <c r="G61" s="5" t="s">
        <v>288</v>
      </c>
      <c r="H61" t="s">
        <v>22</v>
      </c>
      <c r="I61"/>
      <c r="J61" t="e">
        <f>VLOOKUP(bron[[#This Row],[voertuig]],Voertuigen!A:C,3,FALSE)</f>
        <v>#N/A</v>
      </c>
      <c r="K61" t="e">
        <f>VLOOKUP(bron[[#This Row],[voertuig]],Voertuigen!A:C,2,FALSE)</f>
        <v>#N/A</v>
      </c>
      <c r="L61">
        <f>COUNTIF(A:A,bron[[#This Row],[personeelsnr]])</f>
        <v>2</v>
      </c>
    </row>
    <row r="62" spans="1:12" hidden="1" x14ac:dyDescent="0.25">
      <c r="A62">
        <v>31668</v>
      </c>
      <c r="B62" t="str">
        <f>VLOOKUP(bron[[#This Row],[personeelsnr]],[1]Blad1!$A:$H,2,FALSE)</f>
        <v>Weemhof Maurice</v>
      </c>
      <c r="C62" t="str">
        <f>VLOOKUP(bron[[#This Row],[personeelsnr]],[1]Blad1!$A:$H,3,FALSE)</f>
        <v>Weemhof</v>
      </c>
      <c r="D62" t="str">
        <f>VLOOKUP(bron[[#This Row],[personeelsnr]],[1]Blad1!$A:$H,4,FALSE)</f>
        <v>Maurice</v>
      </c>
      <c r="E62" s="2" t="str">
        <f>VLOOKUP(bron[[#This Row],[personeelsnr]],[1]Blad1!$A:$H,8,FALSE)</f>
        <v>De Clercq Dominique</v>
      </c>
      <c r="F62" s="6">
        <v>45338</v>
      </c>
      <c r="G62" s="5" t="s">
        <v>289</v>
      </c>
      <c r="H62" t="s">
        <v>8</v>
      </c>
      <c r="I62"/>
      <c r="J62" t="e">
        <f>VLOOKUP(bron[[#This Row],[voertuig]],Voertuigen!A:C,3,FALSE)</f>
        <v>#N/A</v>
      </c>
      <c r="K62" t="e">
        <f>VLOOKUP(bron[[#This Row],[voertuig]],Voertuigen!A:C,2,FALSE)</f>
        <v>#N/A</v>
      </c>
      <c r="L62">
        <f>COUNTIF(A:A,bron[[#This Row],[personeelsnr]])</f>
        <v>5</v>
      </c>
    </row>
    <row r="63" spans="1:12" hidden="1" x14ac:dyDescent="0.25">
      <c r="A63">
        <v>36275</v>
      </c>
      <c r="B63" t="str">
        <f>VLOOKUP(bron[[#This Row],[personeelsnr]],[1]Blad1!$A:$H,2,FALSE)</f>
        <v>Acosta Salinas Benigna</v>
      </c>
      <c r="C63" t="str">
        <f>VLOOKUP(bron[[#This Row],[personeelsnr]],[1]Blad1!$A:$H,3,FALSE)</f>
        <v>Acosta Salinas</v>
      </c>
      <c r="D63" t="str">
        <f>VLOOKUP(bron[[#This Row],[personeelsnr]],[1]Blad1!$A:$H,4,FALSE)</f>
        <v>Benigna</v>
      </c>
      <c r="E63" s="2" t="str">
        <f>VLOOKUP(bron[[#This Row],[personeelsnr]],[1]Blad1!$A:$H,8,FALSE)</f>
        <v>De Clercq Dominique</v>
      </c>
      <c r="F63" s="6">
        <v>45339</v>
      </c>
      <c r="G63" s="5" t="s">
        <v>290</v>
      </c>
      <c r="H63" t="s">
        <v>291</v>
      </c>
      <c r="I63"/>
      <c r="J63" t="e">
        <f>VLOOKUP(bron[[#This Row],[voertuig]],Voertuigen!A:C,3,FALSE)</f>
        <v>#N/A</v>
      </c>
      <c r="K63" t="e">
        <f>VLOOKUP(bron[[#This Row],[voertuig]],Voertuigen!A:C,2,FALSE)</f>
        <v>#N/A</v>
      </c>
      <c r="L63">
        <f>COUNTIF(A:A,bron[[#This Row],[personeelsnr]])</f>
        <v>2</v>
      </c>
    </row>
    <row r="64" spans="1:12" hidden="1" x14ac:dyDescent="0.25">
      <c r="A64">
        <v>37261</v>
      </c>
      <c r="B64" t="str">
        <f>VLOOKUP(bron[[#This Row],[personeelsnr]],[1]Blad1!$A:$H,2,FALSE)</f>
        <v>Van Wayenbergh Yordi</v>
      </c>
      <c r="C64" t="str">
        <f>VLOOKUP(bron[[#This Row],[personeelsnr]],[1]Blad1!$A:$H,3,FALSE)</f>
        <v>Van Wayenbergh</v>
      </c>
      <c r="D64" t="str">
        <f>VLOOKUP(bron[[#This Row],[personeelsnr]],[1]Blad1!$A:$H,4,FALSE)</f>
        <v>Yordi</v>
      </c>
      <c r="E64" s="2" t="str">
        <f>VLOOKUP(bron[[#This Row],[personeelsnr]],[1]Blad1!$A:$H,8,FALSE)</f>
        <v>De Clercq Dominique</v>
      </c>
      <c r="F64" s="6">
        <v>45339</v>
      </c>
      <c r="G64" s="5" t="s">
        <v>292</v>
      </c>
      <c r="H64" t="s">
        <v>293</v>
      </c>
      <c r="I64"/>
      <c r="J64" t="e">
        <f>VLOOKUP(bron[[#This Row],[voertuig]],Voertuigen!A:C,3,FALSE)</f>
        <v>#N/A</v>
      </c>
      <c r="K64" t="e">
        <f>VLOOKUP(bron[[#This Row],[voertuig]],Voertuigen!A:C,2,FALSE)</f>
        <v>#N/A</v>
      </c>
      <c r="L64">
        <f>COUNTIF(A:A,bron[[#This Row],[personeelsnr]])</f>
        <v>4</v>
      </c>
    </row>
    <row r="65" spans="1:12" hidden="1" x14ac:dyDescent="0.25">
      <c r="A65">
        <v>39358</v>
      </c>
      <c r="B65" t="str">
        <f>VLOOKUP(bron[[#This Row],[personeelsnr]],[1]Blad1!$A:$H,2,FALSE)</f>
        <v>Weeks Aracena Jimmy Alexander</v>
      </c>
      <c r="C65" t="str">
        <f>VLOOKUP(bron[[#This Row],[personeelsnr]],[1]Blad1!$A:$H,3,FALSE)</f>
        <v>Weeks Aracena</v>
      </c>
      <c r="D65" t="str">
        <f>VLOOKUP(bron[[#This Row],[personeelsnr]],[1]Blad1!$A:$H,4,FALSE)</f>
        <v>Jimmy Alexander</v>
      </c>
      <c r="E65" s="2" t="str">
        <f>VLOOKUP(bron[[#This Row],[personeelsnr]],[1]Blad1!$A:$H,8,FALSE)</f>
        <v>Rotty Christoff</v>
      </c>
      <c r="F65" s="6">
        <v>45339</v>
      </c>
      <c r="G65" s="5" t="s">
        <v>294</v>
      </c>
      <c r="H65" t="s">
        <v>180</v>
      </c>
      <c r="I65"/>
      <c r="J65" t="e">
        <f>VLOOKUP(bron[[#This Row],[voertuig]],Voertuigen!A:C,3,FALSE)</f>
        <v>#N/A</v>
      </c>
      <c r="K65" t="e">
        <f>VLOOKUP(bron[[#This Row],[voertuig]],Voertuigen!A:C,2,FALSE)</f>
        <v>#N/A</v>
      </c>
      <c r="L65">
        <f>COUNTIF(A:A,bron[[#This Row],[personeelsnr]])</f>
        <v>5</v>
      </c>
    </row>
    <row r="66" spans="1:12" hidden="1" x14ac:dyDescent="0.25">
      <c r="A66">
        <v>21582</v>
      </c>
      <c r="B66" t="e">
        <f>VLOOKUP(bron[[#This Row],[personeelsnr]],[1]Blad1!$A:$H,2,FALSE)</f>
        <v>#N/A</v>
      </c>
      <c r="C66" t="e">
        <f>VLOOKUP(bron[[#This Row],[personeelsnr]],[1]Blad1!$A:$H,3,FALSE)</f>
        <v>#N/A</v>
      </c>
      <c r="D66" t="e">
        <f>VLOOKUP(bron[[#This Row],[personeelsnr]],[1]Blad1!$A:$H,4,FALSE)</f>
        <v>#N/A</v>
      </c>
      <c r="E66" s="2" t="s">
        <v>221</v>
      </c>
      <c r="F66" s="6">
        <v>45341</v>
      </c>
      <c r="G66" s="5" t="s">
        <v>295</v>
      </c>
      <c r="H66" t="s">
        <v>72</v>
      </c>
      <c r="I66"/>
      <c r="J66" t="e">
        <f>VLOOKUP(bron[[#This Row],[voertuig]],Voertuigen!A:C,3,FALSE)</f>
        <v>#N/A</v>
      </c>
      <c r="K66" t="e">
        <f>VLOOKUP(bron[[#This Row],[voertuig]],Voertuigen!A:C,2,FALSE)</f>
        <v>#N/A</v>
      </c>
      <c r="L66">
        <f>COUNTIF(A:A,bron[[#This Row],[personeelsnr]])</f>
        <v>3</v>
      </c>
    </row>
    <row r="67" spans="1:12" hidden="1" x14ac:dyDescent="0.25">
      <c r="A67">
        <v>34325</v>
      </c>
      <c r="B67" t="str">
        <f>VLOOKUP(bron[[#This Row],[personeelsnr]],[1]Blad1!$A:$H,2,FALSE)</f>
        <v>Eid Mathyn</v>
      </c>
      <c r="C67" t="str">
        <f>VLOOKUP(bron[[#This Row],[personeelsnr]],[1]Blad1!$A:$H,3,FALSE)</f>
        <v>Eid</v>
      </c>
      <c r="D67" t="str">
        <f>VLOOKUP(bron[[#This Row],[personeelsnr]],[1]Blad1!$A:$H,4,FALSE)</f>
        <v>Mathyn</v>
      </c>
      <c r="E67" s="2" t="str">
        <f>VLOOKUP(bron[[#This Row],[personeelsnr]],[1]Blad1!$A:$H,8,FALSE)</f>
        <v>Storm Steven</v>
      </c>
      <c r="F67" s="6">
        <v>45341</v>
      </c>
      <c r="G67" s="5" t="s">
        <v>296</v>
      </c>
      <c r="H67" t="s">
        <v>297</v>
      </c>
      <c r="I67"/>
      <c r="J67" t="e">
        <f>VLOOKUP(bron[[#This Row],[voertuig]],Voertuigen!A:C,3,FALSE)</f>
        <v>#N/A</v>
      </c>
      <c r="K67" t="e">
        <f>VLOOKUP(bron[[#This Row],[voertuig]],Voertuigen!A:C,2,FALSE)</f>
        <v>#N/A</v>
      </c>
      <c r="L67">
        <f>COUNTIF(A:A,bron[[#This Row],[personeelsnr]])</f>
        <v>5</v>
      </c>
    </row>
    <row r="68" spans="1:12" hidden="1" x14ac:dyDescent="0.25">
      <c r="A68">
        <v>13345</v>
      </c>
      <c r="B68" t="str">
        <f>VLOOKUP(bron[[#This Row],[personeelsnr]],[1]Blad1!$A:$H,2,FALSE)</f>
        <v>Schijvens Ronny</v>
      </c>
      <c r="C68" t="str">
        <f>VLOOKUP(bron[[#This Row],[personeelsnr]],[1]Blad1!$A:$H,3,FALSE)</f>
        <v>Schijvens</v>
      </c>
      <c r="D68" t="str">
        <f>VLOOKUP(bron[[#This Row],[personeelsnr]],[1]Blad1!$A:$H,4,FALSE)</f>
        <v>Ronny</v>
      </c>
      <c r="E68" s="2" t="str">
        <f>VLOOKUP(bron[[#This Row],[personeelsnr]],[1]Blad1!$A:$H,8,FALSE)</f>
        <v>De Rick Kenneth</v>
      </c>
      <c r="F68" s="6">
        <v>45342</v>
      </c>
      <c r="G68" s="5" t="s">
        <v>298</v>
      </c>
      <c r="H68" t="s">
        <v>29</v>
      </c>
      <c r="I68"/>
      <c r="J68" t="e">
        <f>VLOOKUP(bron[[#This Row],[voertuig]],Voertuigen!A:C,3,FALSE)</f>
        <v>#N/A</v>
      </c>
      <c r="K68" t="e">
        <f>VLOOKUP(bron[[#This Row],[voertuig]],Voertuigen!A:C,2,FALSE)</f>
        <v>#N/A</v>
      </c>
      <c r="L68">
        <f>COUNTIF(A:A,bron[[#This Row],[personeelsnr]])</f>
        <v>1</v>
      </c>
    </row>
    <row r="69" spans="1:12" hidden="1" x14ac:dyDescent="0.25">
      <c r="A69">
        <v>39779</v>
      </c>
      <c r="B69" t="str">
        <f>VLOOKUP(bron[[#This Row],[personeelsnr]],[1]Blad1!$A:$H,2,FALSE)</f>
        <v>Avci Muhammet Abdullah</v>
      </c>
      <c r="C69" t="str">
        <f>VLOOKUP(bron[[#This Row],[personeelsnr]],[1]Blad1!$A:$H,3,FALSE)</f>
        <v>Avci</v>
      </c>
      <c r="D69" t="str">
        <f>VLOOKUP(bron[[#This Row],[personeelsnr]],[1]Blad1!$A:$H,4,FALSE)</f>
        <v>Muhammet Abdullah</v>
      </c>
      <c r="E69" s="2" t="str">
        <f>VLOOKUP(bron[[#This Row],[personeelsnr]],[1]Blad1!$A:$H,8,FALSE)</f>
        <v>Van Der Beken Bart</v>
      </c>
      <c r="F69" s="6">
        <v>45342</v>
      </c>
      <c r="G69" s="5" t="s">
        <v>299</v>
      </c>
      <c r="H69" t="s">
        <v>16</v>
      </c>
      <c r="I69"/>
      <c r="J69" t="e">
        <f>VLOOKUP(bron[[#This Row],[voertuig]],Voertuigen!A:C,3,FALSE)</f>
        <v>#N/A</v>
      </c>
      <c r="K69" t="e">
        <f>VLOOKUP(bron[[#This Row],[voertuig]],Voertuigen!A:C,2,FALSE)</f>
        <v>#N/A</v>
      </c>
      <c r="L69">
        <f>COUNTIF(A:A,bron[[#This Row],[personeelsnr]])</f>
        <v>7</v>
      </c>
    </row>
    <row r="70" spans="1:12" hidden="1" x14ac:dyDescent="0.25">
      <c r="A70">
        <v>25994</v>
      </c>
      <c r="B70" t="str">
        <f>VLOOKUP(bron[[#This Row],[personeelsnr]],[1]Blad1!$A:$H,2,FALSE)</f>
        <v>Peers Mario</v>
      </c>
      <c r="C70" t="str">
        <f>VLOOKUP(bron[[#This Row],[personeelsnr]],[1]Blad1!$A:$H,3,FALSE)</f>
        <v>Peers</v>
      </c>
      <c r="D70" t="str">
        <f>VLOOKUP(bron[[#This Row],[personeelsnr]],[1]Blad1!$A:$H,4,FALSE)</f>
        <v>Mario</v>
      </c>
      <c r="E70" s="2" t="str">
        <f>VLOOKUP(bron[[#This Row],[personeelsnr]],[1]Blad1!$A:$H,8,FALSE)</f>
        <v>Dewulf Els</v>
      </c>
      <c r="F70" s="6">
        <v>45343</v>
      </c>
      <c r="G70" s="5" t="s">
        <v>300</v>
      </c>
      <c r="H70" t="s">
        <v>286</v>
      </c>
      <c r="I70"/>
      <c r="J70" t="e">
        <f>VLOOKUP(bron[[#This Row],[voertuig]],Voertuigen!A:C,3,FALSE)</f>
        <v>#N/A</v>
      </c>
      <c r="K70" t="e">
        <f>VLOOKUP(bron[[#This Row],[voertuig]],Voertuigen!A:C,2,FALSE)</f>
        <v>#N/A</v>
      </c>
      <c r="L70">
        <f>COUNTIF(A:A,bron[[#This Row],[personeelsnr]])</f>
        <v>1</v>
      </c>
    </row>
    <row r="71" spans="1:12" hidden="1" x14ac:dyDescent="0.25">
      <c r="A71">
        <v>36569</v>
      </c>
      <c r="B71" t="e">
        <f>VLOOKUP(bron[[#This Row],[personeelsnr]],[1]Blad1!$A:$H,2,FALSE)</f>
        <v>#N/A</v>
      </c>
      <c r="C71" t="e">
        <f>VLOOKUP(bron[[#This Row],[personeelsnr]],[1]Blad1!$A:$H,3,FALSE)</f>
        <v>#N/A</v>
      </c>
      <c r="D71" t="e">
        <f>VLOOKUP(bron[[#This Row],[personeelsnr]],[1]Blad1!$A:$H,4,FALSE)</f>
        <v>#N/A</v>
      </c>
      <c r="E71" s="2" t="s">
        <v>221</v>
      </c>
      <c r="F71" s="6">
        <v>45344</v>
      </c>
      <c r="G71" s="5" t="s">
        <v>301</v>
      </c>
      <c r="H71" t="s">
        <v>102</v>
      </c>
      <c r="I71"/>
      <c r="J71" t="e">
        <f>VLOOKUP(bron[[#This Row],[voertuig]],Voertuigen!A:C,3,FALSE)</f>
        <v>#N/A</v>
      </c>
      <c r="K71" t="e">
        <f>VLOOKUP(bron[[#This Row],[voertuig]],Voertuigen!A:C,2,FALSE)</f>
        <v>#N/A</v>
      </c>
      <c r="L71">
        <f>COUNTIF(A:A,bron[[#This Row],[personeelsnr]])</f>
        <v>6</v>
      </c>
    </row>
    <row r="72" spans="1:12" hidden="1" x14ac:dyDescent="0.25">
      <c r="A72">
        <v>32369</v>
      </c>
      <c r="B72" t="str">
        <f>VLOOKUP(bron[[#This Row],[personeelsnr]],[1]Blad1!$A:$H,2,FALSE)</f>
        <v>Vandenborre Patrick</v>
      </c>
      <c r="C72" t="str">
        <f>VLOOKUP(bron[[#This Row],[personeelsnr]],[1]Blad1!$A:$H,3,FALSE)</f>
        <v>Vandenborre</v>
      </c>
      <c r="D72" t="str">
        <f>VLOOKUP(bron[[#This Row],[personeelsnr]],[1]Blad1!$A:$H,4,FALSE)</f>
        <v>Patrick</v>
      </c>
      <c r="E72" s="2" t="str">
        <f>VLOOKUP(bron[[#This Row],[personeelsnr]],[1]Blad1!$A:$H,8,FALSE)</f>
        <v>Vanhoe Els</v>
      </c>
      <c r="F72" s="6">
        <v>45344</v>
      </c>
      <c r="G72" s="5" t="s">
        <v>302</v>
      </c>
      <c r="H72" t="s">
        <v>10</v>
      </c>
      <c r="I72"/>
      <c r="J72" t="e">
        <f>VLOOKUP(bron[[#This Row],[voertuig]],Voertuigen!A:C,3,FALSE)</f>
        <v>#N/A</v>
      </c>
      <c r="K72" t="e">
        <f>VLOOKUP(bron[[#This Row],[voertuig]],Voertuigen!A:C,2,FALSE)</f>
        <v>#N/A</v>
      </c>
      <c r="L72">
        <f>COUNTIF(A:A,bron[[#This Row],[personeelsnr]])</f>
        <v>1</v>
      </c>
    </row>
    <row r="73" spans="1:12" hidden="1" x14ac:dyDescent="0.25">
      <c r="A73">
        <v>27713</v>
      </c>
      <c r="B73" t="str">
        <f>VLOOKUP(bron[[#This Row],[personeelsnr]],[1]Blad1!$A:$H,2,FALSE)</f>
        <v>Parmentier Bart</v>
      </c>
      <c r="C73" t="str">
        <f>VLOOKUP(bron[[#This Row],[personeelsnr]],[1]Blad1!$A:$H,3,FALSE)</f>
        <v>Parmentier</v>
      </c>
      <c r="D73" t="str">
        <f>VLOOKUP(bron[[#This Row],[personeelsnr]],[1]Blad1!$A:$H,4,FALSE)</f>
        <v>Bart</v>
      </c>
      <c r="E73" s="2" t="str">
        <f>VLOOKUP(bron[[#This Row],[personeelsnr]],[1]Blad1!$A:$H,8,FALSE)</f>
        <v>Dewulf Els</v>
      </c>
      <c r="F73" s="6">
        <v>45344</v>
      </c>
      <c r="G73" s="5" t="s">
        <v>303</v>
      </c>
      <c r="H73" t="s">
        <v>73</v>
      </c>
      <c r="I73"/>
      <c r="J73" t="e">
        <f>VLOOKUP(bron[[#This Row],[voertuig]],Voertuigen!A:C,3,FALSE)</f>
        <v>#N/A</v>
      </c>
      <c r="K73" t="e">
        <f>VLOOKUP(bron[[#This Row],[voertuig]],Voertuigen!A:C,2,FALSE)</f>
        <v>#N/A</v>
      </c>
      <c r="L73">
        <f>COUNTIF(A:A,bron[[#This Row],[personeelsnr]])</f>
        <v>1</v>
      </c>
    </row>
    <row r="74" spans="1:12" hidden="1" x14ac:dyDescent="0.25">
      <c r="A74">
        <v>38475</v>
      </c>
      <c r="B74" t="str">
        <f>VLOOKUP(bron[[#This Row],[personeelsnr]],[1]Blad1!$A:$H,2,FALSE)</f>
        <v>Verschraegen Katleen</v>
      </c>
      <c r="C74" t="str">
        <f>VLOOKUP(bron[[#This Row],[personeelsnr]],[1]Blad1!$A:$H,3,FALSE)</f>
        <v>Verschraegen</v>
      </c>
      <c r="D74" t="str">
        <f>VLOOKUP(bron[[#This Row],[personeelsnr]],[1]Blad1!$A:$H,4,FALSE)</f>
        <v>Katleen</v>
      </c>
      <c r="E74" s="2" t="str">
        <f>VLOOKUP(bron[[#This Row],[personeelsnr]],[1]Blad1!$A:$H,8,FALSE)</f>
        <v>Dewulf Els</v>
      </c>
      <c r="F74" s="6">
        <v>45345</v>
      </c>
      <c r="G74" s="5" t="s">
        <v>304</v>
      </c>
      <c r="H74" t="s">
        <v>90</v>
      </c>
      <c r="I74"/>
      <c r="J74" t="e">
        <f>VLOOKUP(bron[[#This Row],[voertuig]],Voertuigen!A:C,3,FALSE)</f>
        <v>#N/A</v>
      </c>
      <c r="K74" t="e">
        <f>VLOOKUP(bron[[#This Row],[voertuig]],Voertuigen!A:C,2,FALSE)</f>
        <v>#N/A</v>
      </c>
      <c r="L74">
        <f>COUNTIF(A:A,bron[[#This Row],[personeelsnr]])</f>
        <v>4</v>
      </c>
    </row>
    <row r="75" spans="1:12" hidden="1" x14ac:dyDescent="0.25">
      <c r="A75">
        <v>35120</v>
      </c>
      <c r="B75" t="str">
        <f>VLOOKUP(bron[[#This Row],[personeelsnr]],[1]Blad1!$A:$H,2,FALSE)</f>
        <v>Delcourt Daniel</v>
      </c>
      <c r="C75" t="str">
        <f>VLOOKUP(bron[[#This Row],[personeelsnr]],[1]Blad1!$A:$H,3,FALSE)</f>
        <v>Delcourt</v>
      </c>
      <c r="D75" t="str">
        <f>VLOOKUP(bron[[#This Row],[personeelsnr]],[1]Blad1!$A:$H,4,FALSE)</f>
        <v>Daniel</v>
      </c>
      <c r="E75" s="2" t="str">
        <f>VLOOKUP(bron[[#This Row],[personeelsnr]],[1]Blad1!$A:$H,8,FALSE)</f>
        <v>Dewulf Els</v>
      </c>
      <c r="F75" s="6">
        <v>45349</v>
      </c>
      <c r="G75" s="5" t="s">
        <v>305</v>
      </c>
      <c r="H75" t="s">
        <v>8</v>
      </c>
      <c r="I75"/>
      <c r="J75" t="e">
        <f>VLOOKUP(bron[[#This Row],[voertuig]],Voertuigen!A:C,3,FALSE)</f>
        <v>#N/A</v>
      </c>
      <c r="K75" t="e">
        <f>VLOOKUP(bron[[#This Row],[voertuig]],Voertuigen!A:C,2,FALSE)</f>
        <v>#N/A</v>
      </c>
      <c r="L75">
        <f>COUNTIF(A:A,bron[[#This Row],[personeelsnr]])</f>
        <v>1</v>
      </c>
    </row>
    <row r="76" spans="1:12" hidden="1" x14ac:dyDescent="0.25">
      <c r="A76">
        <v>9999</v>
      </c>
      <c r="B76" t="e">
        <f>VLOOKUP(bron[[#This Row],[personeelsnr]],[1]Blad1!$A:$H,2,FALSE)</f>
        <v>#N/A</v>
      </c>
      <c r="C76" t="e">
        <f>VLOOKUP(bron[[#This Row],[personeelsnr]],[1]Blad1!$A:$H,3,FALSE)</f>
        <v>#N/A</v>
      </c>
      <c r="D76" t="e">
        <f>VLOOKUP(bron[[#This Row],[personeelsnr]],[1]Blad1!$A:$H,4,FALSE)</f>
        <v>#N/A</v>
      </c>
      <c r="E76" s="2" t="s">
        <v>221</v>
      </c>
      <c r="F76" s="6">
        <v>45350</v>
      </c>
      <c r="G76" s="5" t="s">
        <v>306</v>
      </c>
      <c r="H76" t="s">
        <v>307</v>
      </c>
      <c r="I76"/>
      <c r="J76" t="e">
        <f>VLOOKUP(bron[[#This Row],[voertuig]],Voertuigen!A:C,3,FALSE)</f>
        <v>#N/A</v>
      </c>
      <c r="K76" t="e">
        <f>VLOOKUP(bron[[#This Row],[voertuig]],Voertuigen!A:C,2,FALSE)</f>
        <v>#N/A</v>
      </c>
      <c r="L76">
        <f>COUNTIF(A:A,bron[[#This Row],[personeelsnr]])</f>
        <v>59</v>
      </c>
    </row>
    <row r="77" spans="1:12" hidden="1" x14ac:dyDescent="0.25">
      <c r="A77">
        <v>39184</v>
      </c>
      <c r="B77" t="str">
        <f>VLOOKUP(bron[[#This Row],[personeelsnr]],[1]Blad1!$A:$H,2,FALSE)</f>
        <v>Shinwari Yasin</v>
      </c>
      <c r="C77" t="str">
        <f>VLOOKUP(bron[[#This Row],[personeelsnr]],[1]Blad1!$A:$H,3,FALSE)</f>
        <v>Shinwari</v>
      </c>
      <c r="D77" t="str">
        <f>VLOOKUP(bron[[#This Row],[personeelsnr]],[1]Blad1!$A:$H,4,FALSE)</f>
        <v>Yasin</v>
      </c>
      <c r="E77" s="2" t="str">
        <f>VLOOKUP(bron[[#This Row],[personeelsnr]],[1]Blad1!$A:$H,8,FALSE)</f>
        <v>Rotty Christoff</v>
      </c>
      <c r="F77" s="6">
        <v>45350</v>
      </c>
      <c r="G77" s="5" t="s">
        <v>308</v>
      </c>
      <c r="H77" t="s">
        <v>171</v>
      </c>
      <c r="I77"/>
      <c r="J77" t="e">
        <f>VLOOKUP(bron[[#This Row],[voertuig]],Voertuigen!A:C,3,FALSE)</f>
        <v>#N/A</v>
      </c>
      <c r="K77" t="e">
        <f>VLOOKUP(bron[[#This Row],[voertuig]],Voertuigen!A:C,2,FALSE)</f>
        <v>#N/A</v>
      </c>
      <c r="L77">
        <f>COUNTIF(A:A,bron[[#This Row],[personeelsnr]])</f>
        <v>3</v>
      </c>
    </row>
    <row r="78" spans="1:12" hidden="1" x14ac:dyDescent="0.25">
      <c r="A78">
        <v>24367</v>
      </c>
      <c r="B78" t="str">
        <f>VLOOKUP(bron[[#This Row],[personeelsnr]],[1]Blad1!$A:$H,2,FALSE)</f>
        <v>Tayefeh Arbab Ali</v>
      </c>
      <c r="C78" t="str">
        <f>VLOOKUP(bron[[#This Row],[personeelsnr]],[1]Blad1!$A:$H,3,FALSE)</f>
        <v>Tayefeh Arbab</v>
      </c>
      <c r="D78" t="str">
        <f>VLOOKUP(bron[[#This Row],[personeelsnr]],[1]Blad1!$A:$H,4,FALSE)</f>
        <v>Ali</v>
      </c>
      <c r="E78" s="2" t="str">
        <f>VLOOKUP(bron[[#This Row],[personeelsnr]],[1]Blad1!$A:$H,8,FALSE)</f>
        <v>Van Der Beken Bart</v>
      </c>
      <c r="F78" s="6">
        <v>45350</v>
      </c>
      <c r="G78" s="5" t="s">
        <v>309</v>
      </c>
      <c r="H78" t="s">
        <v>12</v>
      </c>
      <c r="I78"/>
      <c r="J78" t="e">
        <f>VLOOKUP(bron[[#This Row],[voertuig]],Voertuigen!A:C,3,FALSE)</f>
        <v>#N/A</v>
      </c>
      <c r="K78" t="e">
        <f>VLOOKUP(bron[[#This Row],[voertuig]],Voertuigen!A:C,2,FALSE)</f>
        <v>#N/A</v>
      </c>
      <c r="L78">
        <f>COUNTIF(A:A,bron[[#This Row],[personeelsnr]])</f>
        <v>3</v>
      </c>
    </row>
    <row r="79" spans="1:12" hidden="1" x14ac:dyDescent="0.25">
      <c r="A79">
        <v>11236</v>
      </c>
      <c r="B79" t="str">
        <f>VLOOKUP(bron[[#This Row],[personeelsnr]],[1]Blad1!$A:$H,2,FALSE)</f>
        <v>Baert Freddy</v>
      </c>
      <c r="C79" t="str">
        <f>VLOOKUP(bron[[#This Row],[personeelsnr]],[1]Blad1!$A:$H,3,FALSE)</f>
        <v>Baert</v>
      </c>
      <c r="D79" t="str">
        <f>VLOOKUP(bron[[#This Row],[personeelsnr]],[1]Blad1!$A:$H,4,FALSE)</f>
        <v>Freddy</v>
      </c>
      <c r="E79" s="2" t="str">
        <f>VLOOKUP(bron[[#This Row],[personeelsnr]],[1]Blad1!$A:$H,8,FALSE)</f>
        <v>Van Der Beken Bart</v>
      </c>
      <c r="F79" s="6">
        <v>45351</v>
      </c>
      <c r="G79" s="5" t="s">
        <v>310</v>
      </c>
      <c r="H79" t="s">
        <v>311</v>
      </c>
      <c r="I79"/>
      <c r="J79" t="e">
        <f>VLOOKUP(bron[[#This Row],[voertuig]],Voertuigen!A:C,3,FALSE)</f>
        <v>#N/A</v>
      </c>
      <c r="K79" t="e">
        <f>VLOOKUP(bron[[#This Row],[voertuig]],Voertuigen!A:C,2,FALSE)</f>
        <v>#N/A</v>
      </c>
      <c r="L79">
        <f>COUNTIF(A:A,bron[[#This Row],[personeelsnr]])</f>
        <v>4</v>
      </c>
    </row>
    <row r="80" spans="1:12" hidden="1" x14ac:dyDescent="0.25">
      <c r="A80">
        <v>38475</v>
      </c>
      <c r="B80" t="str">
        <f>VLOOKUP(bron[[#This Row],[personeelsnr]],[1]Blad1!$A:$H,2,FALSE)</f>
        <v>Verschraegen Katleen</v>
      </c>
      <c r="C80" t="str">
        <f>VLOOKUP(bron[[#This Row],[personeelsnr]],[1]Blad1!$A:$H,3,FALSE)</f>
        <v>Verschraegen</v>
      </c>
      <c r="D80" t="str">
        <f>VLOOKUP(bron[[#This Row],[personeelsnr]],[1]Blad1!$A:$H,4,FALSE)</f>
        <v>Katleen</v>
      </c>
      <c r="E80" s="2" t="str">
        <f>VLOOKUP(bron[[#This Row],[personeelsnr]],[1]Blad1!$A:$H,8,FALSE)</f>
        <v>Dewulf Els</v>
      </c>
      <c r="F80" s="6">
        <v>45351</v>
      </c>
      <c r="G80" s="5" t="s">
        <v>312</v>
      </c>
      <c r="H80" t="s">
        <v>313</v>
      </c>
      <c r="I80"/>
      <c r="J80" t="e">
        <f>VLOOKUP(bron[[#This Row],[voertuig]],Voertuigen!A:C,3,FALSE)</f>
        <v>#N/A</v>
      </c>
      <c r="K80" t="e">
        <f>VLOOKUP(bron[[#This Row],[voertuig]],Voertuigen!A:C,2,FALSE)</f>
        <v>#N/A</v>
      </c>
      <c r="L80">
        <f>COUNTIF(A:A,bron[[#This Row],[personeelsnr]])</f>
        <v>4</v>
      </c>
    </row>
    <row r="81" spans="1:12" hidden="1" x14ac:dyDescent="0.25">
      <c r="A81">
        <v>35709</v>
      </c>
      <c r="B81" t="str">
        <f>VLOOKUP(bron[[#This Row],[personeelsnr]],[1]Blad1!$A:$H,2,FALSE)</f>
        <v>El Gasmi Sami</v>
      </c>
      <c r="C81" t="str">
        <f>VLOOKUP(bron[[#This Row],[personeelsnr]],[1]Blad1!$A:$H,3,FALSE)</f>
        <v>El Gasmi</v>
      </c>
      <c r="D81" t="str">
        <f>VLOOKUP(bron[[#This Row],[personeelsnr]],[1]Blad1!$A:$H,4,FALSE)</f>
        <v>Sami</v>
      </c>
      <c r="E81" s="2" t="str">
        <f>VLOOKUP(bron[[#This Row],[personeelsnr]],[1]Blad1!$A:$H,8,FALSE)</f>
        <v>Vanhoe Els</v>
      </c>
      <c r="F81" s="6">
        <v>45351</v>
      </c>
      <c r="G81" s="5" t="s">
        <v>314</v>
      </c>
      <c r="H81" t="s">
        <v>315</v>
      </c>
      <c r="I81"/>
      <c r="J81" t="e">
        <f>VLOOKUP(bron[[#This Row],[voertuig]],Voertuigen!A:C,3,FALSE)</f>
        <v>#N/A</v>
      </c>
      <c r="K81" t="e">
        <f>VLOOKUP(bron[[#This Row],[voertuig]],Voertuigen!A:C,2,FALSE)</f>
        <v>#N/A</v>
      </c>
      <c r="L81">
        <f>COUNTIF(A:A,bron[[#This Row],[personeelsnr]])</f>
        <v>1</v>
      </c>
    </row>
    <row r="82" spans="1:12" hidden="1" x14ac:dyDescent="0.25">
      <c r="A82">
        <v>21509</v>
      </c>
      <c r="B82" t="str">
        <f>VLOOKUP(bron[[#This Row],[personeelsnr]],[1]Blad1!$A:$H,2,FALSE)</f>
        <v>De Craemer Kris</v>
      </c>
      <c r="C82" t="str">
        <f>VLOOKUP(bron[[#This Row],[personeelsnr]],[1]Blad1!$A:$H,3,FALSE)</f>
        <v>De Craemer</v>
      </c>
      <c r="D82" t="str">
        <f>VLOOKUP(bron[[#This Row],[personeelsnr]],[1]Blad1!$A:$H,4,FALSE)</f>
        <v>Kris</v>
      </c>
      <c r="E82" s="2" t="str">
        <f>VLOOKUP(bron[[#This Row],[personeelsnr]],[1]Blad1!$A:$H,8,FALSE)</f>
        <v>De Clercq Dominique</v>
      </c>
      <c r="F82" s="6">
        <v>45351</v>
      </c>
      <c r="G82" s="5" t="s">
        <v>316</v>
      </c>
      <c r="H82" t="s">
        <v>76</v>
      </c>
      <c r="I82"/>
      <c r="J82" t="e">
        <f>VLOOKUP(bron[[#This Row],[voertuig]],Voertuigen!A:C,3,FALSE)</f>
        <v>#N/A</v>
      </c>
      <c r="K82" t="e">
        <f>VLOOKUP(bron[[#This Row],[voertuig]],Voertuigen!A:C,2,FALSE)</f>
        <v>#N/A</v>
      </c>
      <c r="L82">
        <f>COUNTIF(A:A,bron[[#This Row],[personeelsnr]])</f>
        <v>6</v>
      </c>
    </row>
    <row r="83" spans="1:12" hidden="1" x14ac:dyDescent="0.25">
      <c r="A83">
        <v>36626</v>
      </c>
      <c r="B83" t="str">
        <f>VLOOKUP(bron[[#This Row],[personeelsnr]],[1]Blad1!$A:$H,2,FALSE)</f>
        <v>Kartal Kadir</v>
      </c>
      <c r="C83" t="str">
        <f>VLOOKUP(bron[[#This Row],[personeelsnr]],[1]Blad1!$A:$H,3,FALSE)</f>
        <v>Kartal</v>
      </c>
      <c r="D83" t="str">
        <f>VLOOKUP(bron[[#This Row],[personeelsnr]],[1]Blad1!$A:$H,4,FALSE)</f>
        <v>Kadir</v>
      </c>
      <c r="E83" s="2" t="str">
        <f>VLOOKUP(bron[[#This Row],[personeelsnr]],[1]Blad1!$A:$H,8,FALSE)</f>
        <v>Dewulf Els</v>
      </c>
      <c r="F83" s="6">
        <v>45352</v>
      </c>
      <c r="G83" s="5" t="s">
        <v>317</v>
      </c>
      <c r="H83" t="s">
        <v>90</v>
      </c>
      <c r="I83"/>
      <c r="J83" t="e">
        <f>VLOOKUP(bron[[#This Row],[voertuig]],Voertuigen!A:C,3,FALSE)</f>
        <v>#N/A</v>
      </c>
      <c r="K83" t="e">
        <f>VLOOKUP(bron[[#This Row],[voertuig]],Voertuigen!A:C,2,FALSE)</f>
        <v>#N/A</v>
      </c>
      <c r="L83">
        <f>COUNTIF(A:A,bron[[#This Row],[personeelsnr]])</f>
        <v>10</v>
      </c>
    </row>
    <row r="84" spans="1:12" hidden="1" x14ac:dyDescent="0.25">
      <c r="A84">
        <v>36627</v>
      </c>
      <c r="B84" t="str">
        <f>VLOOKUP(bron[[#This Row],[personeelsnr]],[1]Blad1!$A:$H,2,FALSE)</f>
        <v>Dobbelaere David</v>
      </c>
      <c r="C84" t="str">
        <f>VLOOKUP(bron[[#This Row],[personeelsnr]],[1]Blad1!$A:$H,3,FALSE)</f>
        <v>Dobbelaere</v>
      </c>
      <c r="D84" t="str">
        <f>VLOOKUP(bron[[#This Row],[personeelsnr]],[1]Blad1!$A:$H,4,FALSE)</f>
        <v>David</v>
      </c>
      <c r="E84" s="2" t="str">
        <f>VLOOKUP(bron[[#This Row],[personeelsnr]],[1]Blad1!$A:$H,8,FALSE)</f>
        <v>Dewulf Els</v>
      </c>
      <c r="F84" s="6">
        <v>45352</v>
      </c>
      <c r="G84" s="5" t="s">
        <v>318</v>
      </c>
      <c r="H84" t="s">
        <v>31</v>
      </c>
      <c r="I84"/>
      <c r="J84" t="e">
        <f>VLOOKUP(bron[[#This Row],[voertuig]],Voertuigen!A:C,3,FALSE)</f>
        <v>#N/A</v>
      </c>
      <c r="K84" t="e">
        <f>VLOOKUP(bron[[#This Row],[voertuig]],Voertuigen!A:C,2,FALSE)</f>
        <v>#N/A</v>
      </c>
      <c r="L84">
        <f>COUNTIF(A:A,bron[[#This Row],[personeelsnr]])</f>
        <v>5</v>
      </c>
    </row>
    <row r="85" spans="1:12" hidden="1" x14ac:dyDescent="0.25">
      <c r="A85">
        <v>36275</v>
      </c>
      <c r="B85" t="str">
        <f>VLOOKUP(bron[[#This Row],[personeelsnr]],[1]Blad1!$A:$H,2,FALSE)</f>
        <v>Acosta Salinas Benigna</v>
      </c>
      <c r="C85" t="str">
        <f>VLOOKUP(bron[[#This Row],[personeelsnr]],[1]Blad1!$A:$H,3,FALSE)</f>
        <v>Acosta Salinas</v>
      </c>
      <c r="D85" t="str">
        <f>VLOOKUP(bron[[#This Row],[personeelsnr]],[1]Blad1!$A:$H,4,FALSE)</f>
        <v>Benigna</v>
      </c>
      <c r="E85" s="2" t="str">
        <f>VLOOKUP(bron[[#This Row],[personeelsnr]],[1]Blad1!$A:$H,8,FALSE)</f>
        <v>De Clercq Dominique</v>
      </c>
      <c r="F85" s="6">
        <v>45352</v>
      </c>
      <c r="G85" s="5" t="s">
        <v>319</v>
      </c>
      <c r="H85" t="s">
        <v>8</v>
      </c>
      <c r="I85"/>
      <c r="J85" t="e">
        <f>VLOOKUP(bron[[#This Row],[voertuig]],Voertuigen!A:C,3,FALSE)</f>
        <v>#N/A</v>
      </c>
      <c r="K85" t="e">
        <f>VLOOKUP(bron[[#This Row],[voertuig]],Voertuigen!A:C,2,FALSE)</f>
        <v>#N/A</v>
      </c>
      <c r="L85">
        <f>COUNTIF(A:A,bron[[#This Row],[personeelsnr]])</f>
        <v>2</v>
      </c>
    </row>
    <row r="86" spans="1:12" hidden="1" x14ac:dyDescent="0.25">
      <c r="A86">
        <v>39013</v>
      </c>
      <c r="B86" t="str">
        <f>VLOOKUP(bron[[#This Row],[personeelsnr]],[1]Blad1!$A:$H,2,FALSE)</f>
        <v>Asrih Habib</v>
      </c>
      <c r="C86" t="str">
        <f>VLOOKUP(bron[[#This Row],[personeelsnr]],[1]Blad1!$A:$H,3,FALSE)</f>
        <v>Asrih</v>
      </c>
      <c r="D86" t="str">
        <f>VLOOKUP(bron[[#This Row],[personeelsnr]],[1]Blad1!$A:$H,4,FALSE)</f>
        <v>Habib</v>
      </c>
      <c r="E86" s="2" t="str">
        <f>VLOOKUP(bron[[#This Row],[personeelsnr]],[1]Blad1!$A:$H,8,FALSE)</f>
        <v>Dewulf Els</v>
      </c>
      <c r="F86" s="6">
        <v>45352</v>
      </c>
      <c r="G86" s="5" t="s">
        <v>320</v>
      </c>
      <c r="H86" t="s">
        <v>313</v>
      </c>
      <c r="I86"/>
      <c r="J86" t="e">
        <f>VLOOKUP(bron[[#This Row],[voertuig]],Voertuigen!A:C,3,FALSE)</f>
        <v>#N/A</v>
      </c>
      <c r="K86" t="e">
        <f>VLOOKUP(bron[[#This Row],[voertuig]],Voertuigen!A:C,2,FALSE)</f>
        <v>#N/A</v>
      </c>
      <c r="L86">
        <f>COUNTIF(A:A,bron[[#This Row],[personeelsnr]])</f>
        <v>3</v>
      </c>
    </row>
    <row r="87" spans="1:12" hidden="1" x14ac:dyDescent="0.25">
      <c r="A87">
        <v>20653</v>
      </c>
      <c r="B87" t="str">
        <f>VLOOKUP(bron[[#This Row],[personeelsnr]],[1]Blad1!$A:$H,2,FALSE)</f>
        <v>Mestdag Marius</v>
      </c>
      <c r="C87" t="str">
        <f>VLOOKUP(bron[[#This Row],[personeelsnr]],[1]Blad1!$A:$H,3,FALSE)</f>
        <v>Mestdag</v>
      </c>
      <c r="D87" t="str">
        <f>VLOOKUP(bron[[#This Row],[personeelsnr]],[1]Blad1!$A:$H,4,FALSE)</f>
        <v>Marius</v>
      </c>
      <c r="E87" s="2" t="str">
        <f>VLOOKUP(bron[[#This Row],[personeelsnr]],[1]Blad1!$A:$H,8,FALSE)</f>
        <v>Van Der Beken Bart</v>
      </c>
      <c r="F87" s="6">
        <v>45352</v>
      </c>
      <c r="G87" s="5" t="s">
        <v>321</v>
      </c>
      <c r="H87" t="s">
        <v>322</v>
      </c>
      <c r="I87"/>
      <c r="J87" t="e">
        <f>VLOOKUP(bron[[#This Row],[voertuig]],Voertuigen!A:C,3,FALSE)</f>
        <v>#N/A</v>
      </c>
      <c r="K87" t="e">
        <f>VLOOKUP(bron[[#This Row],[voertuig]],Voertuigen!A:C,2,FALSE)</f>
        <v>#N/A</v>
      </c>
      <c r="L87">
        <f>COUNTIF(A:A,bron[[#This Row],[personeelsnr]])</f>
        <v>3</v>
      </c>
    </row>
    <row r="88" spans="1:12" hidden="1" x14ac:dyDescent="0.25">
      <c r="A88">
        <v>39014</v>
      </c>
      <c r="B88" t="str">
        <f>VLOOKUP(bron[[#This Row],[personeelsnr]],[1]Blad1!$A:$H,2,FALSE)</f>
        <v>Genbrugge Kyllian</v>
      </c>
      <c r="C88" t="str">
        <f>VLOOKUP(bron[[#This Row],[personeelsnr]],[1]Blad1!$A:$H,3,FALSE)</f>
        <v>Genbrugge</v>
      </c>
      <c r="D88" t="str">
        <f>VLOOKUP(bron[[#This Row],[personeelsnr]],[1]Blad1!$A:$H,4,FALSE)</f>
        <v>Kyllian</v>
      </c>
      <c r="E88" s="2" t="str">
        <f>VLOOKUP(bron[[#This Row],[personeelsnr]],[1]Blad1!$A:$H,8,FALSE)</f>
        <v>Van Der Beken Bart</v>
      </c>
      <c r="F88" s="6">
        <v>45353</v>
      </c>
      <c r="G88" s="5" t="s">
        <v>323</v>
      </c>
      <c r="H88" t="s">
        <v>270</v>
      </c>
      <c r="I88"/>
      <c r="J88" t="e">
        <f>VLOOKUP(bron[[#This Row],[voertuig]],Voertuigen!A:C,3,FALSE)</f>
        <v>#N/A</v>
      </c>
      <c r="K88" t="e">
        <f>VLOOKUP(bron[[#This Row],[voertuig]],Voertuigen!A:C,2,FALSE)</f>
        <v>#N/A</v>
      </c>
      <c r="L88">
        <f>COUNTIF(A:A,bron[[#This Row],[personeelsnr]])</f>
        <v>3</v>
      </c>
    </row>
    <row r="89" spans="1:12" hidden="1" x14ac:dyDescent="0.25">
      <c r="A89">
        <v>39929</v>
      </c>
      <c r="B89" t="str">
        <f>VLOOKUP(bron[[#This Row],[personeelsnr]],[1]Blad1!$A:$H,2,FALSE)</f>
        <v>Staneva Mariyana</v>
      </c>
      <c r="C89" t="str">
        <f>VLOOKUP(bron[[#This Row],[personeelsnr]],[1]Blad1!$A:$H,3,FALSE)</f>
        <v>Staneva</v>
      </c>
      <c r="D89" t="str">
        <f>VLOOKUP(bron[[#This Row],[personeelsnr]],[1]Blad1!$A:$H,4,FALSE)</f>
        <v>Mariyana</v>
      </c>
      <c r="E89" s="2" t="str">
        <f>VLOOKUP(bron[[#This Row],[personeelsnr]],[1]Blad1!$A:$H,8,FALSE)</f>
        <v>Rotty Christoff</v>
      </c>
      <c r="F89" s="6">
        <v>45353</v>
      </c>
      <c r="G89" s="5" t="s">
        <v>324</v>
      </c>
      <c r="H89" t="s">
        <v>8</v>
      </c>
      <c r="I89"/>
      <c r="J89" t="e">
        <f>VLOOKUP(bron[[#This Row],[voertuig]],Voertuigen!A:C,3,FALSE)</f>
        <v>#N/A</v>
      </c>
      <c r="K89" t="e">
        <f>VLOOKUP(bron[[#This Row],[voertuig]],Voertuigen!A:C,2,FALSE)</f>
        <v>#N/A</v>
      </c>
      <c r="L89">
        <f>COUNTIF(A:A,bron[[#This Row],[personeelsnr]])</f>
        <v>9</v>
      </c>
    </row>
    <row r="90" spans="1:12" hidden="1" x14ac:dyDescent="0.25">
      <c r="A90">
        <v>27186</v>
      </c>
      <c r="B90" t="str">
        <f>VLOOKUP(bron[[#This Row],[personeelsnr]],[1]Blad1!$A:$H,2,FALSE)</f>
        <v>Neghli Farid</v>
      </c>
      <c r="C90" t="str">
        <f>VLOOKUP(bron[[#This Row],[personeelsnr]],[1]Blad1!$A:$H,3,FALSE)</f>
        <v>Neghli</v>
      </c>
      <c r="D90" t="str">
        <f>VLOOKUP(bron[[#This Row],[personeelsnr]],[1]Blad1!$A:$H,4,FALSE)</f>
        <v>Farid</v>
      </c>
      <c r="E90" s="2" t="str">
        <f>VLOOKUP(bron[[#This Row],[personeelsnr]],[1]Blad1!$A:$H,8,FALSE)</f>
        <v>Rotty Christoff</v>
      </c>
      <c r="F90" s="6">
        <v>45356</v>
      </c>
      <c r="G90" s="5" t="s">
        <v>325</v>
      </c>
      <c r="H90" t="s">
        <v>270</v>
      </c>
      <c r="I90"/>
      <c r="J90" t="e">
        <f>VLOOKUP(bron[[#This Row],[voertuig]],Voertuigen!A:C,3,FALSE)</f>
        <v>#N/A</v>
      </c>
      <c r="K90" t="e">
        <f>VLOOKUP(bron[[#This Row],[voertuig]],Voertuigen!A:C,2,FALSE)</f>
        <v>#N/A</v>
      </c>
      <c r="L90">
        <f>COUNTIF(A:A,bron[[#This Row],[personeelsnr]])</f>
        <v>2</v>
      </c>
    </row>
    <row r="91" spans="1:12" hidden="1" x14ac:dyDescent="0.25">
      <c r="A91">
        <v>39633</v>
      </c>
      <c r="B91" t="e">
        <f>VLOOKUP(bron[[#This Row],[personeelsnr]],[1]Blad1!$A:$H,2,FALSE)</f>
        <v>#N/A</v>
      </c>
      <c r="C91" t="e">
        <f>VLOOKUP(bron[[#This Row],[personeelsnr]],[1]Blad1!$A:$H,3,FALSE)</f>
        <v>#N/A</v>
      </c>
      <c r="D91" t="e">
        <f>VLOOKUP(bron[[#This Row],[personeelsnr]],[1]Blad1!$A:$H,4,FALSE)</f>
        <v>#N/A</v>
      </c>
      <c r="E91" s="2" t="s">
        <v>221</v>
      </c>
      <c r="F91" s="6">
        <v>45356</v>
      </c>
      <c r="G91" s="5" t="s">
        <v>326</v>
      </c>
      <c r="H91" t="s">
        <v>73</v>
      </c>
      <c r="I91"/>
      <c r="J91" t="e">
        <f>VLOOKUP(bron[[#This Row],[voertuig]],Voertuigen!A:C,3,FALSE)</f>
        <v>#N/A</v>
      </c>
      <c r="K91" t="e">
        <f>VLOOKUP(bron[[#This Row],[voertuig]],Voertuigen!A:C,2,FALSE)</f>
        <v>#N/A</v>
      </c>
      <c r="L91">
        <f>COUNTIF(A:A,bron[[#This Row],[personeelsnr]])</f>
        <v>2</v>
      </c>
    </row>
    <row r="92" spans="1:12" hidden="1" x14ac:dyDescent="0.25">
      <c r="A92">
        <v>38648</v>
      </c>
      <c r="B92" t="str">
        <f>VLOOKUP(bron[[#This Row],[personeelsnr]],[1]Blad1!$A:$H,2,FALSE)</f>
        <v>Uckuyulu Muhammet Emin</v>
      </c>
      <c r="C92" t="str">
        <f>VLOOKUP(bron[[#This Row],[personeelsnr]],[1]Blad1!$A:$H,3,FALSE)</f>
        <v>Uckuyulu</v>
      </c>
      <c r="D92" t="str">
        <f>VLOOKUP(bron[[#This Row],[personeelsnr]],[1]Blad1!$A:$H,4,FALSE)</f>
        <v>Muhammet Emin</v>
      </c>
      <c r="E92" s="2" t="str">
        <f>VLOOKUP(bron[[#This Row],[personeelsnr]],[1]Blad1!$A:$H,8,FALSE)</f>
        <v>Van De Velde Lucie</v>
      </c>
      <c r="F92" s="6">
        <v>45356</v>
      </c>
      <c r="G92" s="5" t="s">
        <v>327</v>
      </c>
      <c r="H92" t="s">
        <v>12</v>
      </c>
      <c r="I92"/>
      <c r="J92" t="e">
        <f>VLOOKUP(bron[[#This Row],[voertuig]],Voertuigen!A:C,3,FALSE)</f>
        <v>#N/A</v>
      </c>
      <c r="K92" t="e">
        <f>VLOOKUP(bron[[#This Row],[voertuig]],Voertuigen!A:C,2,FALSE)</f>
        <v>#N/A</v>
      </c>
      <c r="L92">
        <f>COUNTIF(A:A,bron[[#This Row],[personeelsnr]])</f>
        <v>4</v>
      </c>
    </row>
    <row r="93" spans="1:12" hidden="1" x14ac:dyDescent="0.25">
      <c r="A93">
        <v>33965</v>
      </c>
      <c r="B93" t="e">
        <f>VLOOKUP(bron[[#This Row],[personeelsnr]],[1]Blad1!$A:$H,2,FALSE)</f>
        <v>#N/A</v>
      </c>
      <c r="C93" t="e">
        <f>VLOOKUP(bron[[#This Row],[personeelsnr]],[1]Blad1!$A:$H,3,FALSE)</f>
        <v>#N/A</v>
      </c>
      <c r="D93" t="e">
        <f>VLOOKUP(bron[[#This Row],[personeelsnr]],[1]Blad1!$A:$H,4,FALSE)</f>
        <v>#N/A</v>
      </c>
      <c r="E93" s="2" t="s">
        <v>221</v>
      </c>
      <c r="F93" s="6">
        <v>45356</v>
      </c>
      <c r="G93" s="5" t="s">
        <v>328</v>
      </c>
      <c r="H93" t="s">
        <v>34</v>
      </c>
      <c r="I93"/>
      <c r="J93" t="e">
        <f>VLOOKUP(bron[[#This Row],[voertuig]],Voertuigen!A:C,3,FALSE)</f>
        <v>#N/A</v>
      </c>
      <c r="K93" t="e">
        <f>VLOOKUP(bron[[#This Row],[voertuig]],Voertuigen!A:C,2,FALSE)</f>
        <v>#N/A</v>
      </c>
      <c r="L93">
        <f>COUNTIF(A:A,bron[[#This Row],[personeelsnr]])</f>
        <v>10</v>
      </c>
    </row>
    <row r="94" spans="1:12" hidden="1" x14ac:dyDescent="0.25">
      <c r="A94">
        <v>37543</v>
      </c>
      <c r="B94" t="str">
        <f>VLOOKUP(bron[[#This Row],[personeelsnr]],[1]Blad1!$A:$H,2,FALSE)</f>
        <v>Öztürk Bilgehan</v>
      </c>
      <c r="C94" t="str">
        <f>VLOOKUP(bron[[#This Row],[personeelsnr]],[1]Blad1!$A:$H,3,FALSE)</f>
        <v>Öztürk</v>
      </c>
      <c r="D94" t="str">
        <f>VLOOKUP(bron[[#This Row],[personeelsnr]],[1]Blad1!$A:$H,4,FALSE)</f>
        <v>Bilgehan</v>
      </c>
      <c r="E94" s="2" t="str">
        <f>VLOOKUP(bron[[#This Row],[personeelsnr]],[1]Blad1!$A:$H,8,FALSE)</f>
        <v>De Rick Kenneth</v>
      </c>
      <c r="F94" s="6">
        <v>45356</v>
      </c>
      <c r="G94" s="5" t="s">
        <v>329</v>
      </c>
      <c r="H94" t="s">
        <v>46</v>
      </c>
      <c r="I94"/>
      <c r="J94" t="e">
        <f>VLOOKUP(bron[[#This Row],[voertuig]],Voertuigen!A:C,3,FALSE)</f>
        <v>#N/A</v>
      </c>
      <c r="K94" t="e">
        <f>VLOOKUP(bron[[#This Row],[voertuig]],Voertuigen!A:C,2,FALSE)</f>
        <v>#N/A</v>
      </c>
      <c r="L94">
        <f>COUNTIF(A:A,bron[[#This Row],[personeelsnr]])</f>
        <v>6</v>
      </c>
    </row>
    <row r="95" spans="1:12" hidden="1" x14ac:dyDescent="0.25">
      <c r="A95">
        <v>39712</v>
      </c>
      <c r="B95" t="str">
        <f>VLOOKUP(bron[[#This Row],[personeelsnr]],[1]Blad1!$A:$H,2,FALSE)</f>
        <v>Repaj Ramazan</v>
      </c>
      <c r="C95" t="str">
        <f>VLOOKUP(bron[[#This Row],[personeelsnr]],[1]Blad1!$A:$H,3,FALSE)</f>
        <v>Repaj</v>
      </c>
      <c r="D95" t="str">
        <f>VLOOKUP(bron[[#This Row],[personeelsnr]],[1]Blad1!$A:$H,4,FALSE)</f>
        <v>Ramazan</v>
      </c>
      <c r="E95" s="2" t="str">
        <f>VLOOKUP(bron[[#This Row],[personeelsnr]],[1]Blad1!$A:$H,8,FALSE)</f>
        <v>Van Der Beken Bart</v>
      </c>
      <c r="F95" s="6">
        <v>45356</v>
      </c>
      <c r="G95" s="5" t="s">
        <v>330</v>
      </c>
      <c r="H95" t="s">
        <v>331</v>
      </c>
      <c r="I95"/>
      <c r="J95" t="e">
        <f>VLOOKUP(bron[[#This Row],[voertuig]],Voertuigen!A:C,3,FALSE)</f>
        <v>#N/A</v>
      </c>
      <c r="K95" t="e">
        <f>VLOOKUP(bron[[#This Row],[voertuig]],Voertuigen!A:C,2,FALSE)</f>
        <v>#N/A</v>
      </c>
      <c r="L95">
        <f>COUNTIF(A:A,bron[[#This Row],[personeelsnr]])</f>
        <v>5</v>
      </c>
    </row>
    <row r="96" spans="1:12" hidden="1" x14ac:dyDescent="0.25">
      <c r="A96">
        <v>35463</v>
      </c>
      <c r="B96" t="str">
        <f>VLOOKUP(bron[[#This Row],[personeelsnr]],[1]Blad1!$A:$H,2,FALSE)</f>
        <v>Vandaele Tom</v>
      </c>
      <c r="C96" t="str">
        <f>VLOOKUP(bron[[#This Row],[personeelsnr]],[1]Blad1!$A:$H,3,FALSE)</f>
        <v>Vandaele</v>
      </c>
      <c r="D96" t="str">
        <f>VLOOKUP(bron[[#This Row],[personeelsnr]],[1]Blad1!$A:$H,4,FALSE)</f>
        <v>Tom</v>
      </c>
      <c r="E96" s="2" t="str">
        <f>VLOOKUP(bron[[#This Row],[personeelsnr]],[1]Blad1!$A:$H,8,FALSE)</f>
        <v>De Clercq Dominique</v>
      </c>
      <c r="F96" s="6">
        <v>45357</v>
      </c>
      <c r="G96" s="5" t="s">
        <v>332</v>
      </c>
      <c r="H96" t="s">
        <v>25</v>
      </c>
      <c r="I96"/>
      <c r="J96" t="e">
        <f>VLOOKUP(bron[[#This Row],[voertuig]],Voertuigen!A:C,3,FALSE)</f>
        <v>#N/A</v>
      </c>
      <c r="K96" t="e">
        <f>VLOOKUP(bron[[#This Row],[voertuig]],Voertuigen!A:C,2,FALSE)</f>
        <v>#N/A</v>
      </c>
      <c r="L96">
        <f>COUNTIF(A:A,bron[[#This Row],[personeelsnr]])</f>
        <v>4</v>
      </c>
    </row>
    <row r="97" spans="1:12" hidden="1" x14ac:dyDescent="0.25">
      <c r="A97">
        <v>9999</v>
      </c>
      <c r="B97" t="e">
        <f>VLOOKUP(bron[[#This Row],[personeelsnr]],[1]Blad1!$A:$H,2,FALSE)</f>
        <v>#N/A</v>
      </c>
      <c r="C97" t="e">
        <f>VLOOKUP(bron[[#This Row],[personeelsnr]],[1]Blad1!$A:$H,3,FALSE)</f>
        <v>#N/A</v>
      </c>
      <c r="D97" t="e">
        <f>VLOOKUP(bron[[#This Row],[personeelsnr]],[1]Blad1!$A:$H,4,FALSE)</f>
        <v>#N/A</v>
      </c>
      <c r="E97" s="2" t="s">
        <v>221</v>
      </c>
      <c r="F97" s="6">
        <v>45357</v>
      </c>
      <c r="G97" s="5" t="s">
        <v>333</v>
      </c>
      <c r="H97" t="s">
        <v>25</v>
      </c>
      <c r="I97"/>
      <c r="J97" t="e">
        <f>VLOOKUP(bron[[#This Row],[voertuig]],Voertuigen!A:C,3,FALSE)</f>
        <v>#N/A</v>
      </c>
      <c r="K97" t="e">
        <f>VLOOKUP(bron[[#This Row],[voertuig]],Voertuigen!A:C,2,FALSE)</f>
        <v>#N/A</v>
      </c>
      <c r="L97">
        <f>COUNTIF(A:A,bron[[#This Row],[personeelsnr]])</f>
        <v>59</v>
      </c>
    </row>
    <row r="98" spans="1:12" hidden="1" x14ac:dyDescent="0.25">
      <c r="A98">
        <v>37543</v>
      </c>
      <c r="B98" t="str">
        <f>VLOOKUP(bron[[#This Row],[personeelsnr]],[1]Blad1!$A:$H,2,FALSE)</f>
        <v>Öztürk Bilgehan</v>
      </c>
      <c r="C98" t="str">
        <f>VLOOKUP(bron[[#This Row],[personeelsnr]],[1]Blad1!$A:$H,3,FALSE)</f>
        <v>Öztürk</v>
      </c>
      <c r="D98" t="str">
        <f>VLOOKUP(bron[[#This Row],[personeelsnr]],[1]Blad1!$A:$H,4,FALSE)</f>
        <v>Bilgehan</v>
      </c>
      <c r="E98" s="2" t="str">
        <f>VLOOKUP(bron[[#This Row],[personeelsnr]],[1]Blad1!$A:$H,8,FALSE)</f>
        <v>De Rick Kenneth</v>
      </c>
      <c r="F98" s="6">
        <v>45359</v>
      </c>
      <c r="G98" s="5" t="s">
        <v>334</v>
      </c>
      <c r="H98" t="s">
        <v>335</v>
      </c>
      <c r="I98"/>
      <c r="J98" t="e">
        <f>VLOOKUP(bron[[#This Row],[voertuig]],Voertuigen!A:C,3,FALSE)</f>
        <v>#N/A</v>
      </c>
      <c r="K98" t="e">
        <f>VLOOKUP(bron[[#This Row],[voertuig]],Voertuigen!A:C,2,FALSE)</f>
        <v>#N/A</v>
      </c>
      <c r="L98">
        <f>COUNTIF(A:A,bron[[#This Row],[personeelsnr]])</f>
        <v>6</v>
      </c>
    </row>
    <row r="99" spans="1:12" hidden="1" x14ac:dyDescent="0.25">
      <c r="A99">
        <v>39929</v>
      </c>
      <c r="B99" t="str">
        <f>VLOOKUP(bron[[#This Row],[personeelsnr]],[1]Blad1!$A:$H,2,FALSE)</f>
        <v>Staneva Mariyana</v>
      </c>
      <c r="C99" t="str">
        <f>VLOOKUP(bron[[#This Row],[personeelsnr]],[1]Blad1!$A:$H,3,FALSE)</f>
        <v>Staneva</v>
      </c>
      <c r="D99" t="str">
        <f>VLOOKUP(bron[[#This Row],[personeelsnr]],[1]Blad1!$A:$H,4,FALSE)</f>
        <v>Mariyana</v>
      </c>
      <c r="E99" s="2" t="str">
        <f>VLOOKUP(bron[[#This Row],[personeelsnr]],[1]Blad1!$A:$H,8,FALSE)</f>
        <v>Rotty Christoff</v>
      </c>
      <c r="F99" s="6">
        <v>45359</v>
      </c>
      <c r="G99" s="5" t="s">
        <v>336</v>
      </c>
      <c r="H99" t="s">
        <v>337</v>
      </c>
      <c r="I99"/>
      <c r="J99" t="e">
        <f>VLOOKUP(bron[[#This Row],[voertuig]],Voertuigen!A:C,3,FALSE)</f>
        <v>#N/A</v>
      </c>
      <c r="K99" t="e">
        <f>VLOOKUP(bron[[#This Row],[voertuig]],Voertuigen!A:C,2,FALSE)</f>
        <v>#N/A</v>
      </c>
      <c r="L99">
        <f>COUNTIF(A:A,bron[[#This Row],[personeelsnr]])</f>
        <v>9</v>
      </c>
    </row>
    <row r="100" spans="1:12" hidden="1" x14ac:dyDescent="0.25">
      <c r="A100">
        <v>32951</v>
      </c>
      <c r="B100" t="str">
        <f>VLOOKUP(bron[[#This Row],[personeelsnr]],[1]Blad1!$A:$H,2,FALSE)</f>
        <v>De Bruyne Sonia</v>
      </c>
      <c r="C100" t="str">
        <f>VLOOKUP(bron[[#This Row],[personeelsnr]],[1]Blad1!$A:$H,3,FALSE)</f>
        <v>De Bruyne</v>
      </c>
      <c r="D100" t="str">
        <f>VLOOKUP(bron[[#This Row],[personeelsnr]],[1]Blad1!$A:$H,4,FALSE)</f>
        <v>Sonia</v>
      </c>
      <c r="E100" s="2" t="str">
        <f>VLOOKUP(bron[[#This Row],[personeelsnr]],[1]Blad1!$A:$H,8,FALSE)</f>
        <v>Van De Velde Lucie</v>
      </c>
      <c r="F100" s="6">
        <v>45359</v>
      </c>
      <c r="G100" s="5" t="s">
        <v>338</v>
      </c>
      <c r="H100" t="s">
        <v>11</v>
      </c>
      <c r="I100"/>
      <c r="J100" t="e">
        <f>VLOOKUP(bron[[#This Row],[voertuig]],Voertuigen!A:C,3,FALSE)</f>
        <v>#N/A</v>
      </c>
      <c r="K100" t="e">
        <f>VLOOKUP(bron[[#This Row],[voertuig]],Voertuigen!A:C,2,FALSE)</f>
        <v>#N/A</v>
      </c>
      <c r="L100">
        <f>COUNTIF(A:A,bron[[#This Row],[personeelsnr]])</f>
        <v>6</v>
      </c>
    </row>
    <row r="101" spans="1:12" hidden="1" x14ac:dyDescent="0.25">
      <c r="A101">
        <v>8394</v>
      </c>
      <c r="B101" t="str">
        <f>VLOOKUP(bron[[#This Row],[personeelsnr]],[1]Blad1!$A:$H,2,FALSE)</f>
        <v>Smet Antoon</v>
      </c>
      <c r="C101" t="str">
        <f>VLOOKUP(bron[[#This Row],[personeelsnr]],[1]Blad1!$A:$H,3,FALSE)</f>
        <v>Smet</v>
      </c>
      <c r="D101" t="str">
        <f>VLOOKUP(bron[[#This Row],[personeelsnr]],[1]Blad1!$A:$H,4,FALSE)</f>
        <v>Antoon</v>
      </c>
      <c r="E101" s="2" t="str">
        <f>VLOOKUP(bron[[#This Row],[personeelsnr]],[1]Blad1!$A:$H,8,FALSE)</f>
        <v>Van De Velde Lucie</v>
      </c>
      <c r="F101" s="6">
        <v>45360</v>
      </c>
      <c r="G101" s="5" t="s">
        <v>339</v>
      </c>
      <c r="H101" t="s">
        <v>87</v>
      </c>
      <c r="I101"/>
      <c r="J101" t="e">
        <f>VLOOKUP(bron[[#This Row],[voertuig]],Voertuigen!A:C,3,FALSE)</f>
        <v>#N/A</v>
      </c>
      <c r="K101" t="e">
        <f>VLOOKUP(bron[[#This Row],[voertuig]],Voertuigen!A:C,2,FALSE)</f>
        <v>#N/A</v>
      </c>
      <c r="L101">
        <f>COUNTIF(A:A,bron[[#This Row],[personeelsnr]])</f>
        <v>4</v>
      </c>
    </row>
    <row r="102" spans="1:12" hidden="1" x14ac:dyDescent="0.25">
      <c r="A102">
        <v>15628</v>
      </c>
      <c r="B102" t="str">
        <f>VLOOKUP(bron[[#This Row],[personeelsnr]],[1]Blad1!$A:$H,2,FALSE)</f>
        <v>Wulfranck Dominique</v>
      </c>
      <c r="C102" t="str">
        <f>VLOOKUP(bron[[#This Row],[personeelsnr]],[1]Blad1!$A:$H,3,FALSE)</f>
        <v>Wulfranck</v>
      </c>
      <c r="D102" t="str">
        <f>VLOOKUP(bron[[#This Row],[personeelsnr]],[1]Blad1!$A:$H,4,FALSE)</f>
        <v>Dominique</v>
      </c>
      <c r="E102" s="2" t="str">
        <f>VLOOKUP(bron[[#This Row],[personeelsnr]],[1]Blad1!$A:$H,8,FALSE)</f>
        <v>De Rick Kenneth</v>
      </c>
      <c r="F102" s="6">
        <v>45363</v>
      </c>
      <c r="G102" s="5" t="s">
        <v>340</v>
      </c>
      <c r="H102" t="s">
        <v>341</v>
      </c>
      <c r="I102"/>
      <c r="J102" t="e">
        <f>VLOOKUP(bron[[#This Row],[voertuig]],Voertuigen!A:C,3,FALSE)</f>
        <v>#N/A</v>
      </c>
      <c r="K102" t="e">
        <f>VLOOKUP(bron[[#This Row],[voertuig]],Voertuigen!A:C,2,FALSE)</f>
        <v>#N/A</v>
      </c>
      <c r="L102">
        <f>COUNTIF(A:A,bron[[#This Row],[personeelsnr]])</f>
        <v>3</v>
      </c>
    </row>
    <row r="103" spans="1:12" hidden="1" x14ac:dyDescent="0.25">
      <c r="A103">
        <v>9999</v>
      </c>
      <c r="B103" t="e">
        <f>VLOOKUP(bron[[#This Row],[personeelsnr]],[1]Blad1!$A:$H,2,FALSE)</f>
        <v>#N/A</v>
      </c>
      <c r="C103" t="e">
        <f>VLOOKUP(bron[[#This Row],[personeelsnr]],[1]Blad1!$A:$H,3,FALSE)</f>
        <v>#N/A</v>
      </c>
      <c r="D103" t="e">
        <f>VLOOKUP(bron[[#This Row],[personeelsnr]],[1]Blad1!$A:$H,4,FALSE)</f>
        <v>#N/A</v>
      </c>
      <c r="E103" s="2" t="s">
        <v>221</v>
      </c>
      <c r="F103" s="6">
        <v>45363</v>
      </c>
      <c r="G103" s="5" t="s">
        <v>342</v>
      </c>
      <c r="H103" t="s">
        <v>343</v>
      </c>
      <c r="I103"/>
      <c r="J103" t="e">
        <f>VLOOKUP(bron[[#This Row],[voertuig]],Voertuigen!A:C,3,FALSE)</f>
        <v>#N/A</v>
      </c>
      <c r="K103" t="e">
        <f>VLOOKUP(bron[[#This Row],[voertuig]],Voertuigen!A:C,2,FALSE)</f>
        <v>#N/A</v>
      </c>
      <c r="L103">
        <f>COUNTIF(A:A,bron[[#This Row],[personeelsnr]])</f>
        <v>59</v>
      </c>
    </row>
    <row r="104" spans="1:12" hidden="1" x14ac:dyDescent="0.25">
      <c r="A104">
        <v>39558</v>
      </c>
      <c r="B104" t="str">
        <f>VLOOKUP(bron[[#This Row],[personeelsnr]],[1]Blad1!$A:$H,2,FALSE)</f>
        <v>De Groote Cedric</v>
      </c>
      <c r="C104" t="str">
        <f>VLOOKUP(bron[[#This Row],[personeelsnr]],[1]Blad1!$A:$H,3,FALSE)</f>
        <v>De Groote</v>
      </c>
      <c r="D104" t="str">
        <f>VLOOKUP(bron[[#This Row],[personeelsnr]],[1]Blad1!$A:$H,4,FALSE)</f>
        <v>Cedric</v>
      </c>
      <c r="E104" s="2" t="str">
        <f>VLOOKUP(bron[[#This Row],[personeelsnr]],[1]Blad1!$A:$H,8,FALSE)</f>
        <v>Storm Steven</v>
      </c>
      <c r="F104" s="6">
        <v>45364</v>
      </c>
      <c r="G104" s="5" t="s">
        <v>344</v>
      </c>
      <c r="H104" t="s">
        <v>14</v>
      </c>
      <c r="I104"/>
      <c r="J104" t="e">
        <f>VLOOKUP(bron[[#This Row],[voertuig]],Voertuigen!A:C,3,FALSE)</f>
        <v>#N/A</v>
      </c>
      <c r="K104" t="e">
        <f>VLOOKUP(bron[[#This Row],[voertuig]],Voertuigen!A:C,2,FALSE)</f>
        <v>#N/A</v>
      </c>
      <c r="L104">
        <f>COUNTIF(A:A,bron[[#This Row],[personeelsnr]])</f>
        <v>2</v>
      </c>
    </row>
    <row r="105" spans="1:12" hidden="1" x14ac:dyDescent="0.25">
      <c r="A105">
        <v>39660</v>
      </c>
      <c r="B105" t="e">
        <f>VLOOKUP(bron[[#This Row],[personeelsnr]],[1]Blad1!$A:$H,2,FALSE)</f>
        <v>#N/A</v>
      </c>
      <c r="C105" t="e">
        <f>VLOOKUP(bron[[#This Row],[personeelsnr]],[1]Blad1!$A:$H,3,FALSE)</f>
        <v>#N/A</v>
      </c>
      <c r="D105" t="e">
        <f>VLOOKUP(bron[[#This Row],[personeelsnr]],[1]Blad1!$A:$H,4,FALSE)</f>
        <v>#N/A</v>
      </c>
      <c r="E105" s="2" t="s">
        <v>221</v>
      </c>
      <c r="F105" s="6">
        <v>45364</v>
      </c>
      <c r="G105" s="5" t="s">
        <v>345</v>
      </c>
      <c r="H105" t="s">
        <v>192</v>
      </c>
      <c r="I105"/>
      <c r="J105" t="e">
        <f>VLOOKUP(bron[[#This Row],[voertuig]],Voertuigen!A:C,3,FALSE)</f>
        <v>#N/A</v>
      </c>
      <c r="K105" t="e">
        <f>VLOOKUP(bron[[#This Row],[voertuig]],Voertuigen!A:C,2,FALSE)</f>
        <v>#N/A</v>
      </c>
      <c r="L105">
        <f>COUNTIF(A:A,bron[[#This Row],[personeelsnr]])</f>
        <v>6</v>
      </c>
    </row>
    <row r="106" spans="1:12" hidden="1" x14ac:dyDescent="0.25">
      <c r="A106">
        <v>36626</v>
      </c>
      <c r="B106" t="str">
        <f>VLOOKUP(bron[[#This Row],[personeelsnr]],[1]Blad1!$A:$H,2,FALSE)</f>
        <v>Kartal Kadir</v>
      </c>
      <c r="C106" t="str">
        <f>VLOOKUP(bron[[#This Row],[personeelsnr]],[1]Blad1!$A:$H,3,FALSE)</f>
        <v>Kartal</v>
      </c>
      <c r="D106" t="str">
        <f>VLOOKUP(bron[[#This Row],[personeelsnr]],[1]Blad1!$A:$H,4,FALSE)</f>
        <v>Kadir</v>
      </c>
      <c r="E106" s="2" t="str">
        <f>VLOOKUP(bron[[#This Row],[personeelsnr]],[1]Blad1!$A:$H,8,FALSE)</f>
        <v>Dewulf Els</v>
      </c>
      <c r="F106" s="6">
        <v>45364</v>
      </c>
      <c r="G106" s="5" t="s">
        <v>346</v>
      </c>
      <c r="H106" t="s">
        <v>102</v>
      </c>
      <c r="I106"/>
      <c r="J106" t="e">
        <f>VLOOKUP(bron[[#This Row],[voertuig]],Voertuigen!A:C,3,FALSE)</f>
        <v>#N/A</v>
      </c>
      <c r="K106" t="e">
        <f>VLOOKUP(bron[[#This Row],[voertuig]],Voertuigen!A:C,2,FALSE)</f>
        <v>#N/A</v>
      </c>
      <c r="L106">
        <f>COUNTIF(A:A,bron[[#This Row],[personeelsnr]])</f>
        <v>10</v>
      </c>
    </row>
    <row r="107" spans="1:12" hidden="1" x14ac:dyDescent="0.25">
      <c r="A107">
        <v>22240</v>
      </c>
      <c r="B107" t="str">
        <f>VLOOKUP(bron[[#This Row],[personeelsnr]],[1]Blad1!$A:$H,2,FALSE)</f>
        <v>Delahaye Karina</v>
      </c>
      <c r="C107" t="str">
        <f>VLOOKUP(bron[[#This Row],[personeelsnr]],[1]Blad1!$A:$H,3,FALSE)</f>
        <v>Delahaye</v>
      </c>
      <c r="D107" t="str">
        <f>VLOOKUP(bron[[#This Row],[personeelsnr]],[1]Blad1!$A:$H,4,FALSE)</f>
        <v>Karina</v>
      </c>
      <c r="E107" s="2" t="str">
        <f>VLOOKUP(bron[[#This Row],[personeelsnr]],[1]Blad1!$A:$H,8,FALSE)</f>
        <v>Dewulf Els</v>
      </c>
      <c r="F107" s="6">
        <v>45364</v>
      </c>
      <c r="G107" s="5" t="s">
        <v>347</v>
      </c>
      <c r="H107" t="s">
        <v>7</v>
      </c>
      <c r="I107"/>
      <c r="J107" t="e">
        <f>VLOOKUP(bron[[#This Row],[voertuig]],Voertuigen!A:C,3,FALSE)</f>
        <v>#N/A</v>
      </c>
      <c r="K107" t="e">
        <f>VLOOKUP(bron[[#This Row],[voertuig]],Voertuigen!A:C,2,FALSE)</f>
        <v>#N/A</v>
      </c>
      <c r="L107">
        <f>COUNTIF(A:A,bron[[#This Row],[personeelsnr]])</f>
        <v>2</v>
      </c>
    </row>
    <row r="108" spans="1:12" hidden="1" x14ac:dyDescent="0.25">
      <c r="A108">
        <v>40200</v>
      </c>
      <c r="B108" t="str">
        <f>VLOOKUP(bron[[#This Row],[personeelsnr]],[1]Blad1!$A:$H,2,FALSE)</f>
        <v>Shahriyari Khalil</v>
      </c>
      <c r="C108" t="str">
        <f>VLOOKUP(bron[[#This Row],[personeelsnr]],[1]Blad1!$A:$H,3,FALSE)</f>
        <v>Shahriyari</v>
      </c>
      <c r="D108" t="str">
        <f>VLOOKUP(bron[[#This Row],[personeelsnr]],[1]Blad1!$A:$H,4,FALSE)</f>
        <v>Khalil</v>
      </c>
      <c r="E108" s="2" t="str">
        <f>VLOOKUP(bron[[#This Row],[personeelsnr]],[1]Blad1!$A:$H,8,FALSE)</f>
        <v>De Clercq Dominique</v>
      </c>
      <c r="F108" s="6">
        <v>45364</v>
      </c>
      <c r="G108" s="5" t="s">
        <v>348</v>
      </c>
      <c r="H108" t="s">
        <v>152</v>
      </c>
      <c r="I108"/>
      <c r="J108" t="e">
        <f>VLOOKUP(bron[[#This Row],[voertuig]],Voertuigen!A:C,3,FALSE)</f>
        <v>#N/A</v>
      </c>
      <c r="K108" t="e">
        <f>VLOOKUP(bron[[#This Row],[voertuig]],Voertuigen!A:C,2,FALSE)</f>
        <v>#N/A</v>
      </c>
      <c r="L108">
        <f>COUNTIF(A:A,bron[[#This Row],[personeelsnr]])</f>
        <v>2</v>
      </c>
    </row>
    <row r="109" spans="1:12" hidden="1" x14ac:dyDescent="0.25">
      <c r="A109">
        <v>26198</v>
      </c>
      <c r="B109" t="str">
        <f>VLOOKUP(bron[[#This Row],[personeelsnr]],[1]Blad1!$A:$H,2,FALSE)</f>
        <v>Justé Steven</v>
      </c>
      <c r="C109" t="str">
        <f>VLOOKUP(bron[[#This Row],[personeelsnr]],[1]Blad1!$A:$H,3,FALSE)</f>
        <v>Justé</v>
      </c>
      <c r="D109" t="str">
        <f>VLOOKUP(bron[[#This Row],[personeelsnr]],[1]Blad1!$A:$H,4,FALSE)</f>
        <v>Steven</v>
      </c>
      <c r="E109" s="2" t="str">
        <f>VLOOKUP(bron[[#This Row],[personeelsnr]],[1]Blad1!$A:$H,8,FALSE)</f>
        <v>De Rick Kenneth</v>
      </c>
      <c r="F109" s="6">
        <v>45365</v>
      </c>
      <c r="G109" s="5" t="s">
        <v>349</v>
      </c>
      <c r="H109" t="s">
        <v>350</v>
      </c>
      <c r="I109"/>
      <c r="J109" t="e">
        <f>VLOOKUP(bron[[#This Row],[voertuig]],Voertuigen!A:C,3,FALSE)</f>
        <v>#N/A</v>
      </c>
      <c r="K109" t="e">
        <f>VLOOKUP(bron[[#This Row],[voertuig]],Voertuigen!A:C,2,FALSE)</f>
        <v>#N/A</v>
      </c>
      <c r="L109">
        <f>COUNTIF(A:A,bron[[#This Row],[personeelsnr]])</f>
        <v>3</v>
      </c>
    </row>
    <row r="110" spans="1:12" hidden="1" x14ac:dyDescent="0.25">
      <c r="A110">
        <v>39146</v>
      </c>
      <c r="B110" t="str">
        <f>VLOOKUP(bron[[#This Row],[personeelsnr]],[1]Blad1!$A:$H,2,FALSE)</f>
        <v>Burrick Alex</v>
      </c>
      <c r="C110" t="str">
        <f>VLOOKUP(bron[[#This Row],[personeelsnr]],[1]Blad1!$A:$H,3,FALSE)</f>
        <v>Burrick</v>
      </c>
      <c r="D110" t="str">
        <f>VLOOKUP(bron[[#This Row],[personeelsnr]],[1]Blad1!$A:$H,4,FALSE)</f>
        <v>Alex</v>
      </c>
      <c r="E110" s="2" t="str">
        <f>VLOOKUP(bron[[#This Row],[personeelsnr]],[1]Blad1!$A:$H,8,FALSE)</f>
        <v>Dewulf Els</v>
      </c>
      <c r="F110" s="6">
        <v>45367</v>
      </c>
      <c r="G110" s="5" t="s">
        <v>351</v>
      </c>
      <c r="H110" t="s">
        <v>10</v>
      </c>
      <c r="I110"/>
      <c r="J110" t="e">
        <f>VLOOKUP(bron[[#This Row],[voertuig]],Voertuigen!A:C,3,FALSE)</f>
        <v>#N/A</v>
      </c>
      <c r="K110" t="e">
        <f>VLOOKUP(bron[[#This Row],[voertuig]],Voertuigen!A:C,2,FALSE)</f>
        <v>#N/A</v>
      </c>
      <c r="L110">
        <f>COUNTIF(A:A,bron[[#This Row],[personeelsnr]])</f>
        <v>3</v>
      </c>
    </row>
    <row r="111" spans="1:12" hidden="1" x14ac:dyDescent="0.25">
      <c r="A111">
        <v>19088</v>
      </c>
      <c r="B111" t="str">
        <f>VLOOKUP(bron[[#This Row],[personeelsnr]],[1]Blad1!$A:$H,2,FALSE)</f>
        <v>Remmery David</v>
      </c>
      <c r="C111" t="str">
        <f>VLOOKUP(bron[[#This Row],[personeelsnr]],[1]Blad1!$A:$H,3,FALSE)</f>
        <v>Remmery</v>
      </c>
      <c r="D111" t="str">
        <f>VLOOKUP(bron[[#This Row],[personeelsnr]],[1]Blad1!$A:$H,4,FALSE)</f>
        <v>David</v>
      </c>
      <c r="E111" s="2" t="str">
        <f>VLOOKUP(bron[[#This Row],[personeelsnr]],[1]Blad1!$A:$H,8,FALSE)</f>
        <v>De Rick Kenneth</v>
      </c>
      <c r="F111" s="6">
        <v>45369</v>
      </c>
      <c r="G111" s="5" t="s">
        <v>352</v>
      </c>
      <c r="H111" t="s">
        <v>20</v>
      </c>
      <c r="I111"/>
      <c r="J111" t="e">
        <f>VLOOKUP(bron[[#This Row],[voertuig]],Voertuigen!A:C,3,FALSE)</f>
        <v>#N/A</v>
      </c>
      <c r="K111" t="e">
        <f>VLOOKUP(bron[[#This Row],[voertuig]],Voertuigen!A:C,2,FALSE)</f>
        <v>#N/A</v>
      </c>
      <c r="L111">
        <f>COUNTIF(A:A,bron[[#This Row],[personeelsnr]])</f>
        <v>1</v>
      </c>
    </row>
    <row r="112" spans="1:12" hidden="1" x14ac:dyDescent="0.25">
      <c r="A112">
        <v>39779</v>
      </c>
      <c r="B112" t="str">
        <f>VLOOKUP(bron[[#This Row],[personeelsnr]],[1]Blad1!$A:$H,2,FALSE)</f>
        <v>Avci Muhammet Abdullah</v>
      </c>
      <c r="C112" t="str">
        <f>VLOOKUP(bron[[#This Row],[personeelsnr]],[1]Blad1!$A:$H,3,FALSE)</f>
        <v>Avci</v>
      </c>
      <c r="D112" t="str">
        <f>VLOOKUP(bron[[#This Row],[personeelsnr]],[1]Blad1!$A:$H,4,FALSE)</f>
        <v>Muhammet Abdullah</v>
      </c>
      <c r="E112" s="2" t="str">
        <f>VLOOKUP(bron[[#This Row],[personeelsnr]],[1]Blad1!$A:$H,8,FALSE)</f>
        <v>Van Der Beken Bart</v>
      </c>
      <c r="F112" s="6">
        <v>45369</v>
      </c>
      <c r="G112" s="5" t="s">
        <v>353</v>
      </c>
      <c r="H112" t="s">
        <v>8</v>
      </c>
      <c r="I112"/>
      <c r="J112" t="e">
        <f>VLOOKUP(bron[[#This Row],[voertuig]],Voertuigen!A:C,3,FALSE)</f>
        <v>#N/A</v>
      </c>
      <c r="K112" t="e">
        <f>VLOOKUP(bron[[#This Row],[voertuig]],Voertuigen!A:C,2,FALSE)</f>
        <v>#N/A</v>
      </c>
      <c r="L112">
        <f>COUNTIF(A:A,bron[[#This Row],[personeelsnr]])</f>
        <v>7</v>
      </c>
    </row>
    <row r="113" spans="1:12" hidden="1" x14ac:dyDescent="0.25">
      <c r="A113">
        <v>32528</v>
      </c>
      <c r="B113" t="str">
        <f>VLOOKUP(bron[[#This Row],[personeelsnr]],[1]Blad1!$A:$H,2,FALSE)</f>
        <v>Benjilali Abdelhak</v>
      </c>
      <c r="C113" t="str">
        <f>VLOOKUP(bron[[#This Row],[personeelsnr]],[1]Blad1!$A:$H,3,FALSE)</f>
        <v>Benjilali</v>
      </c>
      <c r="D113" t="str">
        <f>VLOOKUP(bron[[#This Row],[personeelsnr]],[1]Blad1!$A:$H,4,FALSE)</f>
        <v>Abdelhak</v>
      </c>
      <c r="E113" s="2" t="str">
        <f>VLOOKUP(bron[[#This Row],[personeelsnr]],[1]Blad1!$A:$H,8,FALSE)</f>
        <v>Storm Steven</v>
      </c>
      <c r="F113" s="6">
        <v>45370</v>
      </c>
      <c r="G113" s="5" t="s">
        <v>354</v>
      </c>
      <c r="H113" t="s">
        <v>22</v>
      </c>
      <c r="I113"/>
      <c r="J113" t="e">
        <f>VLOOKUP(bron[[#This Row],[voertuig]],Voertuigen!A:C,3,FALSE)</f>
        <v>#N/A</v>
      </c>
      <c r="K113" t="e">
        <f>VLOOKUP(bron[[#This Row],[voertuig]],Voertuigen!A:C,2,FALSE)</f>
        <v>#N/A</v>
      </c>
      <c r="L113">
        <f>COUNTIF(A:A,bron[[#This Row],[personeelsnr]])</f>
        <v>2</v>
      </c>
    </row>
    <row r="114" spans="1:12" hidden="1" x14ac:dyDescent="0.25">
      <c r="A114">
        <v>25993</v>
      </c>
      <c r="B114" t="str">
        <f>VLOOKUP(bron[[#This Row],[personeelsnr]],[1]Blad1!$A:$H,2,FALSE)</f>
        <v>De Wit Bruno</v>
      </c>
      <c r="C114" t="str">
        <f>VLOOKUP(bron[[#This Row],[personeelsnr]],[1]Blad1!$A:$H,3,FALSE)</f>
        <v>De Wit</v>
      </c>
      <c r="D114" t="str">
        <f>VLOOKUP(bron[[#This Row],[personeelsnr]],[1]Blad1!$A:$H,4,FALSE)</f>
        <v>Bruno</v>
      </c>
      <c r="E114" s="2" t="str">
        <f>VLOOKUP(bron[[#This Row],[personeelsnr]],[1]Blad1!$A:$H,8,FALSE)</f>
        <v>Rotty Christoff</v>
      </c>
      <c r="F114" s="6">
        <v>45370</v>
      </c>
      <c r="G114" s="5" t="s">
        <v>355</v>
      </c>
      <c r="H114" t="s">
        <v>76</v>
      </c>
      <c r="I114"/>
      <c r="J114" t="e">
        <f>VLOOKUP(bron[[#This Row],[voertuig]],Voertuigen!A:C,3,FALSE)</f>
        <v>#N/A</v>
      </c>
      <c r="K114" t="e">
        <f>VLOOKUP(bron[[#This Row],[voertuig]],Voertuigen!A:C,2,FALSE)</f>
        <v>#N/A</v>
      </c>
      <c r="L114">
        <f>COUNTIF(A:A,bron[[#This Row],[personeelsnr]])</f>
        <v>1</v>
      </c>
    </row>
    <row r="115" spans="1:12" hidden="1" x14ac:dyDescent="0.25">
      <c r="A115">
        <v>38648</v>
      </c>
      <c r="B115" t="str">
        <f>VLOOKUP(bron[[#This Row],[personeelsnr]],[1]Blad1!$A:$H,2,FALSE)</f>
        <v>Uckuyulu Muhammet Emin</v>
      </c>
      <c r="C115" t="str">
        <f>VLOOKUP(bron[[#This Row],[personeelsnr]],[1]Blad1!$A:$H,3,FALSE)</f>
        <v>Uckuyulu</v>
      </c>
      <c r="D115" t="str">
        <f>VLOOKUP(bron[[#This Row],[personeelsnr]],[1]Blad1!$A:$H,4,FALSE)</f>
        <v>Muhammet Emin</v>
      </c>
      <c r="E115" s="2" t="str">
        <f>VLOOKUP(bron[[#This Row],[personeelsnr]],[1]Blad1!$A:$H,8,FALSE)</f>
        <v>Van De Velde Lucie</v>
      </c>
      <c r="F115" s="6">
        <v>45371</v>
      </c>
      <c r="G115" s="5" t="s">
        <v>356</v>
      </c>
      <c r="H115" t="s">
        <v>357</v>
      </c>
      <c r="I115"/>
      <c r="J115" t="e">
        <f>VLOOKUP(bron[[#This Row],[voertuig]],Voertuigen!A:C,3,FALSE)</f>
        <v>#N/A</v>
      </c>
      <c r="K115" t="e">
        <f>VLOOKUP(bron[[#This Row],[voertuig]],Voertuigen!A:C,2,FALSE)</f>
        <v>#N/A</v>
      </c>
      <c r="L115">
        <f>COUNTIF(A:A,bron[[#This Row],[personeelsnr]])</f>
        <v>4</v>
      </c>
    </row>
    <row r="116" spans="1:12" hidden="1" x14ac:dyDescent="0.25">
      <c r="A116">
        <v>21809</v>
      </c>
      <c r="B116" t="str">
        <f>VLOOKUP(bron[[#This Row],[personeelsnr]],[1]Blad1!$A:$H,2,FALSE)</f>
        <v>Dejonghe Elisa</v>
      </c>
      <c r="C116" t="str">
        <f>VLOOKUP(bron[[#This Row],[personeelsnr]],[1]Blad1!$A:$H,3,FALSE)</f>
        <v>Dejonghe</v>
      </c>
      <c r="D116" t="str">
        <f>VLOOKUP(bron[[#This Row],[personeelsnr]],[1]Blad1!$A:$H,4,FALSE)</f>
        <v>Elisa</v>
      </c>
      <c r="E116" s="2" t="str">
        <f>VLOOKUP(bron[[#This Row],[personeelsnr]],[1]Blad1!$A:$H,8,FALSE)</f>
        <v>Dewulf Els</v>
      </c>
      <c r="F116" s="6">
        <v>45371</v>
      </c>
      <c r="G116" s="5" t="s">
        <v>358</v>
      </c>
      <c r="H116" t="s">
        <v>359</v>
      </c>
      <c r="I116"/>
      <c r="J116" t="e">
        <f>VLOOKUP(bron[[#This Row],[voertuig]],Voertuigen!A:C,3,FALSE)</f>
        <v>#N/A</v>
      </c>
      <c r="K116" t="e">
        <f>VLOOKUP(bron[[#This Row],[voertuig]],Voertuigen!A:C,2,FALSE)</f>
        <v>#N/A</v>
      </c>
      <c r="L116">
        <f>COUNTIF(A:A,bron[[#This Row],[personeelsnr]])</f>
        <v>1</v>
      </c>
    </row>
    <row r="117" spans="1:12" hidden="1" x14ac:dyDescent="0.25">
      <c r="A117">
        <v>23880</v>
      </c>
      <c r="B117" t="str">
        <f>VLOOKUP(bron[[#This Row],[personeelsnr]],[1]Blad1!$A:$H,2,FALSE)</f>
        <v>Wyffels Jean-Pierre</v>
      </c>
      <c r="C117" t="str">
        <f>VLOOKUP(bron[[#This Row],[personeelsnr]],[1]Blad1!$A:$H,3,FALSE)</f>
        <v>Wyffels</v>
      </c>
      <c r="D117" t="str">
        <f>VLOOKUP(bron[[#This Row],[personeelsnr]],[1]Blad1!$A:$H,4,FALSE)</f>
        <v>Jean-Pierre</v>
      </c>
      <c r="E117" s="2" t="str">
        <f>VLOOKUP(bron[[#This Row],[personeelsnr]],[1]Blad1!$A:$H,8,FALSE)</f>
        <v>De Clercq Dominique</v>
      </c>
      <c r="F117" s="6">
        <v>45371</v>
      </c>
      <c r="G117" s="5" t="s">
        <v>360</v>
      </c>
      <c r="H117" t="s">
        <v>124</v>
      </c>
      <c r="I117"/>
      <c r="J117" t="e">
        <f>VLOOKUP(bron[[#This Row],[voertuig]],Voertuigen!A:C,3,FALSE)</f>
        <v>#N/A</v>
      </c>
      <c r="K117" t="e">
        <f>VLOOKUP(bron[[#This Row],[voertuig]],Voertuigen!A:C,2,FALSE)</f>
        <v>#N/A</v>
      </c>
      <c r="L117">
        <f>COUNTIF(A:A,bron[[#This Row],[personeelsnr]])</f>
        <v>1</v>
      </c>
    </row>
    <row r="118" spans="1:12" hidden="1" x14ac:dyDescent="0.25">
      <c r="A118">
        <v>26331</v>
      </c>
      <c r="B118" t="str">
        <f>VLOOKUP(bron[[#This Row],[personeelsnr]],[1]Blad1!$A:$H,2,FALSE)</f>
        <v>Van Semmertier Pascal</v>
      </c>
      <c r="C118" t="str">
        <f>VLOOKUP(bron[[#This Row],[personeelsnr]],[1]Blad1!$A:$H,3,FALSE)</f>
        <v>Van Semmertier</v>
      </c>
      <c r="D118" t="str">
        <f>VLOOKUP(bron[[#This Row],[personeelsnr]],[1]Blad1!$A:$H,4,FALSE)</f>
        <v>Pascal</v>
      </c>
      <c r="E118" s="2" t="str">
        <f>VLOOKUP(bron[[#This Row],[personeelsnr]],[1]Blad1!$A:$H,8,FALSE)</f>
        <v>Van Der Beken Bart</v>
      </c>
      <c r="F118" s="6">
        <v>45371</v>
      </c>
      <c r="G118" s="5" t="s">
        <v>361</v>
      </c>
      <c r="H118" t="s">
        <v>362</v>
      </c>
      <c r="I118"/>
      <c r="J118" t="e">
        <f>VLOOKUP(bron[[#This Row],[voertuig]],Voertuigen!A:C,3,FALSE)</f>
        <v>#N/A</v>
      </c>
      <c r="K118" t="e">
        <f>VLOOKUP(bron[[#This Row],[voertuig]],Voertuigen!A:C,2,FALSE)</f>
        <v>#N/A</v>
      </c>
      <c r="L118">
        <f>COUNTIF(A:A,bron[[#This Row],[personeelsnr]])</f>
        <v>3</v>
      </c>
    </row>
    <row r="119" spans="1:12" hidden="1" x14ac:dyDescent="0.25">
      <c r="A119">
        <v>15320</v>
      </c>
      <c r="B119" t="str">
        <f>VLOOKUP(bron[[#This Row],[personeelsnr]],[1]Blad1!$A:$H,2,FALSE)</f>
        <v>Vandenberghe Filip</v>
      </c>
      <c r="C119" t="str">
        <f>VLOOKUP(bron[[#This Row],[personeelsnr]],[1]Blad1!$A:$H,3,FALSE)</f>
        <v>Vandenberghe</v>
      </c>
      <c r="D119" t="str">
        <f>VLOOKUP(bron[[#This Row],[personeelsnr]],[1]Blad1!$A:$H,4,FALSE)</f>
        <v>Filip</v>
      </c>
      <c r="E119" s="2" t="str">
        <f>VLOOKUP(bron[[#This Row],[personeelsnr]],[1]Blad1!$A:$H,8,FALSE)</f>
        <v>Vanhoe Els</v>
      </c>
      <c r="F119" s="6">
        <v>45372</v>
      </c>
      <c r="G119" s="5" t="s">
        <v>363</v>
      </c>
      <c r="H119" t="s">
        <v>102</v>
      </c>
      <c r="I119"/>
      <c r="J119" t="e">
        <f>VLOOKUP(bron[[#This Row],[voertuig]],Voertuigen!A:C,3,FALSE)</f>
        <v>#N/A</v>
      </c>
      <c r="K119" t="e">
        <f>VLOOKUP(bron[[#This Row],[voertuig]],Voertuigen!A:C,2,FALSE)</f>
        <v>#N/A</v>
      </c>
      <c r="L119">
        <f>COUNTIF(A:A,bron[[#This Row],[personeelsnr]])</f>
        <v>2</v>
      </c>
    </row>
    <row r="120" spans="1:12" hidden="1" x14ac:dyDescent="0.25">
      <c r="A120">
        <v>34445</v>
      </c>
      <c r="B120" t="str">
        <f>VLOOKUP(bron[[#This Row],[personeelsnr]],[1]Blad1!$A:$H,2,FALSE)</f>
        <v>Wulleput Illya</v>
      </c>
      <c r="C120" t="str">
        <f>VLOOKUP(bron[[#This Row],[personeelsnr]],[1]Blad1!$A:$H,3,FALSE)</f>
        <v>Wulleput</v>
      </c>
      <c r="D120" t="str">
        <f>VLOOKUP(bron[[#This Row],[personeelsnr]],[1]Blad1!$A:$H,4,FALSE)</f>
        <v>Illya</v>
      </c>
      <c r="E120" s="2" t="str">
        <f>VLOOKUP(bron[[#This Row],[personeelsnr]],[1]Blad1!$A:$H,8,FALSE)</f>
        <v>De Clercq Dominique</v>
      </c>
      <c r="F120" s="6">
        <v>45373</v>
      </c>
      <c r="G120" s="5" t="s">
        <v>364</v>
      </c>
      <c r="H120" t="s">
        <v>22</v>
      </c>
      <c r="I120"/>
      <c r="J120" t="e">
        <f>VLOOKUP(bron[[#This Row],[voertuig]],Voertuigen!A:C,3,FALSE)</f>
        <v>#N/A</v>
      </c>
      <c r="K120" t="e">
        <f>VLOOKUP(bron[[#This Row],[voertuig]],Voertuigen!A:C,2,FALSE)</f>
        <v>#N/A</v>
      </c>
      <c r="L120">
        <f>COUNTIF(A:A,bron[[#This Row],[personeelsnr]])</f>
        <v>6</v>
      </c>
    </row>
    <row r="121" spans="1:12" hidden="1" x14ac:dyDescent="0.25">
      <c r="A121">
        <v>38931</v>
      </c>
      <c r="B121" t="str">
        <f>VLOOKUP(bron[[#This Row],[personeelsnr]],[1]Blad1!$A:$H,2,FALSE)</f>
        <v>Sancak Eyuphan</v>
      </c>
      <c r="C121" t="str">
        <f>VLOOKUP(bron[[#This Row],[personeelsnr]],[1]Blad1!$A:$H,3,FALSE)</f>
        <v>Sancak</v>
      </c>
      <c r="D121" t="str">
        <f>VLOOKUP(bron[[#This Row],[personeelsnr]],[1]Blad1!$A:$H,4,FALSE)</f>
        <v>Eyuphan</v>
      </c>
      <c r="E121" s="2" t="str">
        <f>VLOOKUP(bron[[#This Row],[personeelsnr]],[1]Blad1!$A:$H,8,FALSE)</f>
        <v>Van Der Beken Bart</v>
      </c>
      <c r="F121" s="6">
        <v>45373</v>
      </c>
      <c r="G121" s="5" t="s">
        <v>365</v>
      </c>
      <c r="H121" t="s">
        <v>20</v>
      </c>
      <c r="I121"/>
      <c r="J121" t="e">
        <f>VLOOKUP(bron[[#This Row],[voertuig]],Voertuigen!A:C,3,FALSE)</f>
        <v>#N/A</v>
      </c>
      <c r="K121" t="e">
        <f>VLOOKUP(bron[[#This Row],[voertuig]],Voertuigen!A:C,2,FALSE)</f>
        <v>#N/A</v>
      </c>
      <c r="L121">
        <f>COUNTIF(A:A,bron[[#This Row],[personeelsnr]])</f>
        <v>4</v>
      </c>
    </row>
    <row r="122" spans="1:12" hidden="1" x14ac:dyDescent="0.25">
      <c r="A122">
        <v>31231</v>
      </c>
      <c r="B122" t="str">
        <f>VLOOKUP(bron[[#This Row],[personeelsnr]],[1]Blad1!$A:$H,2,FALSE)</f>
        <v>Colaes Dylan</v>
      </c>
      <c r="C122" t="str">
        <f>VLOOKUP(bron[[#This Row],[personeelsnr]],[1]Blad1!$A:$H,3,FALSE)</f>
        <v>Colaes</v>
      </c>
      <c r="D122" t="str">
        <f>VLOOKUP(bron[[#This Row],[personeelsnr]],[1]Blad1!$A:$H,4,FALSE)</f>
        <v>Dylan</v>
      </c>
      <c r="E122" s="2" t="str">
        <f>VLOOKUP(bron[[#This Row],[personeelsnr]],[1]Blad1!$A:$H,8,FALSE)</f>
        <v>Vanhoe Els</v>
      </c>
      <c r="F122" s="6">
        <v>45373</v>
      </c>
      <c r="G122" s="5" t="s">
        <v>366</v>
      </c>
      <c r="H122" t="s">
        <v>367</v>
      </c>
      <c r="I122"/>
      <c r="J122" t="e">
        <f>VLOOKUP(bron[[#This Row],[voertuig]],Voertuigen!A:C,3,FALSE)</f>
        <v>#N/A</v>
      </c>
      <c r="K122" t="e">
        <f>VLOOKUP(bron[[#This Row],[voertuig]],Voertuigen!A:C,2,FALSE)</f>
        <v>#N/A</v>
      </c>
      <c r="L122">
        <f>COUNTIF(A:A,bron[[#This Row],[personeelsnr]])</f>
        <v>3</v>
      </c>
    </row>
    <row r="123" spans="1:12" hidden="1" x14ac:dyDescent="0.25">
      <c r="A123">
        <v>36626</v>
      </c>
      <c r="B123" t="str">
        <f>VLOOKUP(bron[[#This Row],[personeelsnr]],[1]Blad1!$A:$H,2,FALSE)</f>
        <v>Kartal Kadir</v>
      </c>
      <c r="C123" t="str">
        <f>VLOOKUP(bron[[#This Row],[personeelsnr]],[1]Blad1!$A:$H,3,FALSE)</f>
        <v>Kartal</v>
      </c>
      <c r="D123" t="str">
        <f>VLOOKUP(bron[[#This Row],[personeelsnr]],[1]Blad1!$A:$H,4,FALSE)</f>
        <v>Kadir</v>
      </c>
      <c r="E123" s="2" t="str">
        <f>VLOOKUP(bron[[#This Row],[personeelsnr]],[1]Blad1!$A:$H,8,FALSE)</f>
        <v>Dewulf Els</v>
      </c>
      <c r="F123" s="6">
        <v>45373</v>
      </c>
      <c r="G123" s="5" t="s">
        <v>368</v>
      </c>
      <c r="H123" t="s">
        <v>8</v>
      </c>
      <c r="I123"/>
      <c r="J123" t="e">
        <f>VLOOKUP(bron[[#This Row],[voertuig]],Voertuigen!A:C,3,FALSE)</f>
        <v>#N/A</v>
      </c>
      <c r="K123" t="e">
        <f>VLOOKUP(bron[[#This Row],[voertuig]],Voertuigen!A:C,2,FALSE)</f>
        <v>#N/A</v>
      </c>
      <c r="L123">
        <f>COUNTIF(A:A,bron[[#This Row],[personeelsnr]])</f>
        <v>10</v>
      </c>
    </row>
    <row r="124" spans="1:12" hidden="1" x14ac:dyDescent="0.25">
      <c r="A124">
        <v>40223</v>
      </c>
      <c r="B124" t="e">
        <f>VLOOKUP(bron[[#This Row],[personeelsnr]],[1]Blad1!$A:$H,2,FALSE)</f>
        <v>#N/A</v>
      </c>
      <c r="C124" t="e">
        <f>VLOOKUP(bron[[#This Row],[personeelsnr]],[1]Blad1!$A:$H,3,FALSE)</f>
        <v>#N/A</v>
      </c>
      <c r="D124" t="e">
        <f>VLOOKUP(bron[[#This Row],[personeelsnr]],[1]Blad1!$A:$H,4,FALSE)</f>
        <v>#N/A</v>
      </c>
      <c r="E124" s="2" t="s">
        <v>221</v>
      </c>
      <c r="F124" s="6">
        <v>45373</v>
      </c>
      <c r="G124" s="5" t="s">
        <v>369</v>
      </c>
      <c r="H124" t="s">
        <v>20</v>
      </c>
      <c r="I124"/>
      <c r="J124" t="e">
        <f>VLOOKUP(bron[[#This Row],[voertuig]],Voertuigen!A:C,3,FALSE)</f>
        <v>#N/A</v>
      </c>
      <c r="K124" t="e">
        <f>VLOOKUP(bron[[#This Row],[voertuig]],Voertuigen!A:C,2,FALSE)</f>
        <v>#N/A</v>
      </c>
      <c r="L124">
        <f>COUNTIF(A:A,bron[[#This Row],[personeelsnr]])</f>
        <v>8</v>
      </c>
    </row>
    <row r="125" spans="1:12" hidden="1" x14ac:dyDescent="0.25">
      <c r="A125">
        <v>9999</v>
      </c>
      <c r="B125" t="e">
        <f>VLOOKUP(bron[[#This Row],[personeelsnr]],[1]Blad1!$A:$H,2,FALSE)</f>
        <v>#N/A</v>
      </c>
      <c r="C125" t="e">
        <f>VLOOKUP(bron[[#This Row],[personeelsnr]],[1]Blad1!$A:$H,3,FALSE)</f>
        <v>#N/A</v>
      </c>
      <c r="D125" t="e">
        <f>VLOOKUP(bron[[#This Row],[personeelsnr]],[1]Blad1!$A:$H,4,FALSE)</f>
        <v>#N/A</v>
      </c>
      <c r="E125" s="2" t="s">
        <v>221</v>
      </c>
      <c r="F125" s="6">
        <v>45373</v>
      </c>
      <c r="G125" s="5" t="s">
        <v>370</v>
      </c>
      <c r="H125" t="s">
        <v>13</v>
      </c>
      <c r="I125"/>
      <c r="J125" t="e">
        <f>VLOOKUP(bron[[#This Row],[voertuig]],Voertuigen!A:C,3,FALSE)</f>
        <v>#N/A</v>
      </c>
      <c r="K125" t="e">
        <f>VLOOKUP(bron[[#This Row],[voertuig]],Voertuigen!A:C,2,FALSE)</f>
        <v>#N/A</v>
      </c>
      <c r="L125">
        <f>COUNTIF(A:A,bron[[#This Row],[personeelsnr]])</f>
        <v>59</v>
      </c>
    </row>
    <row r="126" spans="1:12" hidden="1" x14ac:dyDescent="0.25">
      <c r="A126">
        <v>35107</v>
      </c>
      <c r="B126" t="str">
        <f>VLOOKUP(bron[[#This Row],[personeelsnr]],[1]Blad1!$A:$H,2,FALSE)</f>
        <v>Rotsaert Dominique</v>
      </c>
      <c r="C126" t="str">
        <f>VLOOKUP(bron[[#This Row],[personeelsnr]],[1]Blad1!$A:$H,3,FALSE)</f>
        <v>Rotsaert</v>
      </c>
      <c r="D126" t="str">
        <f>VLOOKUP(bron[[#This Row],[personeelsnr]],[1]Blad1!$A:$H,4,FALSE)</f>
        <v>Dominique</v>
      </c>
      <c r="E126" s="2" t="str">
        <f>VLOOKUP(bron[[#This Row],[personeelsnr]],[1]Blad1!$A:$H,8,FALSE)</f>
        <v>Van Der Beken Bart</v>
      </c>
      <c r="F126" s="6">
        <v>45373</v>
      </c>
      <c r="G126" s="5" t="s">
        <v>371</v>
      </c>
      <c r="H126" t="s">
        <v>26</v>
      </c>
      <c r="I126"/>
      <c r="J126" t="e">
        <f>VLOOKUP(bron[[#This Row],[voertuig]],Voertuigen!A:C,3,FALSE)</f>
        <v>#N/A</v>
      </c>
      <c r="K126" t="e">
        <f>VLOOKUP(bron[[#This Row],[voertuig]],Voertuigen!A:C,2,FALSE)</f>
        <v>#N/A</v>
      </c>
      <c r="L126">
        <f>COUNTIF(A:A,bron[[#This Row],[personeelsnr]])</f>
        <v>1</v>
      </c>
    </row>
    <row r="127" spans="1:12" hidden="1" x14ac:dyDescent="0.25">
      <c r="A127">
        <v>5559</v>
      </c>
      <c r="B127" t="str">
        <f>VLOOKUP(bron[[#This Row],[personeelsnr]],[1]Blad1!$A:$H,2,FALSE)</f>
        <v>Hoste Tania</v>
      </c>
      <c r="C127" t="str">
        <f>VLOOKUP(bron[[#This Row],[personeelsnr]],[1]Blad1!$A:$H,3,FALSE)</f>
        <v>Hoste</v>
      </c>
      <c r="D127" t="str">
        <f>VLOOKUP(bron[[#This Row],[personeelsnr]],[1]Blad1!$A:$H,4,FALSE)</f>
        <v>Tania</v>
      </c>
      <c r="E127" s="2" t="str">
        <f>VLOOKUP(bron[[#This Row],[personeelsnr]],[1]Blad1!$A:$H,8,FALSE)</f>
        <v>Storm Steven</v>
      </c>
      <c r="F127" s="6">
        <v>45374</v>
      </c>
      <c r="G127" s="5" t="s">
        <v>372</v>
      </c>
      <c r="H127" t="s">
        <v>373</v>
      </c>
      <c r="I127"/>
      <c r="J127" t="e">
        <f>VLOOKUP(bron[[#This Row],[voertuig]],Voertuigen!A:C,3,FALSE)</f>
        <v>#N/A</v>
      </c>
      <c r="K127" t="e">
        <f>VLOOKUP(bron[[#This Row],[voertuig]],Voertuigen!A:C,2,FALSE)</f>
        <v>#N/A</v>
      </c>
      <c r="L127">
        <f>COUNTIF(A:A,bron[[#This Row],[personeelsnr]])</f>
        <v>2</v>
      </c>
    </row>
    <row r="128" spans="1:12" hidden="1" x14ac:dyDescent="0.25">
      <c r="A128">
        <v>26960</v>
      </c>
      <c r="B128" t="str">
        <f>VLOOKUP(bron[[#This Row],[personeelsnr]],[1]Blad1!$A:$H,2,FALSE)</f>
        <v>Toubadie Mossa</v>
      </c>
      <c r="C128" t="str">
        <f>VLOOKUP(bron[[#This Row],[personeelsnr]],[1]Blad1!$A:$H,3,FALSE)</f>
        <v>Toubadie</v>
      </c>
      <c r="D128" t="str">
        <f>VLOOKUP(bron[[#This Row],[personeelsnr]],[1]Blad1!$A:$H,4,FALSE)</f>
        <v>Mossa</v>
      </c>
      <c r="E128" s="2" t="str">
        <f>VLOOKUP(bron[[#This Row],[personeelsnr]],[1]Blad1!$A:$H,8,FALSE)</f>
        <v>Vanhoe Els</v>
      </c>
      <c r="F128" s="6">
        <v>45375</v>
      </c>
      <c r="G128" s="5" t="s">
        <v>374</v>
      </c>
      <c r="H128" t="s">
        <v>130</v>
      </c>
      <c r="I128"/>
      <c r="J128" t="e">
        <f>VLOOKUP(bron[[#This Row],[voertuig]],Voertuigen!A:C,3,FALSE)</f>
        <v>#N/A</v>
      </c>
      <c r="K128" t="e">
        <f>VLOOKUP(bron[[#This Row],[voertuig]],Voertuigen!A:C,2,FALSE)</f>
        <v>#N/A</v>
      </c>
      <c r="L128">
        <f>COUNTIF(A:A,bron[[#This Row],[personeelsnr]])</f>
        <v>3</v>
      </c>
    </row>
    <row r="129" spans="1:12" hidden="1" x14ac:dyDescent="0.25">
      <c r="A129">
        <v>33450</v>
      </c>
      <c r="B129" t="str">
        <f>VLOOKUP(bron[[#This Row],[personeelsnr]],[1]Blad1!$A:$H,2,FALSE)</f>
        <v>Verroeye Chris</v>
      </c>
      <c r="C129" t="str">
        <f>VLOOKUP(bron[[#This Row],[personeelsnr]],[1]Blad1!$A:$H,3,FALSE)</f>
        <v>Verroeye</v>
      </c>
      <c r="D129" t="str">
        <f>VLOOKUP(bron[[#This Row],[personeelsnr]],[1]Blad1!$A:$H,4,FALSE)</f>
        <v>Chris</v>
      </c>
      <c r="E129" s="2" t="str">
        <f>VLOOKUP(bron[[#This Row],[personeelsnr]],[1]Blad1!$A:$H,8,FALSE)</f>
        <v>De Rick Kenneth</v>
      </c>
      <c r="F129" s="6">
        <v>45376</v>
      </c>
      <c r="G129" s="5" t="s">
        <v>375</v>
      </c>
      <c r="H129" t="s">
        <v>8</v>
      </c>
      <c r="I129"/>
      <c r="J129" t="e">
        <f>VLOOKUP(bron[[#This Row],[voertuig]],Voertuigen!A:C,3,FALSE)</f>
        <v>#N/A</v>
      </c>
      <c r="K129" t="e">
        <f>VLOOKUP(bron[[#This Row],[voertuig]],Voertuigen!A:C,2,FALSE)</f>
        <v>#N/A</v>
      </c>
      <c r="L129">
        <f>COUNTIF(A:A,bron[[#This Row],[personeelsnr]])</f>
        <v>2</v>
      </c>
    </row>
    <row r="130" spans="1:12" hidden="1" x14ac:dyDescent="0.25">
      <c r="A130">
        <v>32951</v>
      </c>
      <c r="B130" t="str">
        <f>VLOOKUP(bron[[#This Row],[personeelsnr]],[1]Blad1!$A:$H,2,FALSE)</f>
        <v>De Bruyne Sonia</v>
      </c>
      <c r="C130" t="str">
        <f>VLOOKUP(bron[[#This Row],[personeelsnr]],[1]Blad1!$A:$H,3,FALSE)</f>
        <v>De Bruyne</v>
      </c>
      <c r="D130" t="str">
        <f>VLOOKUP(bron[[#This Row],[personeelsnr]],[1]Blad1!$A:$H,4,FALSE)</f>
        <v>Sonia</v>
      </c>
      <c r="E130" s="2" t="str">
        <f>VLOOKUP(bron[[#This Row],[personeelsnr]],[1]Blad1!$A:$H,8,FALSE)</f>
        <v>Van De Velde Lucie</v>
      </c>
      <c r="F130" s="6">
        <v>45377</v>
      </c>
      <c r="G130" s="5" t="s">
        <v>376</v>
      </c>
      <c r="H130" t="s">
        <v>10</v>
      </c>
      <c r="I130"/>
      <c r="J130" t="e">
        <f>VLOOKUP(bron[[#This Row],[voertuig]],Voertuigen!A:C,3,FALSE)</f>
        <v>#N/A</v>
      </c>
      <c r="K130" t="e">
        <f>VLOOKUP(bron[[#This Row],[voertuig]],Voertuigen!A:C,2,FALSE)</f>
        <v>#N/A</v>
      </c>
      <c r="L130">
        <f>COUNTIF(A:A,bron[[#This Row],[personeelsnr]])</f>
        <v>6</v>
      </c>
    </row>
    <row r="131" spans="1:12" hidden="1" x14ac:dyDescent="0.25">
      <c r="A131">
        <v>21382</v>
      </c>
      <c r="B131" t="str">
        <f>VLOOKUP(bron[[#This Row],[personeelsnr]],[1]Blad1!$A:$H,2,FALSE)</f>
        <v>De Volder Marc</v>
      </c>
      <c r="C131" t="str">
        <f>VLOOKUP(bron[[#This Row],[personeelsnr]],[1]Blad1!$A:$H,3,FALSE)</f>
        <v>De Volder</v>
      </c>
      <c r="D131" t="str">
        <f>VLOOKUP(bron[[#This Row],[personeelsnr]],[1]Blad1!$A:$H,4,FALSE)</f>
        <v>Marc</v>
      </c>
      <c r="E131" s="2" t="str">
        <f>VLOOKUP(bron[[#This Row],[personeelsnr]],[1]Blad1!$A:$H,8,FALSE)</f>
        <v>Dewulf Els</v>
      </c>
      <c r="F131" s="6">
        <v>45379</v>
      </c>
      <c r="G131" s="5" t="s">
        <v>377</v>
      </c>
      <c r="H131" t="s">
        <v>34</v>
      </c>
      <c r="I131"/>
      <c r="J131" t="e">
        <f>VLOOKUP(bron[[#This Row],[voertuig]],Voertuigen!A:C,3,FALSE)</f>
        <v>#N/A</v>
      </c>
      <c r="K131" t="e">
        <f>VLOOKUP(bron[[#This Row],[voertuig]],Voertuigen!A:C,2,FALSE)</f>
        <v>#N/A</v>
      </c>
      <c r="L131">
        <f>COUNTIF(A:A,bron[[#This Row],[personeelsnr]])</f>
        <v>1</v>
      </c>
    </row>
    <row r="132" spans="1:12" hidden="1" x14ac:dyDescent="0.25">
      <c r="A132">
        <v>34286</v>
      </c>
      <c r="B132" t="str">
        <f>VLOOKUP(bron[[#This Row],[personeelsnr]],[1]Blad1!$A:$H,2,FALSE)</f>
        <v>Ghani Mozamil</v>
      </c>
      <c r="C132" t="str">
        <f>VLOOKUP(bron[[#This Row],[personeelsnr]],[1]Blad1!$A:$H,3,FALSE)</f>
        <v>Ghani</v>
      </c>
      <c r="D132" t="str">
        <f>VLOOKUP(bron[[#This Row],[personeelsnr]],[1]Blad1!$A:$H,4,FALSE)</f>
        <v>Mozamil</v>
      </c>
      <c r="E132" s="2" t="str">
        <f>VLOOKUP(bron[[#This Row],[personeelsnr]],[1]Blad1!$A:$H,8,FALSE)</f>
        <v>Storm Steven</v>
      </c>
      <c r="F132" s="6">
        <v>45379</v>
      </c>
      <c r="G132" s="5" t="s">
        <v>378</v>
      </c>
      <c r="H132" t="s">
        <v>7</v>
      </c>
      <c r="I132"/>
      <c r="J132" t="e">
        <f>VLOOKUP(bron[[#This Row],[voertuig]],Voertuigen!A:C,3,FALSE)</f>
        <v>#N/A</v>
      </c>
      <c r="K132" t="e">
        <f>VLOOKUP(bron[[#This Row],[voertuig]],Voertuigen!A:C,2,FALSE)</f>
        <v>#N/A</v>
      </c>
      <c r="L132">
        <f>COUNTIF(A:A,bron[[#This Row],[personeelsnr]])</f>
        <v>2</v>
      </c>
    </row>
    <row r="133" spans="1:12" hidden="1" x14ac:dyDescent="0.25">
      <c r="A133">
        <v>16282</v>
      </c>
      <c r="B133" t="str">
        <f>VLOOKUP(bron[[#This Row],[personeelsnr]],[1]Blad1!$A:$H,2,FALSE)</f>
        <v>Vandecasteele Ruth</v>
      </c>
      <c r="C133" t="str">
        <f>VLOOKUP(bron[[#This Row],[personeelsnr]],[1]Blad1!$A:$H,3,FALSE)</f>
        <v>Vandecasteele</v>
      </c>
      <c r="D133" t="str">
        <f>VLOOKUP(bron[[#This Row],[personeelsnr]],[1]Blad1!$A:$H,4,FALSE)</f>
        <v>Ruth</v>
      </c>
      <c r="E133" s="2" t="str">
        <f>VLOOKUP(bron[[#This Row],[personeelsnr]],[1]Blad1!$A:$H,8,FALSE)</f>
        <v>De Rick Kenneth</v>
      </c>
      <c r="F133" s="6">
        <v>45380</v>
      </c>
      <c r="G133" s="5" t="s">
        <v>379</v>
      </c>
      <c r="H133" t="s">
        <v>101</v>
      </c>
      <c r="I133"/>
      <c r="J133" t="e">
        <f>VLOOKUP(bron[[#This Row],[voertuig]],Voertuigen!A:C,3,FALSE)</f>
        <v>#N/A</v>
      </c>
      <c r="K133" t="e">
        <f>VLOOKUP(bron[[#This Row],[voertuig]],Voertuigen!A:C,2,FALSE)</f>
        <v>#N/A</v>
      </c>
      <c r="L133">
        <f>COUNTIF(A:A,bron[[#This Row],[personeelsnr]])</f>
        <v>1</v>
      </c>
    </row>
    <row r="134" spans="1:12" hidden="1" x14ac:dyDescent="0.25">
      <c r="A134">
        <v>9999</v>
      </c>
      <c r="B134" t="e">
        <f>VLOOKUP(bron[[#This Row],[personeelsnr]],[1]Blad1!$A:$H,2,FALSE)</f>
        <v>#N/A</v>
      </c>
      <c r="C134" t="e">
        <f>VLOOKUP(bron[[#This Row],[personeelsnr]],[1]Blad1!$A:$H,3,FALSE)</f>
        <v>#N/A</v>
      </c>
      <c r="D134" t="e">
        <f>VLOOKUP(bron[[#This Row],[personeelsnr]],[1]Blad1!$A:$H,4,FALSE)</f>
        <v>#N/A</v>
      </c>
      <c r="E134" s="2" t="s">
        <v>221</v>
      </c>
      <c r="F134" s="6">
        <v>45380</v>
      </c>
      <c r="G134" s="5" t="s">
        <v>380</v>
      </c>
      <c r="H134" t="s">
        <v>140</v>
      </c>
      <c r="I134"/>
      <c r="J134" t="e">
        <f>VLOOKUP(bron[[#This Row],[voertuig]],Voertuigen!A:C,3,FALSE)</f>
        <v>#N/A</v>
      </c>
      <c r="K134" t="e">
        <f>VLOOKUP(bron[[#This Row],[voertuig]],Voertuigen!A:C,2,FALSE)</f>
        <v>#N/A</v>
      </c>
      <c r="L134">
        <f>COUNTIF(A:A,bron[[#This Row],[personeelsnr]])</f>
        <v>59</v>
      </c>
    </row>
    <row r="135" spans="1:12" hidden="1" x14ac:dyDescent="0.25">
      <c r="A135">
        <v>39654</v>
      </c>
      <c r="B135" t="str">
        <f>VLOOKUP(bron[[#This Row],[personeelsnr]],[1]Blad1!$A:$H,2,FALSE)</f>
        <v>Camacho Encarnacion Lisandro Javier</v>
      </c>
      <c r="C135" t="str">
        <f>VLOOKUP(bron[[#This Row],[personeelsnr]],[1]Blad1!$A:$H,3,FALSE)</f>
        <v>Camacho Encarnacion</v>
      </c>
      <c r="D135" t="str">
        <f>VLOOKUP(bron[[#This Row],[personeelsnr]],[1]Blad1!$A:$H,4,FALSE)</f>
        <v>Lisandro Javier</v>
      </c>
      <c r="E135" s="2" t="str">
        <f>VLOOKUP(bron[[#This Row],[personeelsnr]],[1]Blad1!$A:$H,8,FALSE)</f>
        <v>De Rick Kenneth</v>
      </c>
      <c r="F135" s="6">
        <v>45382</v>
      </c>
      <c r="G135" s="5" t="s">
        <v>381</v>
      </c>
      <c r="H135" t="s">
        <v>20</v>
      </c>
      <c r="I135"/>
      <c r="J135" t="e">
        <f>VLOOKUP(bron[[#This Row],[voertuig]],Voertuigen!A:C,3,FALSE)</f>
        <v>#N/A</v>
      </c>
      <c r="K135" t="e">
        <f>VLOOKUP(bron[[#This Row],[voertuig]],Voertuigen!A:C,2,FALSE)</f>
        <v>#N/A</v>
      </c>
      <c r="L135">
        <f>COUNTIF(A:A,bron[[#This Row],[personeelsnr]])</f>
        <v>2</v>
      </c>
    </row>
    <row r="136" spans="1:12" hidden="1" x14ac:dyDescent="0.25">
      <c r="A136">
        <v>33400</v>
      </c>
      <c r="B136" t="str">
        <f>VLOOKUP(bron[[#This Row],[personeelsnr]],[1]Blad1!$A:$H,2,FALSE)</f>
        <v>Petit Cynthia</v>
      </c>
      <c r="C136" t="str">
        <f>VLOOKUP(bron[[#This Row],[personeelsnr]],[1]Blad1!$A:$H,3,FALSE)</f>
        <v>Petit</v>
      </c>
      <c r="D136" t="str">
        <f>VLOOKUP(bron[[#This Row],[personeelsnr]],[1]Blad1!$A:$H,4,FALSE)</f>
        <v>Cynthia</v>
      </c>
      <c r="E136" s="2" t="str">
        <f>VLOOKUP(bron[[#This Row],[personeelsnr]],[1]Blad1!$A:$H,8,FALSE)</f>
        <v>Rotty Christoff</v>
      </c>
      <c r="F136" s="6">
        <v>45382</v>
      </c>
      <c r="G136" s="5" t="s">
        <v>382</v>
      </c>
      <c r="H136" t="s">
        <v>30</v>
      </c>
      <c r="I136"/>
      <c r="J136" t="e">
        <f>VLOOKUP(bron[[#This Row],[voertuig]],Voertuigen!A:C,3,FALSE)</f>
        <v>#N/A</v>
      </c>
      <c r="K136" t="e">
        <f>VLOOKUP(bron[[#This Row],[voertuig]],Voertuigen!A:C,2,FALSE)</f>
        <v>#N/A</v>
      </c>
      <c r="L136">
        <f>COUNTIF(A:A,bron[[#This Row],[personeelsnr]])</f>
        <v>3</v>
      </c>
    </row>
    <row r="137" spans="1:12" hidden="1" x14ac:dyDescent="0.25">
      <c r="A137">
        <v>12124</v>
      </c>
      <c r="B137" t="str">
        <f>VLOOKUP(bron[[#This Row],[personeelsnr]],[1]Blad1!$A:$H,2,FALSE)</f>
        <v>Van Vliet Tom</v>
      </c>
      <c r="C137" t="str">
        <f>VLOOKUP(bron[[#This Row],[personeelsnr]],[1]Blad1!$A:$H,3,FALSE)</f>
        <v>Van Vliet</v>
      </c>
      <c r="D137" t="str">
        <f>VLOOKUP(bron[[#This Row],[personeelsnr]],[1]Blad1!$A:$H,4,FALSE)</f>
        <v>Tom</v>
      </c>
      <c r="E137" s="2" t="str">
        <f>VLOOKUP(bron[[#This Row],[personeelsnr]],[1]Blad1!$A:$H,8,FALSE)</f>
        <v>Storm Steven</v>
      </c>
      <c r="F137" s="6">
        <v>45382</v>
      </c>
      <c r="G137" s="5" t="s">
        <v>383</v>
      </c>
      <c r="H137" t="s">
        <v>367</v>
      </c>
      <c r="I137"/>
      <c r="J137" t="e">
        <f>VLOOKUP(bron[[#This Row],[voertuig]],Voertuigen!A:C,3,FALSE)</f>
        <v>#N/A</v>
      </c>
      <c r="K137" t="e">
        <f>VLOOKUP(bron[[#This Row],[voertuig]],Voertuigen!A:C,2,FALSE)</f>
        <v>#N/A</v>
      </c>
      <c r="L137">
        <f>COUNTIF(A:A,bron[[#This Row],[personeelsnr]])</f>
        <v>5</v>
      </c>
    </row>
    <row r="138" spans="1:12" hidden="1" x14ac:dyDescent="0.25">
      <c r="A138">
        <v>37439</v>
      </c>
      <c r="B138" t="str">
        <f>VLOOKUP(bron[[#This Row],[personeelsnr]],[1]Blad1!$A:$H,2,FALSE)</f>
        <v>Demirkazik Mustafa</v>
      </c>
      <c r="C138" t="str">
        <f>VLOOKUP(bron[[#This Row],[personeelsnr]],[1]Blad1!$A:$H,3,FALSE)</f>
        <v>Demirkazik</v>
      </c>
      <c r="D138" t="str">
        <f>VLOOKUP(bron[[#This Row],[personeelsnr]],[1]Blad1!$A:$H,4,FALSE)</f>
        <v>Mustafa</v>
      </c>
      <c r="E138" s="2" t="str">
        <f>VLOOKUP(bron[[#This Row],[personeelsnr]],[1]Blad1!$A:$H,8,FALSE)</f>
        <v>De Rick Kenneth</v>
      </c>
      <c r="F138" s="6">
        <v>45383</v>
      </c>
      <c r="G138" s="5" t="s">
        <v>384</v>
      </c>
      <c r="H138" t="s">
        <v>158</v>
      </c>
      <c r="I138"/>
      <c r="J138" t="e">
        <f>VLOOKUP(bron[[#This Row],[voertuig]],Voertuigen!A:C,3,FALSE)</f>
        <v>#N/A</v>
      </c>
      <c r="K138" t="e">
        <f>VLOOKUP(bron[[#This Row],[voertuig]],Voertuigen!A:C,2,FALSE)</f>
        <v>#N/A</v>
      </c>
      <c r="L138">
        <f>COUNTIF(A:A,bron[[#This Row],[personeelsnr]])</f>
        <v>4</v>
      </c>
    </row>
    <row r="139" spans="1:12" hidden="1" x14ac:dyDescent="0.25">
      <c r="A139">
        <v>31600</v>
      </c>
      <c r="B139" t="str">
        <f>VLOOKUP(bron[[#This Row],[personeelsnr]],[1]Blad1!$A:$H,2,FALSE)</f>
        <v>Mertens Tom</v>
      </c>
      <c r="C139" t="str">
        <f>VLOOKUP(bron[[#This Row],[personeelsnr]],[1]Blad1!$A:$H,3,FALSE)</f>
        <v>Mertens</v>
      </c>
      <c r="D139" t="str">
        <f>VLOOKUP(bron[[#This Row],[personeelsnr]],[1]Blad1!$A:$H,4,FALSE)</f>
        <v>Tom</v>
      </c>
      <c r="E139" s="2" t="str">
        <f>VLOOKUP(bron[[#This Row],[personeelsnr]],[1]Blad1!$A:$H,8,FALSE)</f>
        <v>Dewulf Els</v>
      </c>
      <c r="F139" s="6">
        <v>45386</v>
      </c>
      <c r="G139" s="5" t="s">
        <v>385</v>
      </c>
      <c r="H139" t="s">
        <v>386</v>
      </c>
      <c r="I139"/>
      <c r="J139" t="e">
        <f>VLOOKUP(bron[[#This Row],[voertuig]],Voertuigen!A:C,3,FALSE)</f>
        <v>#N/A</v>
      </c>
      <c r="K139" t="e">
        <f>VLOOKUP(bron[[#This Row],[voertuig]],Voertuigen!A:C,2,FALSE)</f>
        <v>#N/A</v>
      </c>
      <c r="L139">
        <f>COUNTIF(A:A,bron[[#This Row],[personeelsnr]])</f>
        <v>2</v>
      </c>
    </row>
    <row r="140" spans="1:12" hidden="1" x14ac:dyDescent="0.25">
      <c r="A140">
        <v>19848</v>
      </c>
      <c r="B140" t="str">
        <f>VLOOKUP(bron[[#This Row],[personeelsnr]],[1]Blad1!$A:$H,2,FALSE)</f>
        <v>Gevaert Patrick</v>
      </c>
      <c r="C140" t="str">
        <f>VLOOKUP(bron[[#This Row],[personeelsnr]],[1]Blad1!$A:$H,3,FALSE)</f>
        <v>Gevaert</v>
      </c>
      <c r="D140" t="str">
        <f>VLOOKUP(bron[[#This Row],[personeelsnr]],[1]Blad1!$A:$H,4,FALSE)</f>
        <v>Patrick</v>
      </c>
      <c r="E140" s="2" t="str">
        <f>VLOOKUP(bron[[#This Row],[personeelsnr]],[1]Blad1!$A:$H,8,FALSE)</f>
        <v>Storm Steven</v>
      </c>
      <c r="F140" s="6">
        <v>45387</v>
      </c>
      <c r="G140" s="5" t="s">
        <v>387</v>
      </c>
      <c r="H140" t="s">
        <v>359</v>
      </c>
      <c r="I140"/>
      <c r="J140" t="e">
        <f>VLOOKUP(bron[[#This Row],[voertuig]],Voertuigen!A:C,3,FALSE)</f>
        <v>#N/A</v>
      </c>
      <c r="K140" t="e">
        <f>VLOOKUP(bron[[#This Row],[voertuig]],Voertuigen!A:C,2,FALSE)</f>
        <v>#N/A</v>
      </c>
      <c r="L140">
        <f>COUNTIF(A:A,bron[[#This Row],[personeelsnr]])</f>
        <v>1</v>
      </c>
    </row>
    <row r="141" spans="1:12" hidden="1" x14ac:dyDescent="0.25">
      <c r="A141">
        <v>9999</v>
      </c>
      <c r="B141" t="e">
        <f>VLOOKUP(bron[[#This Row],[personeelsnr]],[1]Blad1!$A:$H,2,FALSE)</f>
        <v>#N/A</v>
      </c>
      <c r="C141" t="e">
        <f>VLOOKUP(bron[[#This Row],[personeelsnr]],[1]Blad1!$A:$H,3,FALSE)</f>
        <v>#N/A</v>
      </c>
      <c r="D141" t="e">
        <f>VLOOKUP(bron[[#This Row],[personeelsnr]],[1]Blad1!$A:$H,4,FALSE)</f>
        <v>#N/A</v>
      </c>
      <c r="E141" s="2" t="s">
        <v>221</v>
      </c>
      <c r="F141" s="6">
        <v>45389</v>
      </c>
      <c r="G141" s="5" t="s">
        <v>388</v>
      </c>
      <c r="H141" t="s">
        <v>172</v>
      </c>
      <c r="I141"/>
      <c r="J141" t="e">
        <f>VLOOKUP(bron[[#This Row],[voertuig]],Voertuigen!A:C,3,FALSE)</f>
        <v>#N/A</v>
      </c>
      <c r="K141" t="e">
        <f>VLOOKUP(bron[[#This Row],[voertuig]],Voertuigen!A:C,2,FALSE)</f>
        <v>#N/A</v>
      </c>
      <c r="L141">
        <f>COUNTIF(A:A,bron[[#This Row],[personeelsnr]])</f>
        <v>59</v>
      </c>
    </row>
    <row r="142" spans="1:12" hidden="1" x14ac:dyDescent="0.25">
      <c r="A142">
        <v>38481</v>
      </c>
      <c r="B142" t="str">
        <f>VLOOKUP(bron[[#This Row],[personeelsnr]],[1]Blad1!$A:$H,2,FALSE)</f>
        <v>Sari Devrim</v>
      </c>
      <c r="C142" t="str">
        <f>VLOOKUP(bron[[#This Row],[personeelsnr]],[1]Blad1!$A:$H,3,FALSE)</f>
        <v>Sari</v>
      </c>
      <c r="D142" t="str">
        <f>VLOOKUP(bron[[#This Row],[personeelsnr]],[1]Blad1!$A:$H,4,FALSE)</f>
        <v>Devrim</v>
      </c>
      <c r="E142" s="2" t="str">
        <f>VLOOKUP(bron[[#This Row],[personeelsnr]],[1]Blad1!$A:$H,8,FALSE)</f>
        <v>De Rick Kenneth</v>
      </c>
      <c r="F142" s="6">
        <v>45389</v>
      </c>
      <c r="G142" s="5" t="s">
        <v>389</v>
      </c>
      <c r="H142" t="s">
        <v>150</v>
      </c>
      <c r="I142"/>
      <c r="J142" t="e">
        <f>VLOOKUP(bron[[#This Row],[voertuig]],Voertuigen!A:C,3,FALSE)</f>
        <v>#N/A</v>
      </c>
      <c r="K142" t="e">
        <f>VLOOKUP(bron[[#This Row],[voertuig]],Voertuigen!A:C,2,FALSE)</f>
        <v>#N/A</v>
      </c>
      <c r="L142">
        <f>COUNTIF(A:A,bron[[#This Row],[personeelsnr]])</f>
        <v>4</v>
      </c>
    </row>
    <row r="143" spans="1:12" hidden="1" x14ac:dyDescent="0.25">
      <c r="A143">
        <v>37216</v>
      </c>
      <c r="B143" t="str">
        <f>VLOOKUP(bron[[#This Row],[personeelsnr]],[1]Blad1!$A:$H,2,FALSE)</f>
        <v>Antoniewicz Stephan</v>
      </c>
      <c r="C143" t="str">
        <f>VLOOKUP(bron[[#This Row],[personeelsnr]],[1]Blad1!$A:$H,3,FALSE)</f>
        <v>Antoniewicz</v>
      </c>
      <c r="D143" t="str">
        <f>VLOOKUP(bron[[#This Row],[personeelsnr]],[1]Blad1!$A:$H,4,FALSE)</f>
        <v>Stephan</v>
      </c>
      <c r="E143" s="2" t="str">
        <f>VLOOKUP(bron[[#This Row],[personeelsnr]],[1]Blad1!$A:$H,8,FALSE)</f>
        <v>De Rick Kenneth</v>
      </c>
      <c r="F143" s="6">
        <v>45389</v>
      </c>
      <c r="G143" s="5" t="s">
        <v>390</v>
      </c>
      <c r="H143" t="s">
        <v>27</v>
      </c>
      <c r="I143"/>
      <c r="J143" t="e">
        <f>VLOOKUP(bron[[#This Row],[voertuig]],Voertuigen!A:C,3,FALSE)</f>
        <v>#N/A</v>
      </c>
      <c r="K143" t="e">
        <f>VLOOKUP(bron[[#This Row],[voertuig]],Voertuigen!A:C,2,FALSE)</f>
        <v>#N/A</v>
      </c>
      <c r="L143">
        <f>COUNTIF(A:A,bron[[#This Row],[personeelsnr]])</f>
        <v>1</v>
      </c>
    </row>
    <row r="144" spans="1:12" hidden="1" x14ac:dyDescent="0.25">
      <c r="A144">
        <v>9999</v>
      </c>
      <c r="B144" t="e">
        <f>VLOOKUP(bron[[#This Row],[personeelsnr]],[1]Blad1!$A:$H,2,FALSE)</f>
        <v>#N/A</v>
      </c>
      <c r="C144" t="e">
        <f>VLOOKUP(bron[[#This Row],[personeelsnr]],[1]Blad1!$A:$H,3,FALSE)</f>
        <v>#N/A</v>
      </c>
      <c r="D144" t="e">
        <f>VLOOKUP(bron[[#This Row],[personeelsnr]],[1]Blad1!$A:$H,4,FALSE)</f>
        <v>#N/A</v>
      </c>
      <c r="E144" s="2" t="s">
        <v>221</v>
      </c>
      <c r="F144" s="6">
        <v>45390</v>
      </c>
      <c r="G144" s="5" t="s">
        <v>391</v>
      </c>
      <c r="H144" t="s">
        <v>7</v>
      </c>
      <c r="I144"/>
      <c r="J144" t="e">
        <f>VLOOKUP(bron[[#This Row],[voertuig]],Voertuigen!A:C,3,FALSE)</f>
        <v>#N/A</v>
      </c>
      <c r="K144" t="e">
        <f>VLOOKUP(bron[[#This Row],[voertuig]],Voertuigen!A:C,2,FALSE)</f>
        <v>#N/A</v>
      </c>
      <c r="L144">
        <f>COUNTIF(A:A,bron[[#This Row],[personeelsnr]])</f>
        <v>59</v>
      </c>
    </row>
    <row r="145" spans="1:12" hidden="1" x14ac:dyDescent="0.25">
      <c r="A145">
        <v>29179</v>
      </c>
      <c r="B145" t="str">
        <f>VLOOKUP(bron[[#This Row],[personeelsnr]],[1]Blad1!$A:$H,2,FALSE)</f>
        <v>Verwee Dries</v>
      </c>
      <c r="C145" t="str">
        <f>VLOOKUP(bron[[#This Row],[personeelsnr]],[1]Blad1!$A:$H,3,FALSE)</f>
        <v>Verwee</v>
      </c>
      <c r="D145" t="str">
        <f>VLOOKUP(bron[[#This Row],[personeelsnr]],[1]Blad1!$A:$H,4,FALSE)</f>
        <v>Dries</v>
      </c>
      <c r="E145" s="2" t="str">
        <f>VLOOKUP(bron[[#This Row],[personeelsnr]],[1]Blad1!$A:$H,8,FALSE)</f>
        <v>Dewulf Els</v>
      </c>
      <c r="F145" s="6">
        <v>45390</v>
      </c>
      <c r="G145" s="5" t="s">
        <v>392</v>
      </c>
      <c r="H145" t="s">
        <v>90</v>
      </c>
      <c r="I145"/>
      <c r="J145" t="e">
        <f>VLOOKUP(bron[[#This Row],[voertuig]],Voertuigen!A:C,3,FALSE)</f>
        <v>#N/A</v>
      </c>
      <c r="K145" t="e">
        <f>VLOOKUP(bron[[#This Row],[voertuig]],Voertuigen!A:C,2,FALSE)</f>
        <v>#N/A</v>
      </c>
      <c r="L145">
        <f>COUNTIF(A:A,bron[[#This Row],[personeelsnr]])</f>
        <v>6</v>
      </c>
    </row>
    <row r="146" spans="1:12" hidden="1" x14ac:dyDescent="0.25">
      <c r="A146">
        <v>34385</v>
      </c>
      <c r="B146" t="e">
        <f>VLOOKUP(bron[[#This Row],[personeelsnr]],[1]Blad1!$A:$H,2,FALSE)</f>
        <v>#N/A</v>
      </c>
      <c r="C146" t="e">
        <f>VLOOKUP(bron[[#This Row],[personeelsnr]],[1]Blad1!$A:$H,3,FALSE)</f>
        <v>#N/A</v>
      </c>
      <c r="D146" t="e">
        <f>VLOOKUP(bron[[#This Row],[personeelsnr]],[1]Blad1!$A:$H,4,FALSE)</f>
        <v>#N/A</v>
      </c>
      <c r="E146" s="2" t="s">
        <v>221</v>
      </c>
      <c r="F146" s="6">
        <v>45390</v>
      </c>
      <c r="G146" s="5" t="s">
        <v>394</v>
      </c>
      <c r="H146" t="s">
        <v>10</v>
      </c>
      <c r="I146"/>
      <c r="J146" t="e">
        <f>VLOOKUP(bron[[#This Row],[voertuig]],Voertuigen!A:C,3,FALSE)</f>
        <v>#N/A</v>
      </c>
      <c r="K146" t="e">
        <f>VLOOKUP(bron[[#This Row],[voertuig]],Voertuigen!A:C,2,FALSE)</f>
        <v>#N/A</v>
      </c>
      <c r="L146">
        <f>COUNTIF(A:A,bron[[#This Row],[personeelsnr]])</f>
        <v>1</v>
      </c>
    </row>
    <row r="147" spans="1:12" hidden="1" x14ac:dyDescent="0.25">
      <c r="A147">
        <v>32620</v>
      </c>
      <c r="B147" t="str">
        <f>VLOOKUP(bron[[#This Row],[personeelsnr]],[1]Blad1!$A:$H,2,FALSE)</f>
        <v>Saey Elias</v>
      </c>
      <c r="C147" t="str">
        <f>VLOOKUP(bron[[#This Row],[personeelsnr]],[1]Blad1!$A:$H,3,FALSE)</f>
        <v>Saey</v>
      </c>
      <c r="D147" t="str">
        <f>VLOOKUP(bron[[#This Row],[personeelsnr]],[1]Blad1!$A:$H,4,FALSE)</f>
        <v>Elias</v>
      </c>
      <c r="E147" s="2" t="str">
        <f>VLOOKUP(bron[[#This Row],[personeelsnr]],[1]Blad1!$A:$H,8,FALSE)</f>
        <v>Vanhoe Els</v>
      </c>
      <c r="F147" s="6">
        <v>45391</v>
      </c>
      <c r="G147" s="5" t="s">
        <v>395</v>
      </c>
      <c r="H147" t="s">
        <v>8</v>
      </c>
      <c r="I147"/>
      <c r="J147" t="e">
        <f>VLOOKUP(bron[[#This Row],[voertuig]],Voertuigen!A:C,3,FALSE)</f>
        <v>#N/A</v>
      </c>
      <c r="K147" t="e">
        <f>VLOOKUP(bron[[#This Row],[voertuig]],Voertuigen!A:C,2,FALSE)</f>
        <v>#N/A</v>
      </c>
      <c r="L147">
        <f>COUNTIF(A:A,bron[[#This Row],[personeelsnr]])</f>
        <v>3</v>
      </c>
    </row>
    <row r="148" spans="1:12" hidden="1" x14ac:dyDescent="0.25">
      <c r="A148">
        <v>9999</v>
      </c>
      <c r="B148" t="e">
        <f>VLOOKUP(bron[[#This Row],[personeelsnr]],[1]Blad1!$A:$H,2,FALSE)</f>
        <v>#N/A</v>
      </c>
      <c r="C148" t="e">
        <f>VLOOKUP(bron[[#This Row],[personeelsnr]],[1]Blad1!$A:$H,3,FALSE)</f>
        <v>#N/A</v>
      </c>
      <c r="D148" t="e">
        <f>VLOOKUP(bron[[#This Row],[personeelsnr]],[1]Blad1!$A:$H,4,FALSE)</f>
        <v>#N/A</v>
      </c>
      <c r="E148" s="2" t="s">
        <v>221</v>
      </c>
      <c r="F148" s="6">
        <v>45392</v>
      </c>
      <c r="G148" s="5" t="s">
        <v>396</v>
      </c>
      <c r="H148" t="s">
        <v>41</v>
      </c>
      <c r="I148"/>
      <c r="J148" t="e">
        <f>VLOOKUP(bron[[#This Row],[voertuig]],Voertuigen!A:C,3,FALSE)</f>
        <v>#N/A</v>
      </c>
      <c r="K148" t="e">
        <f>VLOOKUP(bron[[#This Row],[voertuig]],Voertuigen!A:C,2,FALSE)</f>
        <v>#N/A</v>
      </c>
      <c r="L148">
        <f>COUNTIF(A:A,bron[[#This Row],[personeelsnr]])</f>
        <v>59</v>
      </c>
    </row>
    <row r="149" spans="1:12" hidden="1" x14ac:dyDescent="0.25">
      <c r="A149">
        <v>8708</v>
      </c>
      <c r="B149" t="str">
        <f>VLOOKUP(bron[[#This Row],[personeelsnr]],[1]Blad1!$A:$H,2,FALSE)</f>
        <v>Middernacht Andy</v>
      </c>
      <c r="C149" t="str">
        <f>VLOOKUP(bron[[#This Row],[personeelsnr]],[1]Blad1!$A:$H,3,FALSE)</f>
        <v>Middernacht</v>
      </c>
      <c r="D149" t="str">
        <f>VLOOKUP(bron[[#This Row],[personeelsnr]],[1]Blad1!$A:$H,4,FALSE)</f>
        <v>Andy</v>
      </c>
      <c r="E149" s="2" t="str">
        <f>VLOOKUP(bron[[#This Row],[personeelsnr]],[1]Blad1!$A:$H,8,FALSE)</f>
        <v>Van De Velde Lucie</v>
      </c>
      <c r="F149" s="6">
        <v>45393</v>
      </c>
      <c r="G149" s="5" t="s">
        <v>397</v>
      </c>
      <c r="H149" t="s">
        <v>105</v>
      </c>
      <c r="I149"/>
      <c r="J149" t="e">
        <f>VLOOKUP(bron[[#This Row],[voertuig]],Voertuigen!A:C,3,FALSE)</f>
        <v>#N/A</v>
      </c>
      <c r="K149" t="e">
        <f>VLOOKUP(bron[[#This Row],[voertuig]],Voertuigen!A:C,2,FALSE)</f>
        <v>#N/A</v>
      </c>
      <c r="L149">
        <f>COUNTIF(A:A,bron[[#This Row],[personeelsnr]])</f>
        <v>1</v>
      </c>
    </row>
    <row r="150" spans="1:12" hidden="1" x14ac:dyDescent="0.25">
      <c r="A150">
        <v>9999</v>
      </c>
      <c r="B150" t="e">
        <f>VLOOKUP(bron[[#This Row],[personeelsnr]],[1]Blad1!$A:$H,2,FALSE)</f>
        <v>#N/A</v>
      </c>
      <c r="C150" t="e">
        <f>VLOOKUP(bron[[#This Row],[personeelsnr]],[1]Blad1!$A:$H,3,FALSE)</f>
        <v>#N/A</v>
      </c>
      <c r="D150" t="e">
        <f>VLOOKUP(bron[[#This Row],[personeelsnr]],[1]Blad1!$A:$H,4,FALSE)</f>
        <v>#N/A</v>
      </c>
      <c r="E150" s="2" t="s">
        <v>221</v>
      </c>
      <c r="F150" s="6">
        <v>45393</v>
      </c>
      <c r="G150" s="5" t="s">
        <v>398</v>
      </c>
      <c r="H150" t="s">
        <v>41</v>
      </c>
      <c r="I150"/>
      <c r="J150" t="e">
        <f>VLOOKUP(bron[[#This Row],[voertuig]],Voertuigen!A:C,3,FALSE)</f>
        <v>#N/A</v>
      </c>
      <c r="K150" t="e">
        <f>VLOOKUP(bron[[#This Row],[voertuig]],Voertuigen!A:C,2,FALSE)</f>
        <v>#N/A</v>
      </c>
      <c r="L150">
        <f>COUNTIF(A:A,bron[[#This Row],[personeelsnr]])</f>
        <v>59</v>
      </c>
    </row>
    <row r="151" spans="1:12" hidden="1" x14ac:dyDescent="0.25">
      <c r="A151">
        <v>38807</v>
      </c>
      <c r="B151" t="str">
        <f>VLOOKUP(bron[[#This Row],[personeelsnr]],[1]Blad1!$A:$H,2,FALSE)</f>
        <v>Dossche Caroline</v>
      </c>
      <c r="C151" t="str">
        <f>VLOOKUP(bron[[#This Row],[personeelsnr]],[1]Blad1!$A:$H,3,FALSE)</f>
        <v>Dossche</v>
      </c>
      <c r="D151" t="str">
        <f>VLOOKUP(bron[[#This Row],[personeelsnr]],[1]Blad1!$A:$H,4,FALSE)</f>
        <v>Caroline</v>
      </c>
      <c r="E151" s="2" t="str">
        <f>VLOOKUP(bron[[#This Row],[personeelsnr]],[1]Blad1!$A:$H,8,FALSE)</f>
        <v>Rotty Christoff</v>
      </c>
      <c r="F151" s="6">
        <v>45394</v>
      </c>
      <c r="G151" s="5" t="s">
        <v>399</v>
      </c>
      <c r="H151" t="s">
        <v>400</v>
      </c>
      <c r="I151"/>
      <c r="J151" t="e">
        <f>VLOOKUP(bron[[#This Row],[voertuig]],Voertuigen!A:C,3,FALSE)</f>
        <v>#N/A</v>
      </c>
      <c r="K151" t="e">
        <f>VLOOKUP(bron[[#This Row],[voertuig]],Voertuigen!A:C,2,FALSE)</f>
        <v>#N/A</v>
      </c>
      <c r="L151">
        <f>COUNTIF(A:A,bron[[#This Row],[personeelsnr]])</f>
        <v>5</v>
      </c>
    </row>
    <row r="152" spans="1:12" hidden="1" x14ac:dyDescent="0.25">
      <c r="A152">
        <v>28717</v>
      </c>
      <c r="B152" t="str">
        <f>VLOOKUP(bron[[#This Row],[personeelsnr]],[1]Blad1!$A:$H,2,FALSE)</f>
        <v>Dejonckheere Els</v>
      </c>
      <c r="C152" t="str">
        <f>VLOOKUP(bron[[#This Row],[personeelsnr]],[1]Blad1!$A:$H,3,FALSE)</f>
        <v>Dejonckheere</v>
      </c>
      <c r="D152" t="str">
        <f>VLOOKUP(bron[[#This Row],[personeelsnr]],[1]Blad1!$A:$H,4,FALSE)</f>
        <v>Els</v>
      </c>
      <c r="E152" s="2" t="str">
        <f>VLOOKUP(bron[[#This Row],[personeelsnr]],[1]Blad1!$A:$H,8,FALSE)</f>
        <v>Van De Velde Lucie</v>
      </c>
      <c r="F152" s="6">
        <v>45394</v>
      </c>
      <c r="G152" s="5" t="s">
        <v>401</v>
      </c>
      <c r="H152" t="s">
        <v>8</v>
      </c>
      <c r="I152"/>
      <c r="J152" t="e">
        <f>VLOOKUP(bron[[#This Row],[voertuig]],Voertuigen!A:C,3,FALSE)</f>
        <v>#N/A</v>
      </c>
      <c r="K152" t="e">
        <f>VLOOKUP(bron[[#This Row],[voertuig]],Voertuigen!A:C,2,FALSE)</f>
        <v>#N/A</v>
      </c>
      <c r="L152">
        <f>COUNTIF(A:A,bron[[#This Row],[personeelsnr]])</f>
        <v>1</v>
      </c>
    </row>
    <row r="153" spans="1:12" hidden="1" x14ac:dyDescent="0.25">
      <c r="A153">
        <v>39930</v>
      </c>
      <c r="B153" t="str">
        <f>VLOOKUP(bron[[#This Row],[personeelsnr]],[1]Blad1!$A:$H,2,FALSE)</f>
        <v>Mirazai Rahmatullah</v>
      </c>
      <c r="C153" t="str">
        <f>VLOOKUP(bron[[#This Row],[personeelsnr]],[1]Blad1!$A:$H,3,FALSE)</f>
        <v>Mirazai</v>
      </c>
      <c r="D153" t="str">
        <f>VLOOKUP(bron[[#This Row],[personeelsnr]],[1]Blad1!$A:$H,4,FALSE)</f>
        <v>Rahmatullah</v>
      </c>
      <c r="E153" s="2" t="str">
        <f>VLOOKUP(bron[[#This Row],[personeelsnr]],[1]Blad1!$A:$H,8,FALSE)</f>
        <v>Rotty Christoff</v>
      </c>
      <c r="F153" s="6">
        <v>45395</v>
      </c>
      <c r="G153" s="5" t="s">
        <v>402</v>
      </c>
      <c r="H153" t="s">
        <v>66</v>
      </c>
      <c r="I153"/>
      <c r="J153" t="e">
        <f>VLOOKUP(bron[[#This Row],[voertuig]],Voertuigen!A:C,3,FALSE)</f>
        <v>#N/A</v>
      </c>
      <c r="K153" t="e">
        <f>VLOOKUP(bron[[#This Row],[voertuig]],Voertuigen!A:C,2,FALSE)</f>
        <v>#N/A</v>
      </c>
      <c r="L153">
        <f>COUNTIF(A:A,bron[[#This Row],[personeelsnr]])</f>
        <v>3</v>
      </c>
    </row>
    <row r="154" spans="1:12" hidden="1" x14ac:dyDescent="0.25">
      <c r="A154">
        <v>36429</v>
      </c>
      <c r="B154" t="str">
        <f>VLOOKUP(bron[[#This Row],[personeelsnr]],[1]Blad1!$A:$H,2,FALSE)</f>
        <v>Ahlaloum Khalid</v>
      </c>
      <c r="C154" t="str">
        <f>VLOOKUP(bron[[#This Row],[personeelsnr]],[1]Blad1!$A:$H,3,FALSE)</f>
        <v>Ahlaloum</v>
      </c>
      <c r="D154" t="str">
        <f>VLOOKUP(bron[[#This Row],[personeelsnr]],[1]Blad1!$A:$H,4,FALSE)</f>
        <v>Khalid</v>
      </c>
      <c r="E154" s="2" t="str">
        <f>VLOOKUP(bron[[#This Row],[personeelsnr]],[1]Blad1!$A:$H,8,FALSE)</f>
        <v>De Rick Kenneth</v>
      </c>
      <c r="F154" s="6">
        <v>45396</v>
      </c>
      <c r="G154" s="5" t="s">
        <v>403</v>
      </c>
      <c r="H154" t="s">
        <v>27</v>
      </c>
      <c r="I154"/>
      <c r="J154" t="e">
        <f>VLOOKUP(bron[[#This Row],[voertuig]],Voertuigen!A:C,3,FALSE)</f>
        <v>#N/A</v>
      </c>
      <c r="K154" t="e">
        <f>VLOOKUP(bron[[#This Row],[voertuig]],Voertuigen!A:C,2,FALSE)</f>
        <v>#N/A</v>
      </c>
      <c r="L154">
        <f>COUNTIF(A:A,bron[[#This Row],[personeelsnr]])</f>
        <v>1</v>
      </c>
    </row>
    <row r="155" spans="1:12" hidden="1" x14ac:dyDescent="0.25">
      <c r="A155">
        <v>38634</v>
      </c>
      <c r="B155" t="str">
        <f>VLOOKUP(bron[[#This Row],[personeelsnr]],[1]Blad1!$A:$H,2,FALSE)</f>
        <v>Asskale Zouhir</v>
      </c>
      <c r="C155" t="str">
        <f>VLOOKUP(bron[[#This Row],[personeelsnr]],[1]Blad1!$A:$H,3,FALSE)</f>
        <v>Asskale</v>
      </c>
      <c r="D155" t="str">
        <f>VLOOKUP(bron[[#This Row],[personeelsnr]],[1]Blad1!$A:$H,4,FALSE)</f>
        <v>Zouhir</v>
      </c>
      <c r="E155" s="2" t="str">
        <f>VLOOKUP(bron[[#This Row],[personeelsnr]],[1]Blad1!$A:$H,8,FALSE)</f>
        <v>Van Der Beken Bart</v>
      </c>
      <c r="F155" s="6">
        <v>45397</v>
      </c>
      <c r="G155" s="5" t="s">
        <v>404</v>
      </c>
      <c r="H155" t="s">
        <v>313</v>
      </c>
      <c r="I155"/>
      <c r="J155" t="e">
        <f>VLOOKUP(bron[[#This Row],[voertuig]],Voertuigen!A:C,3,FALSE)</f>
        <v>#N/A</v>
      </c>
      <c r="K155" t="e">
        <f>VLOOKUP(bron[[#This Row],[voertuig]],Voertuigen!A:C,2,FALSE)</f>
        <v>#N/A</v>
      </c>
      <c r="L155">
        <f>COUNTIF(A:A,bron[[#This Row],[personeelsnr]])</f>
        <v>3</v>
      </c>
    </row>
    <row r="156" spans="1:12" hidden="1" x14ac:dyDescent="0.25">
      <c r="A156">
        <v>31733</v>
      </c>
      <c r="B156" t="str">
        <f>VLOOKUP(bron[[#This Row],[personeelsnr]],[1]Blad1!$A:$H,2,FALSE)</f>
        <v>Sonck Kristof</v>
      </c>
      <c r="C156" t="str">
        <f>VLOOKUP(bron[[#This Row],[personeelsnr]],[1]Blad1!$A:$H,3,FALSE)</f>
        <v>Sonck</v>
      </c>
      <c r="D156" t="str">
        <f>VLOOKUP(bron[[#This Row],[personeelsnr]],[1]Blad1!$A:$H,4,FALSE)</f>
        <v>Kristof</v>
      </c>
      <c r="E156" s="2" t="str">
        <f>VLOOKUP(bron[[#This Row],[personeelsnr]],[1]Blad1!$A:$H,8,FALSE)</f>
        <v>De Clercq Dominique</v>
      </c>
      <c r="F156" s="6">
        <v>45399</v>
      </c>
      <c r="G156" s="5" t="s">
        <v>405</v>
      </c>
      <c r="H156" t="s">
        <v>8</v>
      </c>
      <c r="I156"/>
      <c r="J156" t="e">
        <f>VLOOKUP(bron[[#This Row],[voertuig]],Voertuigen!A:C,3,FALSE)</f>
        <v>#N/A</v>
      </c>
      <c r="K156" t="e">
        <f>VLOOKUP(bron[[#This Row],[voertuig]],Voertuigen!A:C,2,FALSE)</f>
        <v>#N/A</v>
      </c>
      <c r="L156">
        <f>COUNTIF(A:A,bron[[#This Row],[personeelsnr]])</f>
        <v>2</v>
      </c>
    </row>
    <row r="157" spans="1:12" hidden="1" x14ac:dyDescent="0.25">
      <c r="A157">
        <v>39829</v>
      </c>
      <c r="B157" t="str">
        <f>VLOOKUP(bron[[#This Row],[personeelsnr]],[1]Blad1!$A:$H,2,FALSE)</f>
        <v>Demirkaya Serkan</v>
      </c>
      <c r="C157" t="str">
        <f>VLOOKUP(bron[[#This Row],[personeelsnr]],[1]Blad1!$A:$H,3,FALSE)</f>
        <v>Demirkaya</v>
      </c>
      <c r="D157" t="str">
        <f>VLOOKUP(bron[[#This Row],[personeelsnr]],[1]Blad1!$A:$H,4,FALSE)</f>
        <v>Serkan</v>
      </c>
      <c r="E157" s="2" t="str">
        <f>VLOOKUP(bron[[#This Row],[personeelsnr]],[1]Blad1!$A:$H,8,FALSE)</f>
        <v>Van De Velde Lucie</v>
      </c>
      <c r="F157" s="6">
        <v>45399</v>
      </c>
      <c r="G157" s="5" t="s">
        <v>406</v>
      </c>
      <c r="H157" t="s">
        <v>24</v>
      </c>
      <c r="I157"/>
      <c r="J157" t="e">
        <f>VLOOKUP(bron[[#This Row],[voertuig]],Voertuigen!A:C,3,FALSE)</f>
        <v>#N/A</v>
      </c>
      <c r="K157" t="e">
        <f>VLOOKUP(bron[[#This Row],[voertuig]],Voertuigen!A:C,2,FALSE)</f>
        <v>#N/A</v>
      </c>
      <c r="L157">
        <f>COUNTIF(A:A,bron[[#This Row],[personeelsnr]])</f>
        <v>2</v>
      </c>
    </row>
    <row r="158" spans="1:12" hidden="1" x14ac:dyDescent="0.25">
      <c r="A158">
        <v>40223</v>
      </c>
      <c r="B158" t="e">
        <f>VLOOKUP(bron[[#This Row],[personeelsnr]],[1]Blad1!$A:$H,2,FALSE)</f>
        <v>#N/A</v>
      </c>
      <c r="C158" t="e">
        <f>VLOOKUP(bron[[#This Row],[personeelsnr]],[1]Blad1!$A:$H,3,FALSE)</f>
        <v>#N/A</v>
      </c>
      <c r="D158" t="e">
        <f>VLOOKUP(bron[[#This Row],[personeelsnr]],[1]Blad1!$A:$H,4,FALSE)</f>
        <v>#N/A</v>
      </c>
      <c r="E158" s="2" t="s">
        <v>221</v>
      </c>
      <c r="F158" s="6">
        <v>45399</v>
      </c>
      <c r="G158" s="5" t="s">
        <v>407</v>
      </c>
      <c r="H158" t="s">
        <v>73</v>
      </c>
      <c r="I158"/>
      <c r="J158" t="e">
        <f>VLOOKUP(bron[[#This Row],[voertuig]],Voertuigen!A:C,3,FALSE)</f>
        <v>#N/A</v>
      </c>
      <c r="K158" t="e">
        <f>VLOOKUP(bron[[#This Row],[voertuig]],Voertuigen!A:C,2,FALSE)</f>
        <v>#N/A</v>
      </c>
      <c r="L158">
        <f>COUNTIF(A:A,bron[[#This Row],[personeelsnr]])</f>
        <v>8</v>
      </c>
    </row>
    <row r="159" spans="1:12" hidden="1" x14ac:dyDescent="0.25">
      <c r="A159">
        <v>5599</v>
      </c>
      <c r="B159" t="str">
        <f>VLOOKUP(bron[[#This Row],[personeelsnr]],[1]Blad1!$A:$H,2,FALSE)</f>
        <v>Pretel Philippe</v>
      </c>
      <c r="C159" t="str">
        <f>VLOOKUP(bron[[#This Row],[personeelsnr]],[1]Blad1!$A:$H,3,FALSE)</f>
        <v>Pretel</v>
      </c>
      <c r="D159" t="str">
        <f>VLOOKUP(bron[[#This Row],[personeelsnr]],[1]Blad1!$A:$H,4,FALSE)</f>
        <v>Philippe</v>
      </c>
      <c r="E159" s="2" t="str">
        <f>VLOOKUP(bron[[#This Row],[personeelsnr]],[1]Blad1!$A:$H,8,FALSE)</f>
        <v>Storm Steven</v>
      </c>
      <c r="F159" s="6">
        <v>45399</v>
      </c>
      <c r="G159" s="5" t="s">
        <v>408</v>
      </c>
      <c r="H159" t="s">
        <v>7</v>
      </c>
      <c r="I159"/>
      <c r="J159" t="e">
        <f>VLOOKUP(bron[[#This Row],[voertuig]],Voertuigen!A:C,3,FALSE)</f>
        <v>#N/A</v>
      </c>
      <c r="K159" t="e">
        <f>VLOOKUP(bron[[#This Row],[voertuig]],Voertuigen!A:C,2,FALSE)</f>
        <v>#N/A</v>
      </c>
      <c r="L159">
        <f>COUNTIF(A:A,bron[[#This Row],[personeelsnr]])</f>
        <v>1</v>
      </c>
    </row>
    <row r="160" spans="1:12" hidden="1" x14ac:dyDescent="0.25">
      <c r="A160">
        <v>38481</v>
      </c>
      <c r="B160" t="str">
        <f>VLOOKUP(bron[[#This Row],[personeelsnr]],[1]Blad1!$A:$H,2,FALSE)</f>
        <v>Sari Devrim</v>
      </c>
      <c r="C160" t="str">
        <f>VLOOKUP(bron[[#This Row],[personeelsnr]],[1]Blad1!$A:$H,3,FALSE)</f>
        <v>Sari</v>
      </c>
      <c r="D160" t="str">
        <f>VLOOKUP(bron[[#This Row],[personeelsnr]],[1]Blad1!$A:$H,4,FALSE)</f>
        <v>Devrim</v>
      </c>
      <c r="E160" s="2" t="str">
        <f>VLOOKUP(bron[[#This Row],[personeelsnr]],[1]Blad1!$A:$H,8,FALSE)</f>
        <v>De Rick Kenneth</v>
      </c>
      <c r="F160" s="6">
        <v>45400</v>
      </c>
      <c r="G160" s="5" t="s">
        <v>409</v>
      </c>
      <c r="H160" t="s">
        <v>76</v>
      </c>
      <c r="I160"/>
      <c r="J160" t="e">
        <f>VLOOKUP(bron[[#This Row],[voertuig]],Voertuigen!A:C,3,FALSE)</f>
        <v>#N/A</v>
      </c>
      <c r="K160" t="e">
        <f>VLOOKUP(bron[[#This Row],[voertuig]],Voertuigen!A:C,2,FALSE)</f>
        <v>#N/A</v>
      </c>
      <c r="L160">
        <f>COUNTIF(A:A,bron[[#This Row],[personeelsnr]])</f>
        <v>4</v>
      </c>
    </row>
    <row r="161" spans="1:12" hidden="1" x14ac:dyDescent="0.25">
      <c r="A161">
        <v>35450</v>
      </c>
      <c r="B161" t="str">
        <f>VLOOKUP(bron[[#This Row],[personeelsnr]],[1]Blad1!$A:$H,2,FALSE)</f>
        <v>Roos Hugo</v>
      </c>
      <c r="C161" t="str">
        <f>VLOOKUP(bron[[#This Row],[personeelsnr]],[1]Blad1!$A:$H,3,FALSE)</f>
        <v>Roos</v>
      </c>
      <c r="D161" t="str">
        <f>VLOOKUP(bron[[#This Row],[personeelsnr]],[1]Blad1!$A:$H,4,FALSE)</f>
        <v>Hugo</v>
      </c>
      <c r="E161" s="2" t="str">
        <f>VLOOKUP(bron[[#This Row],[personeelsnr]],[1]Blad1!$A:$H,8,FALSE)</f>
        <v>Dewulf Els</v>
      </c>
      <c r="F161" s="6">
        <v>45400</v>
      </c>
      <c r="G161" s="5" t="s">
        <v>410</v>
      </c>
      <c r="H161" t="s">
        <v>8</v>
      </c>
      <c r="I161"/>
      <c r="J161" t="e">
        <f>VLOOKUP(bron[[#This Row],[voertuig]],Voertuigen!A:C,3,FALSE)</f>
        <v>#N/A</v>
      </c>
      <c r="K161" t="e">
        <f>VLOOKUP(bron[[#This Row],[voertuig]],Voertuigen!A:C,2,FALSE)</f>
        <v>#N/A</v>
      </c>
      <c r="L161">
        <f>COUNTIF(A:A,bron[[#This Row],[personeelsnr]])</f>
        <v>4</v>
      </c>
    </row>
    <row r="162" spans="1:12" hidden="1" x14ac:dyDescent="0.25">
      <c r="A162">
        <v>34351</v>
      </c>
      <c r="B162" t="str">
        <f>VLOOKUP(bron[[#This Row],[personeelsnr]],[1]Blad1!$A:$H,2,FALSE)</f>
        <v>Callant Dieter</v>
      </c>
      <c r="C162" t="str">
        <f>VLOOKUP(bron[[#This Row],[personeelsnr]],[1]Blad1!$A:$H,3,FALSE)</f>
        <v>Callant</v>
      </c>
      <c r="D162" t="str">
        <f>VLOOKUP(bron[[#This Row],[personeelsnr]],[1]Blad1!$A:$H,4,FALSE)</f>
        <v>Dieter</v>
      </c>
      <c r="E162" s="2" t="str">
        <f>VLOOKUP(bron[[#This Row],[personeelsnr]],[1]Blad1!$A:$H,8,FALSE)</f>
        <v>Vanhoe Els</v>
      </c>
      <c r="F162" s="6">
        <v>45401</v>
      </c>
      <c r="G162" s="5" t="s">
        <v>411</v>
      </c>
      <c r="H162" t="s">
        <v>412</v>
      </c>
      <c r="I162"/>
      <c r="J162" t="e">
        <f>VLOOKUP(bron[[#This Row],[voertuig]],Voertuigen!A:C,3,FALSE)</f>
        <v>#N/A</v>
      </c>
      <c r="K162" t="e">
        <f>VLOOKUP(bron[[#This Row],[voertuig]],Voertuigen!A:C,2,FALSE)</f>
        <v>#N/A</v>
      </c>
      <c r="L162">
        <f>COUNTIF(A:A,bron[[#This Row],[personeelsnr]])</f>
        <v>3</v>
      </c>
    </row>
    <row r="163" spans="1:12" hidden="1" x14ac:dyDescent="0.25">
      <c r="A163">
        <v>39183</v>
      </c>
      <c r="B163" t="str">
        <f>VLOOKUP(bron[[#This Row],[personeelsnr]],[1]Blad1!$A:$H,2,FALSE)</f>
        <v>Al Masri Anas</v>
      </c>
      <c r="C163" t="str">
        <f>VLOOKUP(bron[[#This Row],[personeelsnr]],[1]Blad1!$A:$H,3,FALSE)</f>
        <v>Al Masri</v>
      </c>
      <c r="D163" t="str">
        <f>VLOOKUP(bron[[#This Row],[personeelsnr]],[1]Blad1!$A:$H,4,FALSE)</f>
        <v>Anas</v>
      </c>
      <c r="E163" s="2" t="str">
        <f>VLOOKUP(bron[[#This Row],[personeelsnr]],[1]Blad1!$A:$H,8,FALSE)</f>
        <v>Rotty Christoff</v>
      </c>
      <c r="F163" s="6">
        <v>45401</v>
      </c>
      <c r="G163" s="5" t="s">
        <v>413</v>
      </c>
      <c r="H163" t="s">
        <v>158</v>
      </c>
      <c r="I163"/>
      <c r="J163" t="e">
        <f>VLOOKUP(bron[[#This Row],[voertuig]],Voertuigen!A:C,3,FALSE)</f>
        <v>#N/A</v>
      </c>
      <c r="K163" t="e">
        <f>VLOOKUP(bron[[#This Row],[voertuig]],Voertuigen!A:C,2,FALSE)</f>
        <v>#N/A</v>
      </c>
      <c r="L163">
        <f>COUNTIF(A:A,bron[[#This Row],[personeelsnr]])</f>
        <v>5</v>
      </c>
    </row>
    <row r="164" spans="1:12" hidden="1" x14ac:dyDescent="0.25">
      <c r="A164">
        <v>21509</v>
      </c>
      <c r="B164" t="str">
        <f>VLOOKUP(bron[[#This Row],[personeelsnr]],[1]Blad1!$A:$H,2,FALSE)</f>
        <v>De Craemer Kris</v>
      </c>
      <c r="C164" t="str">
        <f>VLOOKUP(bron[[#This Row],[personeelsnr]],[1]Blad1!$A:$H,3,FALSE)</f>
        <v>De Craemer</v>
      </c>
      <c r="D164" t="str">
        <f>VLOOKUP(bron[[#This Row],[personeelsnr]],[1]Blad1!$A:$H,4,FALSE)</f>
        <v>Kris</v>
      </c>
      <c r="E164" s="2" t="str">
        <f>VLOOKUP(bron[[#This Row],[personeelsnr]],[1]Blad1!$A:$H,8,FALSE)</f>
        <v>De Clercq Dominique</v>
      </c>
      <c r="F164" s="6">
        <v>45401</v>
      </c>
      <c r="G164" s="5" t="s">
        <v>414</v>
      </c>
      <c r="H164" t="s">
        <v>373</v>
      </c>
      <c r="I164"/>
      <c r="J164" t="e">
        <f>VLOOKUP(bron[[#This Row],[voertuig]],Voertuigen!A:C,3,FALSE)</f>
        <v>#N/A</v>
      </c>
      <c r="K164" t="e">
        <f>VLOOKUP(bron[[#This Row],[voertuig]],Voertuigen!A:C,2,FALSE)</f>
        <v>#N/A</v>
      </c>
      <c r="L164">
        <f>COUNTIF(A:A,bron[[#This Row],[personeelsnr]])</f>
        <v>6</v>
      </c>
    </row>
    <row r="165" spans="1:12" hidden="1" x14ac:dyDescent="0.25">
      <c r="A165">
        <v>34044</v>
      </c>
      <c r="B165" t="str">
        <f>VLOOKUP(bron[[#This Row],[personeelsnr]],[1]Blad1!$A:$H,2,FALSE)</f>
        <v>Wieme Kevin</v>
      </c>
      <c r="C165" t="str">
        <f>VLOOKUP(bron[[#This Row],[personeelsnr]],[1]Blad1!$A:$H,3,FALSE)</f>
        <v>Wieme</v>
      </c>
      <c r="D165" t="str">
        <f>VLOOKUP(bron[[#This Row],[personeelsnr]],[1]Blad1!$A:$H,4,FALSE)</f>
        <v>Kevin</v>
      </c>
      <c r="E165" s="2" t="str">
        <f>VLOOKUP(bron[[#This Row],[personeelsnr]],[1]Blad1!$A:$H,8,FALSE)</f>
        <v>Rotty Christoff</v>
      </c>
      <c r="F165" s="6">
        <v>45401</v>
      </c>
      <c r="G165" s="5" t="s">
        <v>415</v>
      </c>
      <c r="H165" t="s">
        <v>13</v>
      </c>
      <c r="I165"/>
      <c r="J165" t="e">
        <f>VLOOKUP(bron[[#This Row],[voertuig]],Voertuigen!A:C,3,FALSE)</f>
        <v>#N/A</v>
      </c>
      <c r="K165" t="e">
        <f>VLOOKUP(bron[[#This Row],[voertuig]],Voertuigen!A:C,2,FALSE)</f>
        <v>#N/A</v>
      </c>
      <c r="L165">
        <f>COUNTIF(A:A,bron[[#This Row],[personeelsnr]])</f>
        <v>2</v>
      </c>
    </row>
    <row r="166" spans="1:12" hidden="1" x14ac:dyDescent="0.25">
      <c r="A166">
        <v>11866</v>
      </c>
      <c r="B166" t="str">
        <f>VLOOKUP(bron[[#This Row],[personeelsnr]],[1]Blad1!$A:$H,2,FALSE)</f>
        <v>Bolle Pascal</v>
      </c>
      <c r="C166" t="str">
        <f>VLOOKUP(bron[[#This Row],[personeelsnr]],[1]Blad1!$A:$H,3,FALSE)</f>
        <v>Bolle</v>
      </c>
      <c r="D166" t="str">
        <f>VLOOKUP(bron[[#This Row],[personeelsnr]],[1]Blad1!$A:$H,4,FALSE)</f>
        <v>Pascal</v>
      </c>
      <c r="E166" s="2" t="str">
        <f>VLOOKUP(bron[[#This Row],[personeelsnr]],[1]Blad1!$A:$H,8,FALSE)</f>
        <v>Van De Velde Lucie</v>
      </c>
      <c r="F166" s="6">
        <v>45402</v>
      </c>
      <c r="G166" s="5" t="s">
        <v>416</v>
      </c>
      <c r="H166" t="s">
        <v>8</v>
      </c>
      <c r="I166"/>
      <c r="J166" t="e">
        <f>VLOOKUP(bron[[#This Row],[voertuig]],Voertuigen!A:C,3,FALSE)</f>
        <v>#N/A</v>
      </c>
      <c r="K166" t="e">
        <f>VLOOKUP(bron[[#This Row],[voertuig]],Voertuigen!A:C,2,FALSE)</f>
        <v>#N/A</v>
      </c>
      <c r="L166">
        <f>COUNTIF(A:A,bron[[#This Row],[personeelsnr]])</f>
        <v>1</v>
      </c>
    </row>
    <row r="167" spans="1:12" hidden="1" x14ac:dyDescent="0.25">
      <c r="A167">
        <v>9999</v>
      </c>
      <c r="B167" t="e">
        <f>VLOOKUP(bron[[#This Row],[personeelsnr]],[1]Blad1!$A:$H,2,FALSE)</f>
        <v>#N/A</v>
      </c>
      <c r="C167" t="e">
        <f>VLOOKUP(bron[[#This Row],[personeelsnr]],[1]Blad1!$A:$H,3,FALSE)</f>
        <v>#N/A</v>
      </c>
      <c r="D167" t="e">
        <f>VLOOKUP(bron[[#This Row],[personeelsnr]],[1]Blad1!$A:$H,4,FALSE)</f>
        <v>#N/A</v>
      </c>
      <c r="E167" s="2" t="s">
        <v>221</v>
      </c>
      <c r="F167" s="6">
        <v>45403</v>
      </c>
      <c r="G167" s="5" t="s">
        <v>417</v>
      </c>
      <c r="H167" t="s">
        <v>9</v>
      </c>
      <c r="I167"/>
      <c r="J167" t="e">
        <f>VLOOKUP(bron[[#This Row],[voertuig]],Voertuigen!A:C,3,FALSE)</f>
        <v>#N/A</v>
      </c>
      <c r="K167" t="e">
        <f>VLOOKUP(bron[[#This Row],[voertuig]],Voertuigen!A:C,2,FALSE)</f>
        <v>#N/A</v>
      </c>
      <c r="L167">
        <f>COUNTIF(A:A,bron[[#This Row],[personeelsnr]])</f>
        <v>59</v>
      </c>
    </row>
    <row r="168" spans="1:12" hidden="1" x14ac:dyDescent="0.25">
      <c r="A168">
        <v>21124</v>
      </c>
      <c r="B168" t="str">
        <f>VLOOKUP(bron[[#This Row],[personeelsnr]],[1]Blad1!$A:$H,2,FALSE)</f>
        <v>De Ridder Danny</v>
      </c>
      <c r="C168" t="str">
        <f>VLOOKUP(bron[[#This Row],[personeelsnr]],[1]Blad1!$A:$H,3,FALSE)</f>
        <v>De Ridder</v>
      </c>
      <c r="D168" t="str">
        <f>VLOOKUP(bron[[#This Row],[personeelsnr]],[1]Blad1!$A:$H,4,FALSE)</f>
        <v>Danny</v>
      </c>
      <c r="E168" s="2" t="str">
        <f>VLOOKUP(bron[[#This Row],[personeelsnr]],[1]Blad1!$A:$H,8,FALSE)</f>
        <v>Rotty Christoff</v>
      </c>
      <c r="F168" s="6">
        <v>45404</v>
      </c>
      <c r="G168" s="5" t="s">
        <v>418</v>
      </c>
      <c r="H168" t="s">
        <v>12</v>
      </c>
      <c r="I168"/>
      <c r="J168" t="e">
        <f>VLOOKUP(bron[[#This Row],[voertuig]],Voertuigen!A:C,3,FALSE)</f>
        <v>#N/A</v>
      </c>
      <c r="K168" t="e">
        <f>VLOOKUP(bron[[#This Row],[voertuig]],Voertuigen!A:C,2,FALSE)</f>
        <v>#N/A</v>
      </c>
      <c r="L168">
        <f>COUNTIF(A:A,bron[[#This Row],[personeelsnr]])</f>
        <v>1</v>
      </c>
    </row>
    <row r="169" spans="1:12" hidden="1" x14ac:dyDescent="0.25">
      <c r="A169">
        <v>22625</v>
      </c>
      <c r="B169" t="str">
        <f>VLOOKUP(bron[[#This Row],[personeelsnr]],[1]Blad1!$A:$H,2,FALSE)</f>
        <v>Callebert Pieter Jan</v>
      </c>
      <c r="C169" t="str">
        <f>VLOOKUP(bron[[#This Row],[personeelsnr]],[1]Blad1!$A:$H,3,FALSE)</f>
        <v>Callebert</v>
      </c>
      <c r="D169" t="str">
        <f>VLOOKUP(bron[[#This Row],[personeelsnr]],[1]Blad1!$A:$H,4,FALSE)</f>
        <v>Pieter Jan</v>
      </c>
      <c r="E169" s="2" t="str">
        <f>VLOOKUP(bron[[#This Row],[personeelsnr]],[1]Blad1!$A:$H,8,FALSE)</f>
        <v>Van Der Beken Bart</v>
      </c>
      <c r="F169" s="6">
        <v>45404</v>
      </c>
      <c r="G169" s="5" t="s">
        <v>419</v>
      </c>
      <c r="H169" t="s">
        <v>8</v>
      </c>
      <c r="I169"/>
      <c r="J169" t="e">
        <f>VLOOKUP(bron[[#This Row],[voertuig]],Voertuigen!A:C,3,FALSE)</f>
        <v>#N/A</v>
      </c>
      <c r="K169" t="e">
        <f>VLOOKUP(bron[[#This Row],[voertuig]],Voertuigen!A:C,2,FALSE)</f>
        <v>#N/A</v>
      </c>
      <c r="L169">
        <f>COUNTIF(A:A,bron[[#This Row],[personeelsnr]])</f>
        <v>1</v>
      </c>
    </row>
    <row r="170" spans="1:12" hidden="1" x14ac:dyDescent="0.25">
      <c r="A170">
        <v>36626</v>
      </c>
      <c r="B170" t="str">
        <f>VLOOKUP(bron[[#This Row],[personeelsnr]],[1]Blad1!$A:$H,2,FALSE)</f>
        <v>Kartal Kadir</v>
      </c>
      <c r="C170" t="str">
        <f>VLOOKUP(bron[[#This Row],[personeelsnr]],[1]Blad1!$A:$H,3,FALSE)</f>
        <v>Kartal</v>
      </c>
      <c r="D170" t="str">
        <f>VLOOKUP(bron[[#This Row],[personeelsnr]],[1]Blad1!$A:$H,4,FALSE)</f>
        <v>Kadir</v>
      </c>
      <c r="E170" s="2" t="str">
        <f>VLOOKUP(bron[[#This Row],[personeelsnr]],[1]Blad1!$A:$H,8,FALSE)</f>
        <v>Dewulf Els</v>
      </c>
      <c r="F170" s="6">
        <v>45405</v>
      </c>
      <c r="G170" s="5" t="s">
        <v>420</v>
      </c>
      <c r="H170" t="s">
        <v>22</v>
      </c>
      <c r="I170"/>
      <c r="J170" t="e">
        <f>VLOOKUP(bron[[#This Row],[voertuig]],Voertuigen!A:C,3,FALSE)</f>
        <v>#N/A</v>
      </c>
      <c r="K170" t="e">
        <f>VLOOKUP(bron[[#This Row],[voertuig]],Voertuigen!A:C,2,FALSE)</f>
        <v>#N/A</v>
      </c>
      <c r="L170">
        <f>COUNTIF(A:A,bron[[#This Row],[personeelsnr]])</f>
        <v>10</v>
      </c>
    </row>
    <row r="171" spans="1:12" hidden="1" x14ac:dyDescent="0.25">
      <c r="A171">
        <v>39927</v>
      </c>
      <c r="B171" t="str">
        <f>VLOOKUP(bron[[#This Row],[personeelsnr]],[1]Blad1!$A:$H,2,FALSE)</f>
        <v>De Wilde Jordy</v>
      </c>
      <c r="C171" t="str">
        <f>VLOOKUP(bron[[#This Row],[personeelsnr]],[1]Blad1!$A:$H,3,FALSE)</f>
        <v>De Wilde</v>
      </c>
      <c r="D171" t="str">
        <f>VLOOKUP(bron[[#This Row],[personeelsnr]],[1]Blad1!$A:$H,4,FALSE)</f>
        <v>Jordy</v>
      </c>
      <c r="E171" s="2" t="str">
        <f>VLOOKUP(bron[[#This Row],[personeelsnr]],[1]Blad1!$A:$H,8,FALSE)</f>
        <v>Rotty Christoff</v>
      </c>
      <c r="F171" s="6">
        <v>45405</v>
      </c>
      <c r="G171" s="5" t="s">
        <v>421</v>
      </c>
      <c r="H171" t="s">
        <v>8</v>
      </c>
      <c r="I171"/>
      <c r="J171" t="e">
        <f>VLOOKUP(bron[[#This Row],[voertuig]],Voertuigen!A:C,3,FALSE)</f>
        <v>#N/A</v>
      </c>
      <c r="K171" t="e">
        <f>VLOOKUP(bron[[#This Row],[voertuig]],Voertuigen!A:C,2,FALSE)</f>
        <v>#N/A</v>
      </c>
      <c r="L171">
        <f>COUNTIF(A:A,bron[[#This Row],[personeelsnr]])</f>
        <v>2</v>
      </c>
    </row>
    <row r="172" spans="1:12" hidden="1" x14ac:dyDescent="0.25">
      <c r="A172">
        <v>39899</v>
      </c>
      <c r="B172" t="str">
        <f>VLOOKUP(bron[[#This Row],[personeelsnr]],[1]Blad1!$A:$H,2,FALSE)</f>
        <v>Calinalti Abdil</v>
      </c>
      <c r="C172" t="str">
        <f>VLOOKUP(bron[[#This Row],[personeelsnr]],[1]Blad1!$A:$H,3,FALSE)</f>
        <v>Calinalti</v>
      </c>
      <c r="D172" t="str">
        <f>VLOOKUP(bron[[#This Row],[personeelsnr]],[1]Blad1!$A:$H,4,FALSE)</f>
        <v>Abdil</v>
      </c>
      <c r="E172" s="2" t="str">
        <f>VLOOKUP(bron[[#This Row],[personeelsnr]],[1]Blad1!$A:$H,8,FALSE)</f>
        <v>Rotty Christoff</v>
      </c>
      <c r="F172" s="6">
        <v>45405</v>
      </c>
      <c r="G172" s="5" t="s">
        <v>422</v>
      </c>
      <c r="H172" t="s">
        <v>337</v>
      </c>
      <c r="I172"/>
      <c r="J172" t="e">
        <f>VLOOKUP(bron[[#This Row],[voertuig]],Voertuigen!A:C,3,FALSE)</f>
        <v>#N/A</v>
      </c>
      <c r="K172" t="e">
        <f>VLOOKUP(bron[[#This Row],[voertuig]],Voertuigen!A:C,2,FALSE)</f>
        <v>#N/A</v>
      </c>
      <c r="L172">
        <f>COUNTIF(A:A,bron[[#This Row],[personeelsnr]])</f>
        <v>1</v>
      </c>
    </row>
    <row r="173" spans="1:12" hidden="1" x14ac:dyDescent="0.25">
      <c r="A173">
        <v>37951</v>
      </c>
      <c r="B173" t="str">
        <f>VLOOKUP(bron[[#This Row],[personeelsnr]],[1]Blad1!$A:$H,2,FALSE)</f>
        <v>Van De Voorde Cindy</v>
      </c>
      <c r="C173" t="str">
        <f>VLOOKUP(bron[[#This Row],[personeelsnr]],[1]Blad1!$A:$H,3,FALSE)</f>
        <v>Van De Voorde</v>
      </c>
      <c r="D173" t="str">
        <f>VLOOKUP(bron[[#This Row],[personeelsnr]],[1]Blad1!$A:$H,4,FALSE)</f>
        <v>Cindy</v>
      </c>
      <c r="E173" s="2" t="str">
        <f>VLOOKUP(bron[[#This Row],[personeelsnr]],[1]Blad1!$A:$H,8,FALSE)</f>
        <v>Van De Velde Lucie</v>
      </c>
      <c r="F173" s="6">
        <v>45406</v>
      </c>
      <c r="G173" s="5" t="s">
        <v>423</v>
      </c>
      <c r="H173" t="s">
        <v>424</v>
      </c>
      <c r="I173"/>
      <c r="J173" t="e">
        <f>VLOOKUP(bron[[#This Row],[voertuig]],Voertuigen!A:C,3,FALSE)</f>
        <v>#N/A</v>
      </c>
      <c r="K173" t="e">
        <f>VLOOKUP(bron[[#This Row],[voertuig]],Voertuigen!A:C,2,FALSE)</f>
        <v>#N/A</v>
      </c>
      <c r="L173">
        <f>COUNTIF(A:A,bron[[#This Row],[personeelsnr]])</f>
        <v>1</v>
      </c>
    </row>
    <row r="174" spans="1:12" hidden="1" x14ac:dyDescent="0.25">
      <c r="A174">
        <v>9999</v>
      </c>
      <c r="B174" t="e">
        <f>VLOOKUP(bron[[#This Row],[personeelsnr]],[1]Blad1!$A:$H,2,FALSE)</f>
        <v>#N/A</v>
      </c>
      <c r="C174" t="e">
        <f>VLOOKUP(bron[[#This Row],[personeelsnr]],[1]Blad1!$A:$H,3,FALSE)</f>
        <v>#N/A</v>
      </c>
      <c r="D174" t="e">
        <f>VLOOKUP(bron[[#This Row],[personeelsnr]],[1]Blad1!$A:$H,4,FALSE)</f>
        <v>#N/A</v>
      </c>
      <c r="E174" s="2" t="s">
        <v>221</v>
      </c>
      <c r="F174" s="6">
        <v>45409</v>
      </c>
      <c r="G174" s="5" t="s">
        <v>425</v>
      </c>
      <c r="H174" t="s">
        <v>27</v>
      </c>
      <c r="I174"/>
      <c r="J174" t="e">
        <f>VLOOKUP(bron[[#This Row],[voertuig]],Voertuigen!A:C,3,FALSE)</f>
        <v>#N/A</v>
      </c>
      <c r="K174" t="e">
        <f>VLOOKUP(bron[[#This Row],[voertuig]],Voertuigen!A:C,2,FALSE)</f>
        <v>#N/A</v>
      </c>
      <c r="L174">
        <f>COUNTIF(A:A,bron[[#This Row],[personeelsnr]])</f>
        <v>59</v>
      </c>
    </row>
    <row r="175" spans="1:12" hidden="1" x14ac:dyDescent="0.25">
      <c r="A175">
        <v>9999</v>
      </c>
      <c r="B175" t="e">
        <f>VLOOKUP(bron[[#This Row],[personeelsnr]],[1]Blad1!$A:$H,2,FALSE)</f>
        <v>#N/A</v>
      </c>
      <c r="C175" t="e">
        <f>VLOOKUP(bron[[#This Row],[personeelsnr]],[1]Blad1!$A:$H,3,FALSE)</f>
        <v>#N/A</v>
      </c>
      <c r="D175" t="e">
        <f>VLOOKUP(bron[[#This Row],[personeelsnr]],[1]Blad1!$A:$H,4,FALSE)</f>
        <v>#N/A</v>
      </c>
      <c r="E175" s="2" t="s">
        <v>221</v>
      </c>
      <c r="F175" s="6">
        <v>45410</v>
      </c>
      <c r="G175" s="5" t="s">
        <v>426</v>
      </c>
      <c r="H175" t="s">
        <v>7</v>
      </c>
      <c r="I175"/>
      <c r="J175" t="e">
        <f>VLOOKUP(bron[[#This Row],[voertuig]],Voertuigen!A:C,3,FALSE)</f>
        <v>#N/A</v>
      </c>
      <c r="K175" t="e">
        <f>VLOOKUP(bron[[#This Row],[voertuig]],Voertuigen!A:C,2,FALSE)</f>
        <v>#N/A</v>
      </c>
      <c r="L175">
        <f>COUNTIF(A:A,bron[[#This Row],[personeelsnr]])</f>
        <v>59</v>
      </c>
    </row>
    <row r="176" spans="1:12" hidden="1" x14ac:dyDescent="0.25">
      <c r="A176">
        <v>30901</v>
      </c>
      <c r="B176" t="str">
        <f>VLOOKUP(bron[[#This Row],[personeelsnr]],[1]Blad1!$A:$H,2,FALSE)</f>
        <v>vanden Bulcke Johan</v>
      </c>
      <c r="C176" t="str">
        <f>VLOOKUP(bron[[#This Row],[personeelsnr]],[1]Blad1!$A:$H,3,FALSE)</f>
        <v>vanden Bulcke</v>
      </c>
      <c r="D176" t="str">
        <f>VLOOKUP(bron[[#This Row],[personeelsnr]],[1]Blad1!$A:$H,4,FALSE)</f>
        <v>Johan</v>
      </c>
      <c r="E176" s="2" t="str">
        <f>VLOOKUP(bron[[#This Row],[personeelsnr]],[1]Blad1!$A:$H,8,FALSE)</f>
        <v>Dewulf Els</v>
      </c>
      <c r="F176" s="6">
        <v>45411</v>
      </c>
      <c r="G176" s="5" t="s">
        <v>427</v>
      </c>
      <c r="H176" t="s">
        <v>90</v>
      </c>
      <c r="I176"/>
      <c r="J176" t="e">
        <f>VLOOKUP(bron[[#This Row],[voertuig]],Voertuigen!A:C,3,FALSE)</f>
        <v>#N/A</v>
      </c>
      <c r="K176" t="e">
        <f>VLOOKUP(bron[[#This Row],[voertuig]],Voertuigen!A:C,2,FALSE)</f>
        <v>#N/A</v>
      </c>
      <c r="L176">
        <f>COUNTIF(A:A,bron[[#This Row],[personeelsnr]])</f>
        <v>2</v>
      </c>
    </row>
    <row r="177" spans="1:12" hidden="1" x14ac:dyDescent="0.25">
      <c r="A177">
        <v>30321</v>
      </c>
      <c r="B177" t="str">
        <f>VLOOKUP(bron[[#This Row],[personeelsnr]],[1]Blad1!$A:$H,2,FALSE)</f>
        <v>Unver Ismaïl</v>
      </c>
      <c r="C177" t="str">
        <f>VLOOKUP(bron[[#This Row],[personeelsnr]],[1]Blad1!$A:$H,3,FALSE)</f>
        <v>Unver</v>
      </c>
      <c r="D177" t="str">
        <f>VLOOKUP(bron[[#This Row],[personeelsnr]],[1]Blad1!$A:$H,4,FALSE)</f>
        <v>Ismaïl</v>
      </c>
      <c r="E177" s="2" t="str">
        <f>VLOOKUP(bron[[#This Row],[personeelsnr]],[1]Blad1!$A:$H,8,FALSE)</f>
        <v>De Rick Kenneth</v>
      </c>
      <c r="F177" s="6">
        <v>45411</v>
      </c>
      <c r="G177" s="5" t="s">
        <v>428</v>
      </c>
      <c r="H177" t="s">
        <v>424</v>
      </c>
      <c r="I177"/>
      <c r="J177" t="e">
        <f>VLOOKUP(bron[[#This Row],[voertuig]],Voertuigen!A:C,3,FALSE)</f>
        <v>#N/A</v>
      </c>
      <c r="K177" t="e">
        <f>VLOOKUP(bron[[#This Row],[voertuig]],Voertuigen!A:C,2,FALSE)</f>
        <v>#N/A</v>
      </c>
      <c r="L177">
        <f>COUNTIF(A:A,bron[[#This Row],[personeelsnr]])</f>
        <v>2</v>
      </c>
    </row>
    <row r="178" spans="1:12" hidden="1" x14ac:dyDescent="0.25">
      <c r="A178">
        <v>33551</v>
      </c>
      <c r="B178" t="str">
        <f>VLOOKUP(bron[[#This Row],[personeelsnr]],[1]Blad1!$A:$H,2,FALSE)</f>
        <v>Dekens Andy</v>
      </c>
      <c r="C178" t="str">
        <f>VLOOKUP(bron[[#This Row],[personeelsnr]],[1]Blad1!$A:$H,3,FALSE)</f>
        <v>Dekens</v>
      </c>
      <c r="D178" t="str">
        <f>VLOOKUP(bron[[#This Row],[personeelsnr]],[1]Blad1!$A:$H,4,FALSE)</f>
        <v>Andy</v>
      </c>
      <c r="E178" s="2" t="str">
        <f>VLOOKUP(bron[[#This Row],[personeelsnr]],[1]Blad1!$A:$H,8,FALSE)</f>
        <v>Vanhoe Els</v>
      </c>
      <c r="F178" s="6">
        <v>45411</v>
      </c>
      <c r="G178" s="5" t="s">
        <v>429</v>
      </c>
      <c r="H178" t="s">
        <v>430</v>
      </c>
      <c r="I178"/>
      <c r="J178" t="e">
        <f>VLOOKUP(bron[[#This Row],[voertuig]],Voertuigen!A:C,3,FALSE)</f>
        <v>#N/A</v>
      </c>
      <c r="K178" t="e">
        <f>VLOOKUP(bron[[#This Row],[voertuig]],Voertuigen!A:C,2,FALSE)</f>
        <v>#N/A</v>
      </c>
      <c r="L178">
        <f>COUNTIF(A:A,bron[[#This Row],[personeelsnr]])</f>
        <v>2</v>
      </c>
    </row>
    <row r="179" spans="1:12" hidden="1" x14ac:dyDescent="0.25">
      <c r="A179">
        <v>9999</v>
      </c>
      <c r="B179" t="e">
        <f>VLOOKUP(bron[[#This Row],[personeelsnr]],[1]Blad1!$A:$H,2,FALSE)</f>
        <v>#N/A</v>
      </c>
      <c r="C179" t="e">
        <f>VLOOKUP(bron[[#This Row],[personeelsnr]],[1]Blad1!$A:$H,3,FALSE)</f>
        <v>#N/A</v>
      </c>
      <c r="D179" t="e">
        <f>VLOOKUP(bron[[#This Row],[personeelsnr]],[1]Blad1!$A:$H,4,FALSE)</f>
        <v>#N/A</v>
      </c>
      <c r="E179" s="2" t="s">
        <v>221</v>
      </c>
      <c r="F179" s="6">
        <v>45411</v>
      </c>
      <c r="G179" s="5" t="s">
        <v>431</v>
      </c>
      <c r="H179" t="s">
        <v>48</v>
      </c>
      <c r="I179"/>
      <c r="J179" t="e">
        <f>VLOOKUP(bron[[#This Row],[voertuig]],Voertuigen!A:C,3,FALSE)</f>
        <v>#N/A</v>
      </c>
      <c r="K179" t="e">
        <f>VLOOKUP(bron[[#This Row],[voertuig]],Voertuigen!A:C,2,FALSE)</f>
        <v>#N/A</v>
      </c>
      <c r="L179">
        <f>COUNTIF(A:A,bron[[#This Row],[personeelsnr]])</f>
        <v>59</v>
      </c>
    </row>
    <row r="180" spans="1:12" hidden="1" x14ac:dyDescent="0.25">
      <c r="A180">
        <v>21582</v>
      </c>
      <c r="B180" t="e">
        <f>VLOOKUP(bron[[#This Row],[personeelsnr]],[1]Blad1!$A:$H,2,FALSE)</f>
        <v>#N/A</v>
      </c>
      <c r="C180" t="e">
        <f>VLOOKUP(bron[[#This Row],[personeelsnr]],[1]Blad1!$A:$H,3,FALSE)</f>
        <v>#N/A</v>
      </c>
      <c r="D180" t="e">
        <f>VLOOKUP(bron[[#This Row],[personeelsnr]],[1]Blad1!$A:$H,4,FALSE)</f>
        <v>#N/A</v>
      </c>
      <c r="E180" s="2" t="s">
        <v>221</v>
      </c>
      <c r="F180" s="6">
        <v>45412</v>
      </c>
      <c r="G180" s="5" t="s">
        <v>432</v>
      </c>
      <c r="H180" t="s">
        <v>7</v>
      </c>
      <c r="I180"/>
      <c r="J180" t="e">
        <f>VLOOKUP(bron[[#This Row],[voertuig]],Voertuigen!A:C,3,FALSE)</f>
        <v>#N/A</v>
      </c>
      <c r="K180" t="e">
        <f>VLOOKUP(bron[[#This Row],[voertuig]],Voertuigen!A:C,2,FALSE)</f>
        <v>#N/A</v>
      </c>
      <c r="L180">
        <f>COUNTIF(A:A,bron[[#This Row],[personeelsnr]])</f>
        <v>3</v>
      </c>
    </row>
    <row r="181" spans="1:12" hidden="1" x14ac:dyDescent="0.25">
      <c r="A181">
        <v>9065</v>
      </c>
      <c r="B181" t="str">
        <f>VLOOKUP(bron[[#This Row],[personeelsnr]],[1]Blad1!$A:$H,2,FALSE)</f>
        <v>Dewispelaere Danny</v>
      </c>
      <c r="C181" t="str">
        <f>VLOOKUP(bron[[#This Row],[personeelsnr]],[1]Blad1!$A:$H,3,FALSE)</f>
        <v>Dewispelaere</v>
      </c>
      <c r="D181" t="str">
        <f>VLOOKUP(bron[[#This Row],[personeelsnr]],[1]Blad1!$A:$H,4,FALSE)</f>
        <v>Danny</v>
      </c>
      <c r="E181" s="2" t="str">
        <f>VLOOKUP(bron[[#This Row],[personeelsnr]],[1]Blad1!$A:$H,8,FALSE)</f>
        <v>Vanhoe Els</v>
      </c>
      <c r="F181" s="6">
        <v>45412</v>
      </c>
      <c r="G181" s="5" t="s">
        <v>433</v>
      </c>
      <c r="H181" t="s">
        <v>434</v>
      </c>
      <c r="I181"/>
      <c r="J181" t="e">
        <f>VLOOKUP(bron[[#This Row],[voertuig]],Voertuigen!A:C,3,FALSE)</f>
        <v>#N/A</v>
      </c>
      <c r="K181" t="e">
        <f>VLOOKUP(bron[[#This Row],[voertuig]],Voertuigen!A:C,2,FALSE)</f>
        <v>#N/A</v>
      </c>
      <c r="L181">
        <f>COUNTIF(A:A,bron[[#This Row],[personeelsnr]])</f>
        <v>1</v>
      </c>
    </row>
    <row r="182" spans="1:12" hidden="1" x14ac:dyDescent="0.25">
      <c r="A182">
        <v>37609</v>
      </c>
      <c r="B182" t="str">
        <f>VLOOKUP(bron[[#This Row],[personeelsnr]],[1]Blad1!$A:$H,2,FALSE)</f>
        <v>De Groote Dylan</v>
      </c>
      <c r="C182" t="str">
        <f>VLOOKUP(bron[[#This Row],[personeelsnr]],[1]Blad1!$A:$H,3,FALSE)</f>
        <v>De Groote</v>
      </c>
      <c r="D182" t="str">
        <f>VLOOKUP(bron[[#This Row],[personeelsnr]],[1]Blad1!$A:$H,4,FALSE)</f>
        <v>Dylan</v>
      </c>
      <c r="E182" s="2" t="str">
        <f>VLOOKUP(bron[[#This Row],[personeelsnr]],[1]Blad1!$A:$H,8,FALSE)</f>
        <v>De Rick Kenneth</v>
      </c>
      <c r="F182" s="6">
        <v>45412</v>
      </c>
      <c r="G182" s="5" t="s">
        <v>435</v>
      </c>
      <c r="H182" t="s">
        <v>76</v>
      </c>
      <c r="I182"/>
      <c r="J182" t="e">
        <f>VLOOKUP(bron[[#This Row],[voertuig]],Voertuigen!A:C,3,FALSE)</f>
        <v>#N/A</v>
      </c>
      <c r="K182" t="e">
        <f>VLOOKUP(bron[[#This Row],[voertuig]],Voertuigen!A:C,2,FALSE)</f>
        <v>#N/A</v>
      </c>
      <c r="L182">
        <f>COUNTIF(A:A,bron[[#This Row],[personeelsnr]])</f>
        <v>2</v>
      </c>
    </row>
    <row r="183" spans="1:12" hidden="1" x14ac:dyDescent="0.25">
      <c r="A183">
        <v>40110</v>
      </c>
      <c r="B183" t="str">
        <f>VLOOKUP(bron[[#This Row],[personeelsnr]],[1]Blad1!$A:$H,2,FALSE)</f>
        <v>Vanlerberghe Sandra</v>
      </c>
      <c r="C183" t="str">
        <f>VLOOKUP(bron[[#This Row],[personeelsnr]],[1]Blad1!$A:$H,3,FALSE)</f>
        <v>Vanlerberghe</v>
      </c>
      <c r="D183" t="str">
        <f>VLOOKUP(bron[[#This Row],[personeelsnr]],[1]Blad1!$A:$H,4,FALSE)</f>
        <v>Sandra</v>
      </c>
      <c r="E183" s="2" t="str">
        <f>VLOOKUP(bron[[#This Row],[personeelsnr]],[1]Blad1!$A:$H,8,FALSE)</f>
        <v>Rotty Christoff</v>
      </c>
      <c r="F183" s="6">
        <v>45413</v>
      </c>
      <c r="G183" s="5" t="s">
        <v>436</v>
      </c>
      <c r="H183" t="s">
        <v>437</v>
      </c>
      <c r="I183"/>
      <c r="J183" t="e">
        <f>VLOOKUP(bron[[#This Row],[voertuig]],Voertuigen!A:C,3,FALSE)</f>
        <v>#N/A</v>
      </c>
      <c r="K183" t="e">
        <f>VLOOKUP(bron[[#This Row],[voertuig]],Voertuigen!A:C,2,FALSE)</f>
        <v>#N/A</v>
      </c>
      <c r="L183">
        <f>COUNTIF(A:A,bron[[#This Row],[personeelsnr]])</f>
        <v>7</v>
      </c>
    </row>
    <row r="184" spans="1:12" hidden="1" x14ac:dyDescent="0.25">
      <c r="A184">
        <v>38931</v>
      </c>
      <c r="B184" t="str">
        <f>VLOOKUP(bron[[#This Row],[personeelsnr]],[1]Blad1!$A:$H,2,FALSE)</f>
        <v>Sancak Eyuphan</v>
      </c>
      <c r="C184" t="str">
        <f>VLOOKUP(bron[[#This Row],[personeelsnr]],[1]Blad1!$A:$H,3,FALSE)</f>
        <v>Sancak</v>
      </c>
      <c r="D184" t="str">
        <f>VLOOKUP(bron[[#This Row],[personeelsnr]],[1]Blad1!$A:$H,4,FALSE)</f>
        <v>Eyuphan</v>
      </c>
      <c r="E184" s="2" t="str">
        <f>VLOOKUP(bron[[#This Row],[personeelsnr]],[1]Blad1!$A:$H,8,FALSE)</f>
        <v>Van Der Beken Bart</v>
      </c>
      <c r="F184" s="6">
        <v>45413</v>
      </c>
      <c r="G184" s="5" t="s">
        <v>438</v>
      </c>
      <c r="H184" t="s">
        <v>8</v>
      </c>
      <c r="I184"/>
      <c r="J184" t="e">
        <f>VLOOKUP(bron[[#This Row],[voertuig]],Voertuigen!A:C,3,FALSE)</f>
        <v>#N/A</v>
      </c>
      <c r="K184" t="e">
        <f>VLOOKUP(bron[[#This Row],[voertuig]],Voertuigen!A:C,2,FALSE)</f>
        <v>#N/A</v>
      </c>
      <c r="L184">
        <f>COUNTIF(A:A,bron[[#This Row],[personeelsnr]])</f>
        <v>4</v>
      </c>
    </row>
    <row r="185" spans="1:12" hidden="1" x14ac:dyDescent="0.25">
      <c r="A185">
        <v>37439</v>
      </c>
      <c r="B185" t="str">
        <f>VLOOKUP(bron[[#This Row],[personeelsnr]],[1]Blad1!$A:$H,2,FALSE)</f>
        <v>Demirkazik Mustafa</v>
      </c>
      <c r="C185" t="str">
        <f>VLOOKUP(bron[[#This Row],[personeelsnr]],[1]Blad1!$A:$H,3,FALSE)</f>
        <v>Demirkazik</v>
      </c>
      <c r="D185" t="str">
        <f>VLOOKUP(bron[[#This Row],[personeelsnr]],[1]Blad1!$A:$H,4,FALSE)</f>
        <v>Mustafa</v>
      </c>
      <c r="E185" s="2" t="str">
        <f>VLOOKUP(bron[[#This Row],[personeelsnr]],[1]Blad1!$A:$H,8,FALSE)</f>
        <v>De Rick Kenneth</v>
      </c>
      <c r="F185" s="6">
        <v>45414</v>
      </c>
      <c r="G185" s="5" t="s">
        <v>439</v>
      </c>
      <c r="H185" t="s">
        <v>8</v>
      </c>
      <c r="I185"/>
      <c r="J185" t="e">
        <f>VLOOKUP(bron[[#This Row],[voertuig]],Voertuigen!A:C,3,FALSE)</f>
        <v>#N/A</v>
      </c>
      <c r="K185" t="e">
        <f>VLOOKUP(bron[[#This Row],[voertuig]],Voertuigen!A:C,2,FALSE)</f>
        <v>#N/A</v>
      </c>
      <c r="L185">
        <f>COUNTIF(A:A,bron[[#This Row],[personeelsnr]])</f>
        <v>4</v>
      </c>
    </row>
    <row r="186" spans="1:12" hidden="1" x14ac:dyDescent="0.25">
      <c r="A186">
        <v>15852</v>
      </c>
      <c r="B186" t="str">
        <f>VLOOKUP(bron[[#This Row],[personeelsnr]],[1]Blad1!$A:$H,2,FALSE)</f>
        <v>Petereyns Vanessa</v>
      </c>
      <c r="C186" t="str">
        <f>VLOOKUP(bron[[#This Row],[personeelsnr]],[1]Blad1!$A:$H,3,FALSE)</f>
        <v>Petereyns</v>
      </c>
      <c r="D186" t="str">
        <f>VLOOKUP(bron[[#This Row],[personeelsnr]],[1]Blad1!$A:$H,4,FALSE)</f>
        <v>Vanessa</v>
      </c>
      <c r="E186" s="2" t="str">
        <f>VLOOKUP(bron[[#This Row],[personeelsnr]],[1]Blad1!$A:$H,8,FALSE)</f>
        <v>De Rick Kenneth</v>
      </c>
      <c r="F186" s="6">
        <v>45415</v>
      </c>
      <c r="G186" s="5" t="s">
        <v>440</v>
      </c>
      <c r="H186" t="s">
        <v>8</v>
      </c>
      <c r="I186"/>
      <c r="J186" t="e">
        <f>VLOOKUP(bron[[#This Row],[voertuig]],Voertuigen!A:C,3,FALSE)</f>
        <v>#N/A</v>
      </c>
      <c r="K186" t="e">
        <f>VLOOKUP(bron[[#This Row],[voertuig]],Voertuigen!A:C,2,FALSE)</f>
        <v>#N/A</v>
      </c>
      <c r="L186">
        <f>COUNTIF(A:A,bron[[#This Row],[personeelsnr]])</f>
        <v>1</v>
      </c>
    </row>
    <row r="187" spans="1:12" hidden="1" x14ac:dyDescent="0.25">
      <c r="A187">
        <v>15088</v>
      </c>
      <c r="B187" t="str">
        <f>VLOOKUP(bron[[#This Row],[personeelsnr]],[1]Blad1!$A:$H,2,FALSE)</f>
        <v>Laute Dirk</v>
      </c>
      <c r="C187" t="str">
        <f>VLOOKUP(bron[[#This Row],[personeelsnr]],[1]Blad1!$A:$H,3,FALSE)</f>
        <v>Laute</v>
      </c>
      <c r="D187" t="str">
        <f>VLOOKUP(bron[[#This Row],[personeelsnr]],[1]Blad1!$A:$H,4,FALSE)</f>
        <v>Dirk</v>
      </c>
      <c r="E187" s="2" t="str">
        <f>VLOOKUP(bron[[#This Row],[personeelsnr]],[1]Blad1!$A:$H,8,FALSE)</f>
        <v>Vanhoe Els</v>
      </c>
      <c r="F187" s="6">
        <v>45416</v>
      </c>
      <c r="G187" s="5" t="s">
        <v>441</v>
      </c>
      <c r="H187" t="s">
        <v>90</v>
      </c>
      <c r="I187"/>
      <c r="J187" t="e">
        <f>VLOOKUP(bron[[#This Row],[voertuig]],Voertuigen!A:C,3,FALSE)</f>
        <v>#N/A</v>
      </c>
      <c r="K187" t="e">
        <f>VLOOKUP(bron[[#This Row],[voertuig]],Voertuigen!A:C,2,FALSE)</f>
        <v>#N/A</v>
      </c>
      <c r="L187">
        <f>COUNTIF(A:A,bron[[#This Row],[personeelsnr]])</f>
        <v>2</v>
      </c>
    </row>
    <row r="188" spans="1:12" hidden="1" x14ac:dyDescent="0.25">
      <c r="A188">
        <v>37950</v>
      </c>
      <c r="B188" t="str">
        <f>VLOOKUP(bron[[#This Row],[personeelsnr]],[1]Blad1!$A:$H,2,FALSE)</f>
        <v>De Naegel Bruno</v>
      </c>
      <c r="C188" t="str">
        <f>VLOOKUP(bron[[#This Row],[personeelsnr]],[1]Blad1!$A:$H,3,FALSE)</f>
        <v>De Naegel</v>
      </c>
      <c r="D188" t="str">
        <f>VLOOKUP(bron[[#This Row],[personeelsnr]],[1]Blad1!$A:$H,4,FALSE)</f>
        <v>Bruno</v>
      </c>
      <c r="E188" s="2" t="str">
        <f>VLOOKUP(bron[[#This Row],[personeelsnr]],[1]Blad1!$A:$H,8,FALSE)</f>
        <v>De Clercq Dominique</v>
      </c>
      <c r="F188" s="6">
        <v>45416</v>
      </c>
      <c r="G188" s="5" t="s">
        <v>442</v>
      </c>
      <c r="H188" t="s">
        <v>90</v>
      </c>
      <c r="I188"/>
      <c r="J188" t="e">
        <f>VLOOKUP(bron[[#This Row],[voertuig]],Voertuigen!A:C,3,FALSE)</f>
        <v>#N/A</v>
      </c>
      <c r="K188" t="e">
        <f>VLOOKUP(bron[[#This Row],[voertuig]],Voertuigen!A:C,2,FALSE)</f>
        <v>#N/A</v>
      </c>
      <c r="L188">
        <f>COUNTIF(A:A,bron[[#This Row],[personeelsnr]])</f>
        <v>3</v>
      </c>
    </row>
    <row r="189" spans="1:12" hidden="1" x14ac:dyDescent="0.25">
      <c r="A189">
        <v>33965</v>
      </c>
      <c r="B189" t="e">
        <f>VLOOKUP(bron[[#This Row],[personeelsnr]],[1]Blad1!$A:$H,2,FALSE)</f>
        <v>#N/A</v>
      </c>
      <c r="C189" t="e">
        <f>VLOOKUP(bron[[#This Row],[personeelsnr]],[1]Blad1!$A:$H,3,FALSE)</f>
        <v>#N/A</v>
      </c>
      <c r="D189" t="e">
        <f>VLOOKUP(bron[[#This Row],[personeelsnr]],[1]Blad1!$A:$H,4,FALSE)</f>
        <v>#N/A</v>
      </c>
      <c r="E189" s="2" t="s">
        <v>221</v>
      </c>
      <c r="F189" s="6">
        <v>45416</v>
      </c>
      <c r="G189" s="5" t="s">
        <v>443</v>
      </c>
      <c r="H189" t="s">
        <v>19</v>
      </c>
      <c r="I189"/>
      <c r="J189" t="e">
        <f>VLOOKUP(bron[[#This Row],[voertuig]],Voertuigen!A:C,3,FALSE)</f>
        <v>#N/A</v>
      </c>
      <c r="K189" t="e">
        <f>VLOOKUP(bron[[#This Row],[voertuig]],Voertuigen!A:C,2,FALSE)</f>
        <v>#N/A</v>
      </c>
      <c r="L189">
        <f>COUNTIF(A:A,bron[[#This Row],[personeelsnr]])</f>
        <v>10</v>
      </c>
    </row>
    <row r="190" spans="1:12" hidden="1" x14ac:dyDescent="0.25">
      <c r="A190">
        <v>40058</v>
      </c>
      <c r="B190" t="str">
        <f>VLOOKUP(bron[[#This Row],[personeelsnr]],[1]Blad1!$A:$H,2,FALSE)</f>
        <v>Sögüt Can</v>
      </c>
      <c r="C190" t="str">
        <f>VLOOKUP(bron[[#This Row],[personeelsnr]],[1]Blad1!$A:$H,3,FALSE)</f>
        <v>Sögüt</v>
      </c>
      <c r="D190" t="str">
        <f>VLOOKUP(bron[[#This Row],[personeelsnr]],[1]Blad1!$A:$H,4,FALSE)</f>
        <v>Can</v>
      </c>
      <c r="E190" s="2" t="str">
        <f>VLOOKUP(bron[[#This Row],[personeelsnr]],[1]Blad1!$A:$H,8,FALSE)</f>
        <v>Rotty Christoff</v>
      </c>
      <c r="F190" s="6">
        <v>45417</v>
      </c>
      <c r="G190" s="5" t="s">
        <v>444</v>
      </c>
      <c r="H190" t="s">
        <v>362</v>
      </c>
      <c r="I190"/>
      <c r="J190" t="e">
        <f>VLOOKUP(bron[[#This Row],[voertuig]],Voertuigen!A:C,3,FALSE)</f>
        <v>#N/A</v>
      </c>
      <c r="K190" t="e">
        <f>VLOOKUP(bron[[#This Row],[voertuig]],Voertuigen!A:C,2,FALSE)</f>
        <v>#N/A</v>
      </c>
      <c r="L190">
        <f>COUNTIF(A:A,bron[[#This Row],[personeelsnr]])</f>
        <v>3</v>
      </c>
    </row>
    <row r="191" spans="1:12" hidden="1" x14ac:dyDescent="0.25">
      <c r="A191">
        <v>13088</v>
      </c>
      <c r="B191" t="str">
        <f>VLOOKUP(bron[[#This Row],[personeelsnr]],[1]Blad1!$A:$H,2,FALSE)</f>
        <v>De Geyter Claudine</v>
      </c>
      <c r="C191" t="str">
        <f>VLOOKUP(bron[[#This Row],[personeelsnr]],[1]Blad1!$A:$H,3,FALSE)</f>
        <v>De Geyter</v>
      </c>
      <c r="D191" t="str">
        <f>VLOOKUP(bron[[#This Row],[personeelsnr]],[1]Blad1!$A:$H,4,FALSE)</f>
        <v>Claudine</v>
      </c>
      <c r="E191" s="2" t="str">
        <f>VLOOKUP(bron[[#This Row],[personeelsnr]],[1]Blad1!$A:$H,8,FALSE)</f>
        <v>De Clercq Dominique</v>
      </c>
      <c r="F191" s="6">
        <v>45417</v>
      </c>
      <c r="G191" s="5" t="s">
        <v>445</v>
      </c>
      <c r="H191" t="s">
        <v>199</v>
      </c>
      <c r="I191"/>
      <c r="J191" t="e">
        <f>VLOOKUP(bron[[#This Row],[voertuig]],Voertuigen!A:C,3,FALSE)</f>
        <v>#N/A</v>
      </c>
      <c r="K191" t="e">
        <f>VLOOKUP(bron[[#This Row],[voertuig]],Voertuigen!A:C,2,FALSE)</f>
        <v>#N/A</v>
      </c>
      <c r="L191">
        <f>COUNTIF(A:A,bron[[#This Row],[personeelsnr]])</f>
        <v>2</v>
      </c>
    </row>
    <row r="192" spans="1:12" hidden="1" x14ac:dyDescent="0.25">
      <c r="A192">
        <v>40222</v>
      </c>
      <c r="B192" t="str">
        <f>VLOOKUP(bron[[#This Row],[personeelsnr]],[1]Blad1!$A:$H,2,FALSE)</f>
        <v>Van Iterson Sharon</v>
      </c>
      <c r="C192" t="str">
        <f>VLOOKUP(bron[[#This Row],[personeelsnr]],[1]Blad1!$A:$H,3,FALSE)</f>
        <v>Van Iterson</v>
      </c>
      <c r="D192" t="str">
        <f>VLOOKUP(bron[[#This Row],[personeelsnr]],[1]Blad1!$A:$H,4,FALSE)</f>
        <v>Sharon</v>
      </c>
      <c r="E192" s="2" t="str">
        <f>VLOOKUP(bron[[#This Row],[personeelsnr]],[1]Blad1!$A:$H,8,FALSE)</f>
        <v>De Clercq Dominique</v>
      </c>
      <c r="F192" s="6">
        <v>45418</v>
      </c>
      <c r="G192" s="5" t="s">
        <v>446</v>
      </c>
      <c r="H192" t="s">
        <v>447</v>
      </c>
      <c r="I192"/>
      <c r="J192" t="e">
        <f>VLOOKUP(bron[[#This Row],[voertuig]],Voertuigen!A:C,3,FALSE)</f>
        <v>#N/A</v>
      </c>
      <c r="K192" t="e">
        <f>VLOOKUP(bron[[#This Row],[voertuig]],Voertuigen!A:C,2,FALSE)</f>
        <v>#N/A</v>
      </c>
      <c r="L192">
        <f>COUNTIF(A:A,bron[[#This Row],[personeelsnr]])</f>
        <v>2</v>
      </c>
    </row>
    <row r="193" spans="1:12" hidden="1" x14ac:dyDescent="0.25">
      <c r="A193">
        <v>25487</v>
      </c>
      <c r="B193" t="str">
        <f>VLOOKUP(bron[[#This Row],[personeelsnr]],[1]Blad1!$A:$H,2,FALSE)</f>
        <v>Devos Stefaan</v>
      </c>
      <c r="C193" t="str">
        <f>VLOOKUP(bron[[#This Row],[personeelsnr]],[1]Blad1!$A:$H,3,FALSE)</f>
        <v>Devos</v>
      </c>
      <c r="D193" t="str">
        <f>VLOOKUP(bron[[#This Row],[personeelsnr]],[1]Blad1!$A:$H,4,FALSE)</f>
        <v>Stefaan</v>
      </c>
      <c r="E193" s="2" t="str">
        <f>VLOOKUP(bron[[#This Row],[personeelsnr]],[1]Blad1!$A:$H,8,FALSE)</f>
        <v>Storm Steven</v>
      </c>
      <c r="F193" s="6">
        <v>45418</v>
      </c>
      <c r="G193" s="5" t="s">
        <v>448</v>
      </c>
      <c r="H193" t="s">
        <v>16</v>
      </c>
      <c r="I193"/>
      <c r="J193" t="e">
        <f>VLOOKUP(bron[[#This Row],[voertuig]],Voertuigen!A:C,3,FALSE)</f>
        <v>#N/A</v>
      </c>
      <c r="K193" t="e">
        <f>VLOOKUP(bron[[#This Row],[voertuig]],Voertuigen!A:C,2,FALSE)</f>
        <v>#N/A</v>
      </c>
      <c r="L193">
        <f>COUNTIF(A:A,bron[[#This Row],[personeelsnr]])</f>
        <v>4</v>
      </c>
    </row>
    <row r="194" spans="1:12" hidden="1" x14ac:dyDescent="0.25">
      <c r="A194">
        <v>9999</v>
      </c>
      <c r="B194" t="e">
        <f>VLOOKUP(bron[[#This Row],[personeelsnr]],[1]Blad1!$A:$H,2,FALSE)</f>
        <v>#N/A</v>
      </c>
      <c r="C194" t="e">
        <f>VLOOKUP(bron[[#This Row],[personeelsnr]],[1]Blad1!$A:$H,3,FALSE)</f>
        <v>#N/A</v>
      </c>
      <c r="D194" t="e">
        <f>VLOOKUP(bron[[#This Row],[personeelsnr]],[1]Blad1!$A:$H,4,FALSE)</f>
        <v>#N/A</v>
      </c>
      <c r="E194" s="2" t="s">
        <v>221</v>
      </c>
      <c r="F194" s="6">
        <v>45419</v>
      </c>
      <c r="G194" s="5" t="s">
        <v>449</v>
      </c>
      <c r="H194" t="s">
        <v>22</v>
      </c>
      <c r="I194"/>
      <c r="J194" t="e">
        <f>VLOOKUP(bron[[#This Row],[voertuig]],Voertuigen!A:C,3,FALSE)</f>
        <v>#N/A</v>
      </c>
      <c r="K194" t="e">
        <f>VLOOKUP(bron[[#This Row],[voertuig]],Voertuigen!A:C,2,FALSE)</f>
        <v>#N/A</v>
      </c>
      <c r="L194">
        <f>COUNTIF(A:A,bron[[#This Row],[personeelsnr]])</f>
        <v>59</v>
      </c>
    </row>
    <row r="195" spans="1:12" hidden="1" x14ac:dyDescent="0.25">
      <c r="A195">
        <v>39019</v>
      </c>
      <c r="B195" t="str">
        <f>VLOOKUP(bron[[#This Row],[personeelsnr]],[1]Blad1!$A:$H,2,FALSE)</f>
        <v>De taeye Kelly</v>
      </c>
      <c r="C195" t="str">
        <f>VLOOKUP(bron[[#This Row],[personeelsnr]],[1]Blad1!$A:$H,3,FALSE)</f>
        <v>De taeye</v>
      </c>
      <c r="D195" t="str">
        <f>VLOOKUP(bron[[#This Row],[personeelsnr]],[1]Blad1!$A:$H,4,FALSE)</f>
        <v>Kelly</v>
      </c>
      <c r="E195" s="2" t="str">
        <f>VLOOKUP(bron[[#This Row],[personeelsnr]],[1]Blad1!$A:$H,8,FALSE)</f>
        <v>Van De Velde Lucie</v>
      </c>
      <c r="F195" s="6">
        <v>45419</v>
      </c>
      <c r="G195" s="5" t="s">
        <v>450</v>
      </c>
      <c r="H195" t="s">
        <v>451</v>
      </c>
      <c r="I195"/>
      <c r="J195" t="e">
        <f>VLOOKUP(bron[[#This Row],[voertuig]],Voertuigen!A:C,3,FALSE)</f>
        <v>#N/A</v>
      </c>
      <c r="K195" t="e">
        <f>VLOOKUP(bron[[#This Row],[voertuig]],Voertuigen!A:C,2,FALSE)</f>
        <v>#N/A</v>
      </c>
      <c r="L195">
        <f>COUNTIF(A:A,bron[[#This Row],[personeelsnr]])</f>
        <v>2</v>
      </c>
    </row>
    <row r="196" spans="1:12" hidden="1" x14ac:dyDescent="0.25">
      <c r="A196">
        <v>38688</v>
      </c>
      <c r="B196" t="str">
        <f>VLOOKUP(bron[[#This Row],[personeelsnr]],[1]Blad1!$A:$H,2,FALSE)</f>
        <v>Basgurboga Selahattin</v>
      </c>
      <c r="C196" t="str">
        <f>VLOOKUP(bron[[#This Row],[personeelsnr]],[1]Blad1!$A:$H,3,FALSE)</f>
        <v>Basgurboga</v>
      </c>
      <c r="D196" t="str">
        <f>VLOOKUP(bron[[#This Row],[personeelsnr]],[1]Blad1!$A:$H,4,FALSE)</f>
        <v>Selahattin</v>
      </c>
      <c r="E196" s="2" t="str">
        <f>VLOOKUP(bron[[#This Row],[personeelsnr]],[1]Blad1!$A:$H,8,FALSE)</f>
        <v>Dewulf Els</v>
      </c>
      <c r="F196" s="6">
        <v>45420</v>
      </c>
      <c r="G196" s="5" t="s">
        <v>452</v>
      </c>
      <c r="H196" t="s">
        <v>22</v>
      </c>
      <c r="I196"/>
      <c r="J196" t="e">
        <f>VLOOKUP(bron[[#This Row],[voertuig]],Voertuigen!A:C,3,FALSE)</f>
        <v>#N/A</v>
      </c>
      <c r="K196" t="e">
        <f>VLOOKUP(bron[[#This Row],[voertuig]],Voertuigen!A:C,2,FALSE)</f>
        <v>#N/A</v>
      </c>
      <c r="L196">
        <f>COUNTIF(A:A,bron[[#This Row],[personeelsnr]])</f>
        <v>3</v>
      </c>
    </row>
    <row r="197" spans="1:12" hidden="1" x14ac:dyDescent="0.25">
      <c r="A197">
        <v>35246</v>
      </c>
      <c r="B197" t="str">
        <f>VLOOKUP(bron[[#This Row],[personeelsnr]],[1]Blad1!$A:$H,2,FALSE)</f>
        <v>De Meyer Karel</v>
      </c>
      <c r="C197" t="str">
        <f>VLOOKUP(bron[[#This Row],[personeelsnr]],[1]Blad1!$A:$H,3,FALSE)</f>
        <v>De Meyer</v>
      </c>
      <c r="D197" t="str">
        <f>VLOOKUP(bron[[#This Row],[personeelsnr]],[1]Blad1!$A:$H,4,FALSE)</f>
        <v>Karel</v>
      </c>
      <c r="E197" s="2" t="str">
        <f>VLOOKUP(bron[[#This Row],[personeelsnr]],[1]Blad1!$A:$H,8,FALSE)</f>
        <v>Vanhoe Els</v>
      </c>
      <c r="F197" s="6">
        <v>45423</v>
      </c>
      <c r="G197" s="5" t="s">
        <v>453</v>
      </c>
      <c r="H197" t="s">
        <v>14</v>
      </c>
      <c r="I197"/>
      <c r="J197" t="e">
        <f>VLOOKUP(bron[[#This Row],[voertuig]],Voertuigen!A:C,3,FALSE)</f>
        <v>#N/A</v>
      </c>
      <c r="K197" t="e">
        <f>VLOOKUP(bron[[#This Row],[voertuig]],Voertuigen!A:C,2,FALSE)</f>
        <v>#N/A</v>
      </c>
      <c r="L197">
        <f>COUNTIF(A:A,bron[[#This Row],[personeelsnr]])</f>
        <v>2</v>
      </c>
    </row>
    <row r="198" spans="1:12" hidden="1" x14ac:dyDescent="0.25">
      <c r="A198">
        <v>10150</v>
      </c>
      <c r="B198" t="str">
        <f>VLOOKUP(bron[[#This Row],[personeelsnr]],[1]Blad1!$A:$H,2,FALSE)</f>
        <v>Vandenbogaerde Tony</v>
      </c>
      <c r="C198" t="str">
        <f>VLOOKUP(bron[[#This Row],[personeelsnr]],[1]Blad1!$A:$H,3,FALSE)</f>
        <v>Vandenbogaerde</v>
      </c>
      <c r="D198" t="str">
        <f>VLOOKUP(bron[[#This Row],[personeelsnr]],[1]Blad1!$A:$H,4,FALSE)</f>
        <v>Tony</v>
      </c>
      <c r="E198" s="2" t="str">
        <f>VLOOKUP(bron[[#This Row],[personeelsnr]],[1]Blad1!$A:$H,8,FALSE)</f>
        <v>Storm Steven</v>
      </c>
      <c r="F198" s="6">
        <v>45423</v>
      </c>
      <c r="G198" s="5" t="s">
        <v>454</v>
      </c>
      <c r="H198" t="s">
        <v>7</v>
      </c>
      <c r="I198"/>
      <c r="J198" t="e">
        <f>VLOOKUP(bron[[#This Row],[voertuig]],Voertuigen!A:C,3,FALSE)</f>
        <v>#N/A</v>
      </c>
      <c r="K198" t="e">
        <f>VLOOKUP(bron[[#This Row],[voertuig]],Voertuigen!A:C,2,FALSE)</f>
        <v>#N/A</v>
      </c>
      <c r="L198">
        <f>COUNTIF(A:A,bron[[#This Row],[personeelsnr]])</f>
        <v>1</v>
      </c>
    </row>
    <row r="199" spans="1:12" hidden="1" x14ac:dyDescent="0.25">
      <c r="A199">
        <v>9999</v>
      </c>
      <c r="B199" t="e">
        <f>VLOOKUP(bron[[#This Row],[personeelsnr]],[1]Blad1!$A:$H,2,FALSE)</f>
        <v>#N/A</v>
      </c>
      <c r="C199" t="e">
        <f>VLOOKUP(bron[[#This Row],[personeelsnr]],[1]Blad1!$A:$H,3,FALSE)</f>
        <v>#N/A</v>
      </c>
      <c r="D199" t="e">
        <f>VLOOKUP(bron[[#This Row],[personeelsnr]],[1]Blad1!$A:$H,4,FALSE)</f>
        <v>#N/A</v>
      </c>
      <c r="E199" s="2" t="s">
        <v>221</v>
      </c>
      <c r="F199" s="6">
        <v>45424</v>
      </c>
      <c r="G199" s="5" t="s">
        <v>455</v>
      </c>
      <c r="H199" t="s">
        <v>9</v>
      </c>
      <c r="I199"/>
      <c r="J199" t="e">
        <f>VLOOKUP(bron[[#This Row],[voertuig]],Voertuigen!A:C,3,FALSE)</f>
        <v>#N/A</v>
      </c>
      <c r="K199" t="e">
        <f>VLOOKUP(bron[[#This Row],[voertuig]],Voertuigen!A:C,2,FALSE)</f>
        <v>#N/A</v>
      </c>
      <c r="L199">
        <f>COUNTIF(A:A,bron[[#This Row],[personeelsnr]])</f>
        <v>59</v>
      </c>
    </row>
    <row r="200" spans="1:12" hidden="1" x14ac:dyDescent="0.25">
      <c r="A200">
        <v>6310</v>
      </c>
      <c r="B200" t="e">
        <f>VLOOKUP(bron[[#This Row],[personeelsnr]],[1]Blad1!$A:$H,2,FALSE)</f>
        <v>#N/A</v>
      </c>
      <c r="C200" t="e">
        <f>VLOOKUP(bron[[#This Row],[personeelsnr]],[1]Blad1!$A:$H,3,FALSE)</f>
        <v>#N/A</v>
      </c>
      <c r="D200" t="e">
        <f>VLOOKUP(bron[[#This Row],[personeelsnr]],[1]Blad1!$A:$H,4,FALSE)</f>
        <v>#N/A</v>
      </c>
      <c r="E200" s="2" t="s">
        <v>221</v>
      </c>
      <c r="F200" s="6">
        <v>45424</v>
      </c>
      <c r="G200" s="5" t="s">
        <v>456</v>
      </c>
      <c r="H200" t="s">
        <v>8</v>
      </c>
      <c r="I200"/>
      <c r="J200" t="e">
        <f>VLOOKUP(bron[[#This Row],[voertuig]],Voertuigen!A:C,3,FALSE)</f>
        <v>#N/A</v>
      </c>
      <c r="K200" t="e">
        <f>VLOOKUP(bron[[#This Row],[voertuig]],Voertuigen!A:C,2,FALSE)</f>
        <v>#N/A</v>
      </c>
      <c r="L200">
        <f>COUNTIF(A:A,bron[[#This Row],[personeelsnr]])</f>
        <v>3</v>
      </c>
    </row>
    <row r="201" spans="1:12" hidden="1" x14ac:dyDescent="0.25">
      <c r="A201">
        <v>37345</v>
      </c>
      <c r="B201" t="str">
        <f>VLOOKUP(bron[[#This Row],[personeelsnr]],[1]Blad1!$A:$H,2,FALSE)</f>
        <v>Walleyn Renaat</v>
      </c>
      <c r="C201" t="str">
        <f>VLOOKUP(bron[[#This Row],[personeelsnr]],[1]Blad1!$A:$H,3,FALSE)</f>
        <v>Walleyn</v>
      </c>
      <c r="D201" t="str">
        <f>VLOOKUP(bron[[#This Row],[personeelsnr]],[1]Blad1!$A:$H,4,FALSE)</f>
        <v>Renaat</v>
      </c>
      <c r="E201" s="2" t="str">
        <f>VLOOKUP(bron[[#This Row],[personeelsnr]],[1]Blad1!$A:$H,8,FALSE)</f>
        <v>Van De Velde Lucie</v>
      </c>
      <c r="F201" s="6">
        <v>45425</v>
      </c>
      <c r="G201" s="5" t="s">
        <v>457</v>
      </c>
      <c r="H201" t="s">
        <v>8</v>
      </c>
      <c r="I201"/>
      <c r="J201" t="e">
        <f>VLOOKUP(bron[[#This Row],[voertuig]],Voertuigen!A:C,3,FALSE)</f>
        <v>#N/A</v>
      </c>
      <c r="K201" t="e">
        <f>VLOOKUP(bron[[#This Row],[voertuig]],Voertuigen!A:C,2,FALSE)</f>
        <v>#N/A</v>
      </c>
      <c r="L201">
        <f>COUNTIF(A:A,bron[[#This Row],[personeelsnr]])</f>
        <v>3</v>
      </c>
    </row>
    <row r="202" spans="1:12" hidden="1" x14ac:dyDescent="0.25">
      <c r="A202">
        <v>11508</v>
      </c>
      <c r="B202" t="str">
        <f>VLOOKUP(bron[[#This Row],[personeelsnr]],[1]Blad1!$A:$H,2,FALSE)</f>
        <v>Beeckman Nico</v>
      </c>
      <c r="C202" t="str">
        <f>VLOOKUP(bron[[#This Row],[personeelsnr]],[1]Blad1!$A:$H,3,FALSE)</f>
        <v>Beeckman</v>
      </c>
      <c r="D202" t="str">
        <f>VLOOKUP(bron[[#This Row],[personeelsnr]],[1]Blad1!$A:$H,4,FALSE)</f>
        <v>Nico</v>
      </c>
      <c r="E202" s="2" t="str">
        <f>VLOOKUP(bron[[#This Row],[personeelsnr]],[1]Blad1!$A:$H,8,FALSE)</f>
        <v>Van De Velde Lucie</v>
      </c>
      <c r="F202" s="6">
        <v>45425</v>
      </c>
      <c r="G202" s="5" t="s">
        <v>458</v>
      </c>
      <c r="H202" t="s">
        <v>8</v>
      </c>
      <c r="I202"/>
      <c r="J202" t="e">
        <f>VLOOKUP(bron[[#This Row],[voertuig]],Voertuigen!A:C,3,FALSE)</f>
        <v>#N/A</v>
      </c>
      <c r="K202" t="e">
        <f>VLOOKUP(bron[[#This Row],[voertuig]],Voertuigen!A:C,2,FALSE)</f>
        <v>#N/A</v>
      </c>
      <c r="L202">
        <f>COUNTIF(A:A,bron[[#This Row],[personeelsnr]])</f>
        <v>1</v>
      </c>
    </row>
    <row r="203" spans="1:12" hidden="1" x14ac:dyDescent="0.25">
      <c r="A203">
        <v>19917</v>
      </c>
      <c r="B203" t="str">
        <f>VLOOKUP(bron[[#This Row],[personeelsnr]],[1]Blad1!$A:$H,2,FALSE)</f>
        <v>Vandevyvere Frank</v>
      </c>
      <c r="C203" t="str">
        <f>VLOOKUP(bron[[#This Row],[personeelsnr]],[1]Blad1!$A:$H,3,FALSE)</f>
        <v>Vandevyvere</v>
      </c>
      <c r="D203" t="str">
        <f>VLOOKUP(bron[[#This Row],[personeelsnr]],[1]Blad1!$A:$H,4,FALSE)</f>
        <v>Frank</v>
      </c>
      <c r="E203" s="2" t="str">
        <f>VLOOKUP(bron[[#This Row],[personeelsnr]],[1]Blad1!$A:$H,8,FALSE)</f>
        <v>Van Der Beken Bart</v>
      </c>
      <c r="F203" s="6">
        <v>45427</v>
      </c>
      <c r="G203" s="5" t="s">
        <v>459</v>
      </c>
      <c r="H203" t="s">
        <v>12</v>
      </c>
      <c r="I203"/>
      <c r="J203" t="e">
        <f>VLOOKUP(bron[[#This Row],[voertuig]],Voertuigen!A:C,3,FALSE)</f>
        <v>#N/A</v>
      </c>
      <c r="K203" t="e">
        <f>VLOOKUP(bron[[#This Row],[voertuig]],Voertuigen!A:C,2,FALSE)</f>
        <v>#N/A</v>
      </c>
      <c r="L203">
        <f>COUNTIF(A:A,bron[[#This Row],[personeelsnr]])</f>
        <v>10</v>
      </c>
    </row>
    <row r="204" spans="1:12" hidden="1" x14ac:dyDescent="0.25">
      <c r="A204">
        <v>38808</v>
      </c>
      <c r="B204" t="str">
        <f>VLOOKUP(bron[[#This Row],[personeelsnr]],[1]Blad1!$A:$H,2,FALSE)</f>
        <v>Wasen Jens</v>
      </c>
      <c r="C204" t="str">
        <f>VLOOKUP(bron[[#This Row],[personeelsnr]],[1]Blad1!$A:$H,3,FALSE)</f>
        <v>Wasen</v>
      </c>
      <c r="D204" t="str">
        <f>VLOOKUP(bron[[#This Row],[personeelsnr]],[1]Blad1!$A:$H,4,FALSE)</f>
        <v>Jens</v>
      </c>
      <c r="E204" s="2" t="str">
        <f>VLOOKUP(bron[[#This Row],[personeelsnr]],[1]Blad1!$A:$H,8,FALSE)</f>
        <v>Dewulf Els</v>
      </c>
      <c r="F204" s="6">
        <v>45428</v>
      </c>
      <c r="G204" s="5" t="s">
        <v>460</v>
      </c>
      <c r="H204" t="s">
        <v>52</v>
      </c>
      <c r="I204"/>
      <c r="J204" t="e">
        <f>VLOOKUP(bron[[#This Row],[voertuig]],Voertuigen!A:C,3,FALSE)</f>
        <v>#N/A</v>
      </c>
      <c r="K204" t="e">
        <f>VLOOKUP(bron[[#This Row],[voertuig]],Voertuigen!A:C,2,FALSE)</f>
        <v>#N/A</v>
      </c>
      <c r="L204">
        <f>COUNTIF(A:A,bron[[#This Row],[personeelsnr]])</f>
        <v>5</v>
      </c>
    </row>
    <row r="205" spans="1:12" hidden="1" x14ac:dyDescent="0.25">
      <c r="A205">
        <v>34351</v>
      </c>
      <c r="B205" t="str">
        <f>VLOOKUP(bron[[#This Row],[personeelsnr]],[1]Blad1!$A:$H,2,FALSE)</f>
        <v>Callant Dieter</v>
      </c>
      <c r="C205" t="str">
        <f>VLOOKUP(bron[[#This Row],[personeelsnr]],[1]Blad1!$A:$H,3,FALSE)</f>
        <v>Callant</v>
      </c>
      <c r="D205" t="str">
        <f>VLOOKUP(bron[[#This Row],[personeelsnr]],[1]Blad1!$A:$H,4,FALSE)</f>
        <v>Dieter</v>
      </c>
      <c r="E205" s="2" t="str">
        <f>VLOOKUP(bron[[#This Row],[personeelsnr]],[1]Blad1!$A:$H,8,FALSE)</f>
        <v>Vanhoe Els</v>
      </c>
      <c r="F205" s="6">
        <v>45428</v>
      </c>
      <c r="G205" s="5" t="s">
        <v>461</v>
      </c>
      <c r="H205" t="s">
        <v>462</v>
      </c>
      <c r="I205"/>
      <c r="J205" t="e">
        <f>VLOOKUP(bron[[#This Row],[voertuig]],Voertuigen!A:C,3,FALSE)</f>
        <v>#N/A</v>
      </c>
      <c r="K205" t="e">
        <f>VLOOKUP(bron[[#This Row],[voertuig]],Voertuigen!A:C,2,FALSE)</f>
        <v>#N/A</v>
      </c>
      <c r="L205">
        <f>COUNTIF(A:A,bron[[#This Row],[personeelsnr]])</f>
        <v>3</v>
      </c>
    </row>
    <row r="206" spans="1:12" hidden="1" x14ac:dyDescent="0.25">
      <c r="A206">
        <v>36503</v>
      </c>
      <c r="B206" t="str">
        <f>VLOOKUP(bron[[#This Row],[personeelsnr]],[1]Blad1!$A:$H,2,FALSE)</f>
        <v>Callens Dimitri</v>
      </c>
      <c r="C206" t="str">
        <f>VLOOKUP(bron[[#This Row],[personeelsnr]],[1]Blad1!$A:$H,3,FALSE)</f>
        <v>Callens</v>
      </c>
      <c r="D206" t="str">
        <f>VLOOKUP(bron[[#This Row],[personeelsnr]],[1]Blad1!$A:$H,4,FALSE)</f>
        <v>Dimitri</v>
      </c>
      <c r="E206" s="2" t="str">
        <f>VLOOKUP(bron[[#This Row],[personeelsnr]],[1]Blad1!$A:$H,8,FALSE)</f>
        <v>Rotty Christoff</v>
      </c>
      <c r="F206" s="6">
        <v>45429</v>
      </c>
      <c r="G206" s="5" t="s">
        <v>463</v>
      </c>
      <c r="H206" t="s">
        <v>102</v>
      </c>
      <c r="I206"/>
      <c r="J206" t="e">
        <f>VLOOKUP(bron[[#This Row],[voertuig]],Voertuigen!A:C,3,FALSE)</f>
        <v>#N/A</v>
      </c>
      <c r="K206" t="e">
        <f>VLOOKUP(bron[[#This Row],[voertuig]],Voertuigen!A:C,2,FALSE)</f>
        <v>#N/A</v>
      </c>
      <c r="L206">
        <f>COUNTIF(A:A,bron[[#This Row],[personeelsnr]])</f>
        <v>1</v>
      </c>
    </row>
    <row r="207" spans="1:12" hidden="1" x14ac:dyDescent="0.25">
      <c r="A207">
        <v>37439</v>
      </c>
      <c r="B207" t="str">
        <f>VLOOKUP(bron[[#This Row],[personeelsnr]],[1]Blad1!$A:$H,2,FALSE)</f>
        <v>Demirkazik Mustafa</v>
      </c>
      <c r="C207" t="str">
        <f>VLOOKUP(bron[[#This Row],[personeelsnr]],[1]Blad1!$A:$H,3,FALSE)</f>
        <v>Demirkazik</v>
      </c>
      <c r="D207" t="str">
        <f>VLOOKUP(bron[[#This Row],[personeelsnr]],[1]Blad1!$A:$H,4,FALSE)</f>
        <v>Mustafa</v>
      </c>
      <c r="E207" s="2" t="str">
        <f>VLOOKUP(bron[[#This Row],[personeelsnr]],[1]Blad1!$A:$H,8,FALSE)</f>
        <v>De Rick Kenneth</v>
      </c>
      <c r="F207" s="6">
        <v>45433</v>
      </c>
      <c r="G207" s="5" t="s">
        <v>464</v>
      </c>
      <c r="H207" t="s">
        <v>22</v>
      </c>
      <c r="I207"/>
      <c r="J207" t="e">
        <f>VLOOKUP(bron[[#This Row],[voertuig]],Voertuigen!A:C,3,FALSE)</f>
        <v>#N/A</v>
      </c>
      <c r="K207" t="e">
        <f>VLOOKUP(bron[[#This Row],[voertuig]],Voertuigen!A:C,2,FALSE)</f>
        <v>#N/A</v>
      </c>
      <c r="L207">
        <f>COUNTIF(A:A,bron[[#This Row],[personeelsnr]])</f>
        <v>4</v>
      </c>
    </row>
    <row r="208" spans="1:12" hidden="1" x14ac:dyDescent="0.25">
      <c r="A208">
        <v>38688</v>
      </c>
      <c r="B208" t="str">
        <f>VLOOKUP(bron[[#This Row],[personeelsnr]],[1]Blad1!$A:$H,2,FALSE)</f>
        <v>Basgurboga Selahattin</v>
      </c>
      <c r="C208" t="str">
        <f>VLOOKUP(bron[[#This Row],[personeelsnr]],[1]Blad1!$A:$H,3,FALSE)</f>
        <v>Basgurboga</v>
      </c>
      <c r="D208" t="str">
        <f>VLOOKUP(bron[[#This Row],[personeelsnr]],[1]Blad1!$A:$H,4,FALSE)</f>
        <v>Selahattin</v>
      </c>
      <c r="E208" s="2" t="str">
        <f>VLOOKUP(bron[[#This Row],[personeelsnr]],[1]Blad1!$A:$H,8,FALSE)</f>
        <v>Dewulf Els</v>
      </c>
      <c r="F208" s="6">
        <v>45433</v>
      </c>
      <c r="G208" s="5" t="s">
        <v>465</v>
      </c>
      <c r="H208" t="s">
        <v>8</v>
      </c>
      <c r="I208"/>
      <c r="J208" t="e">
        <f>VLOOKUP(bron[[#This Row],[voertuig]],Voertuigen!A:C,3,FALSE)</f>
        <v>#N/A</v>
      </c>
      <c r="K208" t="e">
        <f>VLOOKUP(bron[[#This Row],[voertuig]],Voertuigen!A:C,2,FALSE)</f>
        <v>#N/A</v>
      </c>
      <c r="L208">
        <f>COUNTIF(A:A,bron[[#This Row],[personeelsnr]])</f>
        <v>3</v>
      </c>
    </row>
    <row r="209" spans="1:12" hidden="1" x14ac:dyDescent="0.25">
      <c r="A209">
        <v>40223</v>
      </c>
      <c r="B209" t="e">
        <f>VLOOKUP(bron[[#This Row],[personeelsnr]],[1]Blad1!$A:$H,2,FALSE)</f>
        <v>#N/A</v>
      </c>
      <c r="C209" t="e">
        <f>VLOOKUP(bron[[#This Row],[personeelsnr]],[1]Blad1!$A:$H,3,FALSE)</f>
        <v>#N/A</v>
      </c>
      <c r="D209" t="e">
        <f>VLOOKUP(bron[[#This Row],[personeelsnr]],[1]Blad1!$A:$H,4,FALSE)</f>
        <v>#N/A</v>
      </c>
      <c r="E209" s="2" t="s">
        <v>221</v>
      </c>
      <c r="F209" s="6">
        <v>45433</v>
      </c>
      <c r="G209" s="5" t="s">
        <v>466</v>
      </c>
      <c r="H209" t="s">
        <v>92</v>
      </c>
      <c r="I209"/>
      <c r="J209" t="e">
        <f>VLOOKUP(bron[[#This Row],[voertuig]],Voertuigen!A:C,3,FALSE)</f>
        <v>#N/A</v>
      </c>
      <c r="K209" t="e">
        <f>VLOOKUP(bron[[#This Row],[voertuig]],Voertuigen!A:C,2,FALSE)</f>
        <v>#N/A</v>
      </c>
      <c r="L209">
        <f>COUNTIF(A:A,bron[[#This Row],[personeelsnr]])</f>
        <v>8</v>
      </c>
    </row>
    <row r="210" spans="1:12" hidden="1" x14ac:dyDescent="0.25">
      <c r="A210">
        <v>35187</v>
      </c>
      <c r="B210" t="str">
        <f>VLOOKUP(bron[[#This Row],[personeelsnr]],[1]Blad1!$A:$H,2,FALSE)</f>
        <v>Bastiaen Eric</v>
      </c>
      <c r="C210" t="str">
        <f>VLOOKUP(bron[[#This Row],[personeelsnr]],[1]Blad1!$A:$H,3,FALSE)</f>
        <v>Bastiaen</v>
      </c>
      <c r="D210" t="str">
        <f>VLOOKUP(bron[[#This Row],[personeelsnr]],[1]Blad1!$A:$H,4,FALSE)</f>
        <v>Eric</v>
      </c>
      <c r="E210" s="2" t="str">
        <f>VLOOKUP(bron[[#This Row],[personeelsnr]],[1]Blad1!$A:$H,8,FALSE)</f>
        <v>Van De Velde Lucie</v>
      </c>
      <c r="F210" s="6">
        <v>45434</v>
      </c>
      <c r="G210" s="5" t="s">
        <v>467</v>
      </c>
      <c r="H210" t="s">
        <v>7</v>
      </c>
      <c r="I210"/>
      <c r="J210" t="e">
        <f>VLOOKUP(bron[[#This Row],[voertuig]],Voertuigen!A:C,3,FALSE)</f>
        <v>#N/A</v>
      </c>
      <c r="K210" t="e">
        <f>VLOOKUP(bron[[#This Row],[voertuig]],Voertuigen!A:C,2,FALSE)</f>
        <v>#N/A</v>
      </c>
      <c r="L210">
        <f>COUNTIF(A:A,bron[[#This Row],[personeelsnr]])</f>
        <v>1</v>
      </c>
    </row>
    <row r="211" spans="1:12" hidden="1" x14ac:dyDescent="0.25">
      <c r="A211">
        <v>39528</v>
      </c>
      <c r="B211" t="str">
        <f>VLOOKUP(bron[[#This Row],[personeelsnr]],[1]Blad1!$A:$H,2,FALSE)</f>
        <v>Mihaylov Plamen</v>
      </c>
      <c r="C211" t="str">
        <f>VLOOKUP(bron[[#This Row],[personeelsnr]],[1]Blad1!$A:$H,3,FALSE)</f>
        <v>Mihaylov</v>
      </c>
      <c r="D211" t="str">
        <f>VLOOKUP(bron[[#This Row],[personeelsnr]],[1]Blad1!$A:$H,4,FALSE)</f>
        <v>Plamen</v>
      </c>
      <c r="E211" s="2" t="str">
        <f>VLOOKUP(bron[[#This Row],[personeelsnr]],[1]Blad1!$A:$H,8,FALSE)</f>
        <v>Rotty Christoff</v>
      </c>
      <c r="F211" s="6">
        <v>45434</v>
      </c>
      <c r="G211" s="5" t="s">
        <v>468</v>
      </c>
      <c r="H211" t="s">
        <v>27</v>
      </c>
      <c r="I211"/>
      <c r="J211" t="e">
        <f>VLOOKUP(bron[[#This Row],[voertuig]],Voertuigen!A:C,3,FALSE)</f>
        <v>#N/A</v>
      </c>
      <c r="K211" t="e">
        <f>VLOOKUP(bron[[#This Row],[voertuig]],Voertuigen!A:C,2,FALSE)</f>
        <v>#N/A</v>
      </c>
      <c r="L211">
        <f>COUNTIF(A:A,bron[[#This Row],[personeelsnr]])</f>
        <v>4</v>
      </c>
    </row>
    <row r="212" spans="1:12" hidden="1" x14ac:dyDescent="0.25">
      <c r="A212">
        <v>19087</v>
      </c>
      <c r="B212" t="str">
        <f>VLOOKUP(bron[[#This Row],[personeelsnr]],[1]Blad1!$A:$H,2,FALSE)</f>
        <v>Deschepper Peter</v>
      </c>
      <c r="C212" t="str">
        <f>VLOOKUP(bron[[#This Row],[personeelsnr]],[1]Blad1!$A:$H,3,FALSE)</f>
        <v>Deschepper</v>
      </c>
      <c r="D212" t="str">
        <f>VLOOKUP(bron[[#This Row],[personeelsnr]],[1]Blad1!$A:$H,4,FALSE)</f>
        <v>Peter</v>
      </c>
      <c r="E212" s="2" t="str">
        <f>VLOOKUP(bron[[#This Row],[personeelsnr]],[1]Blad1!$A:$H,8,FALSE)</f>
        <v>Vanhoe Els</v>
      </c>
      <c r="F212" s="6">
        <v>45435</v>
      </c>
      <c r="G212" s="5" t="s">
        <v>469</v>
      </c>
      <c r="H212" t="s">
        <v>79</v>
      </c>
      <c r="I212"/>
      <c r="J212" t="e">
        <f>VLOOKUP(bron[[#This Row],[voertuig]],Voertuigen!A:C,3,FALSE)</f>
        <v>#N/A</v>
      </c>
      <c r="K212" t="e">
        <f>VLOOKUP(bron[[#This Row],[voertuig]],Voertuigen!A:C,2,FALSE)</f>
        <v>#N/A</v>
      </c>
      <c r="L212">
        <f>COUNTIF(A:A,bron[[#This Row],[personeelsnr]])</f>
        <v>1</v>
      </c>
    </row>
    <row r="213" spans="1:12" hidden="1" x14ac:dyDescent="0.25">
      <c r="A213">
        <v>39712</v>
      </c>
      <c r="B213" t="str">
        <f>VLOOKUP(bron[[#This Row],[personeelsnr]],[1]Blad1!$A:$H,2,FALSE)</f>
        <v>Repaj Ramazan</v>
      </c>
      <c r="C213" t="str">
        <f>VLOOKUP(bron[[#This Row],[personeelsnr]],[1]Blad1!$A:$H,3,FALSE)</f>
        <v>Repaj</v>
      </c>
      <c r="D213" t="str">
        <f>VLOOKUP(bron[[#This Row],[personeelsnr]],[1]Blad1!$A:$H,4,FALSE)</f>
        <v>Ramazan</v>
      </c>
      <c r="E213" s="2" t="str">
        <f>VLOOKUP(bron[[#This Row],[personeelsnr]],[1]Blad1!$A:$H,8,FALSE)</f>
        <v>Van Der Beken Bart</v>
      </c>
      <c r="F213" s="6">
        <v>45435</v>
      </c>
      <c r="G213" s="5" t="s">
        <v>470</v>
      </c>
      <c r="H213" t="s">
        <v>27</v>
      </c>
      <c r="I213"/>
      <c r="J213" t="e">
        <f>VLOOKUP(bron[[#This Row],[voertuig]],Voertuigen!A:C,3,FALSE)</f>
        <v>#N/A</v>
      </c>
      <c r="K213" t="e">
        <f>VLOOKUP(bron[[#This Row],[voertuig]],Voertuigen!A:C,2,FALSE)</f>
        <v>#N/A</v>
      </c>
      <c r="L213">
        <f>COUNTIF(A:A,bron[[#This Row],[personeelsnr]])</f>
        <v>5</v>
      </c>
    </row>
    <row r="214" spans="1:12" hidden="1" x14ac:dyDescent="0.25">
      <c r="A214">
        <v>31092</v>
      </c>
      <c r="B214" t="str">
        <f>VLOOKUP(bron[[#This Row],[personeelsnr]],[1]Blad1!$A:$H,2,FALSE)</f>
        <v>De Jaeger Kevin</v>
      </c>
      <c r="C214" t="str">
        <f>VLOOKUP(bron[[#This Row],[personeelsnr]],[1]Blad1!$A:$H,3,FALSE)</f>
        <v>De Jaeger</v>
      </c>
      <c r="D214" t="str">
        <f>VLOOKUP(bron[[#This Row],[personeelsnr]],[1]Blad1!$A:$H,4,FALSE)</f>
        <v>Kevin</v>
      </c>
      <c r="E214" s="2" t="str">
        <f>VLOOKUP(bron[[#This Row],[personeelsnr]],[1]Blad1!$A:$H,8,FALSE)</f>
        <v>Van De Velde Lucie</v>
      </c>
      <c r="F214" s="6">
        <v>45436</v>
      </c>
      <c r="G214" s="5" t="s">
        <v>471</v>
      </c>
      <c r="H214" t="s">
        <v>472</v>
      </c>
      <c r="I214"/>
      <c r="J214" t="e">
        <f>VLOOKUP(bron[[#This Row],[voertuig]],Voertuigen!A:C,3,FALSE)</f>
        <v>#N/A</v>
      </c>
      <c r="K214" t="e">
        <f>VLOOKUP(bron[[#This Row],[voertuig]],Voertuigen!A:C,2,FALSE)</f>
        <v>#N/A</v>
      </c>
      <c r="L214">
        <f>COUNTIF(A:A,bron[[#This Row],[personeelsnr]])</f>
        <v>2</v>
      </c>
    </row>
    <row r="215" spans="1:12" hidden="1" x14ac:dyDescent="0.25">
      <c r="A215">
        <v>37261</v>
      </c>
      <c r="B215" t="str">
        <f>VLOOKUP(bron[[#This Row],[personeelsnr]],[1]Blad1!$A:$H,2,FALSE)</f>
        <v>Van Wayenbergh Yordi</v>
      </c>
      <c r="C215" t="str">
        <f>VLOOKUP(bron[[#This Row],[personeelsnr]],[1]Blad1!$A:$H,3,FALSE)</f>
        <v>Van Wayenbergh</v>
      </c>
      <c r="D215" t="str">
        <f>VLOOKUP(bron[[#This Row],[personeelsnr]],[1]Blad1!$A:$H,4,FALSE)</f>
        <v>Yordi</v>
      </c>
      <c r="E215" s="2" t="str">
        <f>VLOOKUP(bron[[#This Row],[personeelsnr]],[1]Blad1!$A:$H,8,FALSE)</f>
        <v>De Clercq Dominique</v>
      </c>
      <c r="F215" s="6">
        <v>45436</v>
      </c>
      <c r="G215" s="5" t="s">
        <v>473</v>
      </c>
      <c r="H215" t="s">
        <v>311</v>
      </c>
      <c r="I215"/>
      <c r="J215" t="e">
        <f>VLOOKUP(bron[[#This Row],[voertuig]],Voertuigen!A:C,3,FALSE)</f>
        <v>#N/A</v>
      </c>
      <c r="K215" t="e">
        <f>VLOOKUP(bron[[#This Row],[voertuig]],Voertuigen!A:C,2,FALSE)</f>
        <v>#N/A</v>
      </c>
      <c r="L215">
        <f>COUNTIF(A:A,bron[[#This Row],[personeelsnr]])</f>
        <v>4</v>
      </c>
    </row>
    <row r="216" spans="1:12" hidden="1" x14ac:dyDescent="0.25">
      <c r="A216">
        <v>9999</v>
      </c>
      <c r="B216" t="e">
        <f>VLOOKUP(bron[[#This Row],[personeelsnr]],[1]Blad1!$A:$H,2,FALSE)</f>
        <v>#N/A</v>
      </c>
      <c r="C216" t="e">
        <f>VLOOKUP(bron[[#This Row],[personeelsnr]],[1]Blad1!$A:$H,3,FALSE)</f>
        <v>#N/A</v>
      </c>
      <c r="D216" t="e">
        <f>VLOOKUP(bron[[#This Row],[personeelsnr]],[1]Blad1!$A:$H,4,FALSE)</f>
        <v>#N/A</v>
      </c>
      <c r="E216" s="2" t="s">
        <v>221</v>
      </c>
      <c r="F216" s="6">
        <v>45436</v>
      </c>
      <c r="G216" s="5" t="s">
        <v>474</v>
      </c>
      <c r="H216" t="s">
        <v>153</v>
      </c>
      <c r="I216"/>
      <c r="J216" t="e">
        <f>VLOOKUP(bron[[#This Row],[voertuig]],Voertuigen!A:C,3,FALSE)</f>
        <v>#N/A</v>
      </c>
      <c r="K216" t="e">
        <f>VLOOKUP(bron[[#This Row],[voertuig]],Voertuigen!A:C,2,FALSE)</f>
        <v>#N/A</v>
      </c>
      <c r="L216">
        <f>COUNTIF(A:A,bron[[#This Row],[personeelsnr]])</f>
        <v>59</v>
      </c>
    </row>
    <row r="217" spans="1:12" hidden="1" x14ac:dyDescent="0.25">
      <c r="A217">
        <v>33551</v>
      </c>
      <c r="B217" t="str">
        <f>VLOOKUP(bron[[#This Row],[personeelsnr]],[1]Blad1!$A:$H,2,FALSE)</f>
        <v>Dekens Andy</v>
      </c>
      <c r="C217" t="str">
        <f>VLOOKUP(bron[[#This Row],[personeelsnr]],[1]Blad1!$A:$H,3,FALSE)</f>
        <v>Dekens</v>
      </c>
      <c r="D217" t="str">
        <f>VLOOKUP(bron[[#This Row],[personeelsnr]],[1]Blad1!$A:$H,4,FALSE)</f>
        <v>Andy</v>
      </c>
      <c r="E217" s="2" t="str">
        <f>VLOOKUP(bron[[#This Row],[personeelsnr]],[1]Blad1!$A:$H,8,FALSE)</f>
        <v>Vanhoe Els</v>
      </c>
      <c r="F217" s="6">
        <v>45439</v>
      </c>
      <c r="G217" s="5" t="s">
        <v>475</v>
      </c>
      <c r="H217" t="s">
        <v>25</v>
      </c>
      <c r="I217"/>
      <c r="J217" t="e">
        <f>VLOOKUP(bron[[#This Row],[voertuig]],Voertuigen!A:C,3,FALSE)</f>
        <v>#N/A</v>
      </c>
      <c r="K217" t="e">
        <f>VLOOKUP(bron[[#This Row],[voertuig]],Voertuigen!A:C,2,FALSE)</f>
        <v>#N/A</v>
      </c>
      <c r="L217">
        <f>COUNTIF(A:A,bron[[#This Row],[personeelsnr]])</f>
        <v>2</v>
      </c>
    </row>
    <row r="218" spans="1:12" hidden="1" x14ac:dyDescent="0.25">
      <c r="A218">
        <v>9999</v>
      </c>
      <c r="B218" t="e">
        <f>VLOOKUP(bron[[#This Row],[personeelsnr]],[1]Blad1!$A:$H,2,FALSE)</f>
        <v>#N/A</v>
      </c>
      <c r="C218" t="e">
        <f>VLOOKUP(bron[[#This Row],[personeelsnr]],[1]Blad1!$A:$H,3,FALSE)</f>
        <v>#N/A</v>
      </c>
      <c r="D218" t="e">
        <f>VLOOKUP(bron[[#This Row],[personeelsnr]],[1]Blad1!$A:$H,4,FALSE)</f>
        <v>#N/A</v>
      </c>
      <c r="E218" s="2" t="s">
        <v>221</v>
      </c>
      <c r="F218" s="6">
        <v>45440</v>
      </c>
      <c r="G218" s="5" t="s">
        <v>476</v>
      </c>
      <c r="H218" t="s">
        <v>150</v>
      </c>
      <c r="I218"/>
      <c r="J218" t="e">
        <f>VLOOKUP(bron[[#This Row],[voertuig]],Voertuigen!A:C,3,FALSE)</f>
        <v>#N/A</v>
      </c>
      <c r="K218" t="e">
        <f>VLOOKUP(bron[[#This Row],[voertuig]],Voertuigen!A:C,2,FALSE)</f>
        <v>#N/A</v>
      </c>
      <c r="L218">
        <f>COUNTIF(A:A,bron[[#This Row],[personeelsnr]])</f>
        <v>59</v>
      </c>
    </row>
    <row r="219" spans="1:12" hidden="1" x14ac:dyDescent="0.25">
      <c r="A219">
        <v>9999</v>
      </c>
      <c r="B219" t="e">
        <f>VLOOKUP(bron[[#This Row],[personeelsnr]],[1]Blad1!$A:$H,2,FALSE)</f>
        <v>#N/A</v>
      </c>
      <c r="C219" t="e">
        <f>VLOOKUP(bron[[#This Row],[personeelsnr]],[1]Blad1!$A:$H,3,FALSE)</f>
        <v>#N/A</v>
      </c>
      <c r="D219" t="e">
        <f>VLOOKUP(bron[[#This Row],[personeelsnr]],[1]Blad1!$A:$H,4,FALSE)</f>
        <v>#N/A</v>
      </c>
      <c r="E219" s="2" t="s">
        <v>221</v>
      </c>
      <c r="F219" s="6">
        <v>45440</v>
      </c>
      <c r="G219" s="5" t="s">
        <v>477</v>
      </c>
      <c r="H219" t="s">
        <v>359</v>
      </c>
      <c r="I219"/>
      <c r="J219" t="e">
        <f>VLOOKUP(bron[[#This Row],[voertuig]],Voertuigen!A:C,3,FALSE)</f>
        <v>#N/A</v>
      </c>
      <c r="K219" t="e">
        <f>VLOOKUP(bron[[#This Row],[voertuig]],Voertuigen!A:C,2,FALSE)</f>
        <v>#N/A</v>
      </c>
      <c r="L219">
        <f>COUNTIF(A:A,bron[[#This Row],[personeelsnr]])</f>
        <v>59</v>
      </c>
    </row>
    <row r="220" spans="1:12" hidden="1" x14ac:dyDescent="0.25">
      <c r="A220">
        <v>17931</v>
      </c>
      <c r="B220" t="str">
        <f>VLOOKUP(bron[[#This Row],[personeelsnr]],[1]Blad1!$A:$H,2,FALSE)</f>
        <v>Idrisi Hasana</v>
      </c>
      <c r="C220" t="str">
        <f>VLOOKUP(bron[[#This Row],[personeelsnr]],[1]Blad1!$A:$H,3,FALSE)</f>
        <v>Idrisi</v>
      </c>
      <c r="D220" t="str">
        <f>VLOOKUP(bron[[#This Row],[personeelsnr]],[1]Blad1!$A:$H,4,FALSE)</f>
        <v>Hasana</v>
      </c>
      <c r="E220" s="2" t="str">
        <f>VLOOKUP(bron[[#This Row],[personeelsnr]],[1]Blad1!$A:$H,8,FALSE)</f>
        <v>Dewulf Els</v>
      </c>
      <c r="F220" s="6">
        <v>45440</v>
      </c>
      <c r="G220" s="5" t="s">
        <v>478</v>
      </c>
      <c r="H220" t="s">
        <v>102</v>
      </c>
      <c r="I220"/>
      <c r="J220" t="e">
        <f>VLOOKUP(bron[[#This Row],[voertuig]],Voertuigen!A:C,3,FALSE)</f>
        <v>#N/A</v>
      </c>
      <c r="K220" t="e">
        <f>VLOOKUP(bron[[#This Row],[voertuig]],Voertuigen!A:C,2,FALSE)</f>
        <v>#N/A</v>
      </c>
      <c r="L220">
        <f>COUNTIF(A:A,bron[[#This Row],[personeelsnr]])</f>
        <v>2</v>
      </c>
    </row>
    <row r="221" spans="1:12" hidden="1" x14ac:dyDescent="0.25">
      <c r="A221">
        <v>23700</v>
      </c>
      <c r="B221" t="str">
        <f>VLOOKUP(bron[[#This Row],[personeelsnr]],[1]Blad1!$A:$H,2,FALSE)</f>
        <v>Byosière Christof</v>
      </c>
      <c r="C221" t="str">
        <f>VLOOKUP(bron[[#This Row],[personeelsnr]],[1]Blad1!$A:$H,3,FALSE)</f>
        <v>Byosière</v>
      </c>
      <c r="D221" t="str">
        <f>VLOOKUP(bron[[#This Row],[personeelsnr]],[1]Blad1!$A:$H,4,FALSE)</f>
        <v>Christof</v>
      </c>
      <c r="E221" s="2" t="str">
        <f>VLOOKUP(bron[[#This Row],[personeelsnr]],[1]Blad1!$A:$H,8,FALSE)</f>
        <v>De Clercq Dominique</v>
      </c>
      <c r="F221" s="6">
        <v>45441</v>
      </c>
      <c r="G221" s="5" t="s">
        <v>479</v>
      </c>
      <c r="H221" t="s">
        <v>9</v>
      </c>
      <c r="I221"/>
      <c r="J221" t="e">
        <f>VLOOKUP(bron[[#This Row],[voertuig]],Voertuigen!A:C,3,FALSE)</f>
        <v>#N/A</v>
      </c>
      <c r="K221" t="e">
        <f>VLOOKUP(bron[[#This Row],[voertuig]],Voertuigen!A:C,2,FALSE)</f>
        <v>#N/A</v>
      </c>
      <c r="L221">
        <f>COUNTIF(A:A,bron[[#This Row],[personeelsnr]])</f>
        <v>3</v>
      </c>
    </row>
    <row r="222" spans="1:12" hidden="1" x14ac:dyDescent="0.25">
      <c r="A222">
        <v>9999</v>
      </c>
      <c r="B222" t="e">
        <f>VLOOKUP(bron[[#This Row],[personeelsnr]],[1]Blad1!$A:$H,2,FALSE)</f>
        <v>#N/A</v>
      </c>
      <c r="C222" t="e">
        <f>VLOOKUP(bron[[#This Row],[personeelsnr]],[1]Blad1!$A:$H,3,FALSE)</f>
        <v>#N/A</v>
      </c>
      <c r="D222" t="e">
        <f>VLOOKUP(bron[[#This Row],[personeelsnr]],[1]Blad1!$A:$H,4,FALSE)</f>
        <v>#N/A</v>
      </c>
      <c r="E222" s="2" t="s">
        <v>221</v>
      </c>
      <c r="F222" s="6">
        <v>45441</v>
      </c>
      <c r="G222" s="5" t="s">
        <v>480</v>
      </c>
      <c r="H222" t="s">
        <v>7</v>
      </c>
      <c r="I222"/>
      <c r="J222" t="e">
        <f>VLOOKUP(bron[[#This Row],[voertuig]],Voertuigen!A:C,3,FALSE)</f>
        <v>#N/A</v>
      </c>
      <c r="K222" t="e">
        <f>VLOOKUP(bron[[#This Row],[voertuig]],Voertuigen!A:C,2,FALSE)</f>
        <v>#N/A</v>
      </c>
      <c r="L222">
        <f>COUNTIF(A:A,bron[[#This Row],[personeelsnr]])</f>
        <v>59</v>
      </c>
    </row>
    <row r="223" spans="1:12" hidden="1" x14ac:dyDescent="0.25">
      <c r="A223">
        <v>19917</v>
      </c>
      <c r="B223" t="str">
        <f>VLOOKUP(bron[[#This Row],[personeelsnr]],[1]Blad1!$A:$H,2,FALSE)</f>
        <v>Vandevyvere Frank</v>
      </c>
      <c r="C223" t="str">
        <f>VLOOKUP(bron[[#This Row],[personeelsnr]],[1]Blad1!$A:$H,3,FALSE)</f>
        <v>Vandevyvere</v>
      </c>
      <c r="D223" t="str">
        <f>VLOOKUP(bron[[#This Row],[personeelsnr]],[1]Blad1!$A:$H,4,FALSE)</f>
        <v>Frank</v>
      </c>
      <c r="E223" s="2" t="str">
        <f>VLOOKUP(bron[[#This Row],[personeelsnr]],[1]Blad1!$A:$H,8,FALSE)</f>
        <v>Van Der Beken Bart</v>
      </c>
      <c r="F223" s="6">
        <v>45442</v>
      </c>
      <c r="G223" s="5" t="s">
        <v>481</v>
      </c>
      <c r="H223" t="s">
        <v>12</v>
      </c>
      <c r="I223"/>
      <c r="J223" t="e">
        <f>VLOOKUP(bron[[#This Row],[voertuig]],Voertuigen!A:C,3,FALSE)</f>
        <v>#N/A</v>
      </c>
      <c r="K223" t="e">
        <f>VLOOKUP(bron[[#This Row],[voertuig]],Voertuigen!A:C,2,FALSE)</f>
        <v>#N/A</v>
      </c>
      <c r="L223">
        <f>COUNTIF(A:A,bron[[#This Row],[personeelsnr]])</f>
        <v>10</v>
      </c>
    </row>
    <row r="224" spans="1:12" hidden="1" x14ac:dyDescent="0.25">
      <c r="A224">
        <v>39907</v>
      </c>
      <c r="B224" t="str">
        <f>VLOOKUP(bron[[#This Row],[personeelsnr]],[1]Blad1!$A:$H,2,FALSE)</f>
        <v>Marian Birsanuc</v>
      </c>
      <c r="C224" t="str">
        <f>VLOOKUP(bron[[#This Row],[personeelsnr]],[1]Blad1!$A:$H,3,FALSE)</f>
        <v>Marian</v>
      </c>
      <c r="D224" t="str">
        <f>VLOOKUP(bron[[#This Row],[personeelsnr]],[1]Blad1!$A:$H,4,FALSE)</f>
        <v>Birsanuc</v>
      </c>
      <c r="E224" s="2" t="str">
        <f>VLOOKUP(bron[[#This Row],[personeelsnr]],[1]Blad1!$A:$H,8,FALSE)</f>
        <v>De Rick Kenneth</v>
      </c>
      <c r="F224" s="6">
        <v>45442</v>
      </c>
      <c r="G224" s="5" t="s">
        <v>482</v>
      </c>
      <c r="H224" t="s">
        <v>8</v>
      </c>
      <c r="I224"/>
      <c r="J224" t="e">
        <f>VLOOKUP(bron[[#This Row],[voertuig]],Voertuigen!A:C,3,FALSE)</f>
        <v>#N/A</v>
      </c>
      <c r="K224" t="e">
        <f>VLOOKUP(bron[[#This Row],[voertuig]],Voertuigen!A:C,2,FALSE)</f>
        <v>#N/A</v>
      </c>
      <c r="L224">
        <f>COUNTIF(A:A,bron[[#This Row],[personeelsnr]])</f>
        <v>1</v>
      </c>
    </row>
    <row r="225" spans="1:12" hidden="1" x14ac:dyDescent="0.25">
      <c r="A225">
        <v>36624</v>
      </c>
      <c r="B225" t="str">
        <f>VLOOKUP(bron[[#This Row],[personeelsnr]],[1]Blad1!$A:$H,2,FALSE)</f>
        <v>De Meulenaere Kurt</v>
      </c>
      <c r="C225" t="str">
        <f>VLOOKUP(bron[[#This Row],[personeelsnr]],[1]Blad1!$A:$H,3,FALSE)</f>
        <v>De Meulenaere</v>
      </c>
      <c r="D225" t="str">
        <f>VLOOKUP(bron[[#This Row],[personeelsnr]],[1]Blad1!$A:$H,4,FALSE)</f>
        <v>Kurt</v>
      </c>
      <c r="E225" s="2" t="str">
        <f>VLOOKUP(bron[[#This Row],[personeelsnr]],[1]Blad1!$A:$H,8,FALSE)</f>
        <v>De Clercq Dominique</v>
      </c>
      <c r="F225" s="6">
        <v>45445</v>
      </c>
      <c r="G225" s="5" t="s">
        <v>483</v>
      </c>
      <c r="H225" t="s">
        <v>151</v>
      </c>
      <c r="I225"/>
      <c r="J225" t="e">
        <f>VLOOKUP(bron[[#This Row],[voertuig]],Voertuigen!A:C,3,FALSE)</f>
        <v>#N/A</v>
      </c>
      <c r="K225" t="e">
        <f>VLOOKUP(bron[[#This Row],[voertuig]],Voertuigen!A:C,2,FALSE)</f>
        <v>#N/A</v>
      </c>
      <c r="L225">
        <f>COUNTIF(A:A,bron[[#This Row],[personeelsnr]])</f>
        <v>3</v>
      </c>
    </row>
    <row r="226" spans="1:12" hidden="1" x14ac:dyDescent="0.25">
      <c r="A226">
        <v>9999</v>
      </c>
      <c r="B226" t="e">
        <f>VLOOKUP(bron[[#This Row],[personeelsnr]],[1]Blad1!$A:$H,2,FALSE)</f>
        <v>#N/A</v>
      </c>
      <c r="C226" t="e">
        <f>VLOOKUP(bron[[#This Row],[personeelsnr]],[1]Blad1!$A:$H,3,FALSE)</f>
        <v>#N/A</v>
      </c>
      <c r="D226" t="e">
        <f>VLOOKUP(bron[[#This Row],[personeelsnr]],[1]Blad1!$A:$H,4,FALSE)</f>
        <v>#N/A</v>
      </c>
      <c r="E226" s="2" t="s">
        <v>221</v>
      </c>
      <c r="F226" s="6">
        <v>45445</v>
      </c>
      <c r="G226" s="5" t="s">
        <v>484</v>
      </c>
      <c r="H226" t="s">
        <v>32</v>
      </c>
      <c r="I226"/>
      <c r="J226" t="e">
        <f>VLOOKUP(bron[[#This Row],[voertuig]],Voertuigen!A:C,3,FALSE)</f>
        <v>#N/A</v>
      </c>
      <c r="K226" t="e">
        <f>VLOOKUP(bron[[#This Row],[voertuig]],Voertuigen!A:C,2,FALSE)</f>
        <v>#N/A</v>
      </c>
      <c r="L226">
        <f>COUNTIF(A:A,bron[[#This Row],[personeelsnr]])</f>
        <v>59</v>
      </c>
    </row>
    <row r="227" spans="1:12" hidden="1" x14ac:dyDescent="0.25">
      <c r="A227">
        <v>34325</v>
      </c>
      <c r="B227" t="str">
        <f>VLOOKUP(bron[[#This Row],[personeelsnr]],[1]Blad1!$A:$H,2,FALSE)</f>
        <v>Eid Mathyn</v>
      </c>
      <c r="C227" t="str">
        <f>VLOOKUP(bron[[#This Row],[personeelsnr]],[1]Blad1!$A:$H,3,FALSE)</f>
        <v>Eid</v>
      </c>
      <c r="D227" t="str">
        <f>VLOOKUP(bron[[#This Row],[personeelsnr]],[1]Blad1!$A:$H,4,FALSE)</f>
        <v>Mathyn</v>
      </c>
      <c r="E227" s="2" t="str">
        <f>VLOOKUP(bron[[#This Row],[personeelsnr]],[1]Blad1!$A:$H,8,FALSE)</f>
        <v>Storm Steven</v>
      </c>
      <c r="F227" s="6">
        <v>45447</v>
      </c>
      <c r="G227" s="5" t="s">
        <v>485</v>
      </c>
      <c r="H227" t="s">
        <v>95</v>
      </c>
      <c r="I227"/>
      <c r="J227" t="e">
        <f>VLOOKUP(bron[[#This Row],[voertuig]],Voertuigen!A:C,3,FALSE)</f>
        <v>#N/A</v>
      </c>
      <c r="K227" t="e">
        <f>VLOOKUP(bron[[#This Row],[voertuig]],Voertuigen!A:C,2,FALSE)</f>
        <v>#N/A</v>
      </c>
      <c r="L227">
        <f>COUNTIF(A:A,bron[[#This Row],[personeelsnr]])</f>
        <v>5</v>
      </c>
    </row>
    <row r="228" spans="1:12" hidden="1" x14ac:dyDescent="0.25">
      <c r="A228">
        <v>19249</v>
      </c>
      <c r="B228" t="str">
        <f>VLOOKUP(bron[[#This Row],[personeelsnr]],[1]Blad1!$A:$H,2,FALSE)</f>
        <v>Odaci Kadir</v>
      </c>
      <c r="C228" t="str">
        <f>VLOOKUP(bron[[#This Row],[personeelsnr]],[1]Blad1!$A:$H,3,FALSE)</f>
        <v>Odaci</v>
      </c>
      <c r="D228" t="str">
        <f>VLOOKUP(bron[[#This Row],[personeelsnr]],[1]Blad1!$A:$H,4,FALSE)</f>
        <v>Kadir</v>
      </c>
      <c r="E228" s="2" t="str">
        <f>VLOOKUP(bron[[#This Row],[personeelsnr]],[1]Blad1!$A:$H,8,FALSE)</f>
        <v>Van De Velde Lucie</v>
      </c>
      <c r="F228" s="6">
        <v>45447</v>
      </c>
      <c r="G228" s="5" t="s">
        <v>486</v>
      </c>
      <c r="H228" t="s">
        <v>51</v>
      </c>
      <c r="I228"/>
      <c r="J228" t="e">
        <f>VLOOKUP(bron[[#This Row],[voertuig]],Voertuigen!A:C,3,FALSE)</f>
        <v>#N/A</v>
      </c>
      <c r="K228" t="e">
        <f>VLOOKUP(bron[[#This Row],[voertuig]],Voertuigen!A:C,2,FALSE)</f>
        <v>#N/A</v>
      </c>
      <c r="L228">
        <f>COUNTIF(A:A,bron[[#This Row],[personeelsnr]])</f>
        <v>4</v>
      </c>
    </row>
    <row r="229" spans="1:12" hidden="1" x14ac:dyDescent="0.25">
      <c r="A229">
        <v>34325</v>
      </c>
      <c r="B229" t="str">
        <f>VLOOKUP(bron[[#This Row],[personeelsnr]],[1]Blad1!$A:$H,2,FALSE)</f>
        <v>Eid Mathyn</v>
      </c>
      <c r="C229" t="str">
        <f>VLOOKUP(bron[[#This Row],[personeelsnr]],[1]Blad1!$A:$H,3,FALSE)</f>
        <v>Eid</v>
      </c>
      <c r="D229" t="str">
        <f>VLOOKUP(bron[[#This Row],[personeelsnr]],[1]Blad1!$A:$H,4,FALSE)</f>
        <v>Mathyn</v>
      </c>
      <c r="E229" s="2" t="str">
        <f>VLOOKUP(bron[[#This Row],[personeelsnr]],[1]Blad1!$A:$H,8,FALSE)</f>
        <v>Storm Steven</v>
      </c>
      <c r="F229" s="6">
        <v>45447</v>
      </c>
      <c r="G229" s="5" t="s">
        <v>487</v>
      </c>
      <c r="H229" t="s">
        <v>95</v>
      </c>
      <c r="I229"/>
      <c r="J229" t="e">
        <f>VLOOKUP(bron[[#This Row],[voertuig]],Voertuigen!A:C,3,FALSE)</f>
        <v>#N/A</v>
      </c>
      <c r="K229" t="e">
        <f>VLOOKUP(bron[[#This Row],[voertuig]],Voertuigen!A:C,2,FALSE)</f>
        <v>#N/A</v>
      </c>
      <c r="L229">
        <f>COUNTIF(A:A,bron[[#This Row],[personeelsnr]])</f>
        <v>5</v>
      </c>
    </row>
    <row r="230" spans="1:12" hidden="1" x14ac:dyDescent="0.25">
      <c r="A230">
        <v>31731</v>
      </c>
      <c r="B230" t="str">
        <f>VLOOKUP(bron[[#This Row],[personeelsnr]],[1]Blad1!$A:$H,2,FALSE)</f>
        <v>Dedapper Marijke</v>
      </c>
      <c r="C230" t="str">
        <f>VLOOKUP(bron[[#This Row],[personeelsnr]],[1]Blad1!$A:$H,3,FALSE)</f>
        <v>Dedapper</v>
      </c>
      <c r="D230" t="str">
        <f>VLOOKUP(bron[[#This Row],[personeelsnr]],[1]Blad1!$A:$H,4,FALSE)</f>
        <v>Marijke</v>
      </c>
      <c r="E230" s="2" t="str">
        <f>VLOOKUP(bron[[#This Row],[personeelsnr]],[1]Blad1!$A:$H,8,FALSE)</f>
        <v>Vanhoe Els</v>
      </c>
      <c r="F230" s="6">
        <v>45448</v>
      </c>
      <c r="G230" s="5" t="s">
        <v>488</v>
      </c>
      <c r="H230" t="s">
        <v>155</v>
      </c>
      <c r="I230"/>
      <c r="J230" t="e">
        <f>VLOOKUP(bron[[#This Row],[voertuig]],Voertuigen!A:C,3,FALSE)</f>
        <v>#N/A</v>
      </c>
      <c r="K230" t="e">
        <f>VLOOKUP(bron[[#This Row],[voertuig]],Voertuigen!A:C,2,FALSE)</f>
        <v>#N/A</v>
      </c>
      <c r="L230">
        <f>COUNTIF(A:A,bron[[#This Row],[personeelsnr]])</f>
        <v>4</v>
      </c>
    </row>
    <row r="231" spans="1:12" hidden="1" x14ac:dyDescent="0.25">
      <c r="A231">
        <v>39712</v>
      </c>
      <c r="B231" t="str">
        <f>VLOOKUP(bron[[#This Row],[personeelsnr]],[1]Blad1!$A:$H,2,FALSE)</f>
        <v>Repaj Ramazan</v>
      </c>
      <c r="C231" t="str">
        <f>VLOOKUP(bron[[#This Row],[personeelsnr]],[1]Blad1!$A:$H,3,FALSE)</f>
        <v>Repaj</v>
      </c>
      <c r="D231" t="str">
        <f>VLOOKUP(bron[[#This Row],[personeelsnr]],[1]Blad1!$A:$H,4,FALSE)</f>
        <v>Ramazan</v>
      </c>
      <c r="E231" s="2" t="str">
        <f>VLOOKUP(bron[[#This Row],[personeelsnr]],[1]Blad1!$A:$H,8,FALSE)</f>
        <v>Van Der Beken Bart</v>
      </c>
      <c r="F231" s="6">
        <v>45448</v>
      </c>
      <c r="G231" s="5" t="s">
        <v>489</v>
      </c>
      <c r="H231" t="s">
        <v>291</v>
      </c>
      <c r="I231"/>
      <c r="J231" t="e">
        <f>VLOOKUP(bron[[#This Row],[voertuig]],Voertuigen!A:C,3,FALSE)</f>
        <v>#N/A</v>
      </c>
      <c r="K231" t="e">
        <f>VLOOKUP(bron[[#This Row],[voertuig]],Voertuigen!A:C,2,FALSE)</f>
        <v>#N/A</v>
      </c>
      <c r="L231">
        <f>COUNTIF(A:A,bron[[#This Row],[personeelsnr]])</f>
        <v>5</v>
      </c>
    </row>
    <row r="232" spans="1:12" hidden="1" x14ac:dyDescent="0.25">
      <c r="A232">
        <v>29179</v>
      </c>
      <c r="B232" t="str">
        <f>VLOOKUP(bron[[#This Row],[personeelsnr]],[1]Blad1!$A:$H,2,FALSE)</f>
        <v>Verwee Dries</v>
      </c>
      <c r="C232" t="str">
        <f>VLOOKUP(bron[[#This Row],[personeelsnr]],[1]Blad1!$A:$H,3,FALSE)</f>
        <v>Verwee</v>
      </c>
      <c r="D232" t="str">
        <f>VLOOKUP(bron[[#This Row],[personeelsnr]],[1]Blad1!$A:$H,4,FALSE)</f>
        <v>Dries</v>
      </c>
      <c r="E232" s="2" t="str">
        <f>VLOOKUP(bron[[#This Row],[personeelsnr]],[1]Blad1!$A:$H,8,FALSE)</f>
        <v>Dewulf Els</v>
      </c>
      <c r="F232" s="6">
        <v>45448</v>
      </c>
      <c r="G232" s="5" t="s">
        <v>490</v>
      </c>
      <c r="H232" t="s">
        <v>491</v>
      </c>
      <c r="I232"/>
      <c r="J232" t="e">
        <f>VLOOKUP(bron[[#This Row],[voertuig]],Voertuigen!A:C,3,FALSE)</f>
        <v>#N/A</v>
      </c>
      <c r="K232" t="e">
        <f>VLOOKUP(bron[[#This Row],[voertuig]],Voertuigen!A:C,2,FALSE)</f>
        <v>#N/A</v>
      </c>
      <c r="L232">
        <f>COUNTIF(A:A,bron[[#This Row],[personeelsnr]])</f>
        <v>6</v>
      </c>
    </row>
    <row r="233" spans="1:12" hidden="1" x14ac:dyDescent="0.25">
      <c r="A233">
        <v>39183</v>
      </c>
      <c r="B233" t="str">
        <f>VLOOKUP(bron[[#This Row],[personeelsnr]],[1]Blad1!$A:$H,2,FALSE)</f>
        <v>Al Masri Anas</v>
      </c>
      <c r="C233" t="str">
        <f>VLOOKUP(bron[[#This Row],[personeelsnr]],[1]Blad1!$A:$H,3,FALSE)</f>
        <v>Al Masri</v>
      </c>
      <c r="D233" t="str">
        <f>VLOOKUP(bron[[#This Row],[personeelsnr]],[1]Blad1!$A:$H,4,FALSE)</f>
        <v>Anas</v>
      </c>
      <c r="E233" s="2" t="str">
        <f>VLOOKUP(bron[[#This Row],[personeelsnr]],[1]Blad1!$A:$H,8,FALSE)</f>
        <v>Rotty Christoff</v>
      </c>
      <c r="F233" s="6">
        <v>45449</v>
      </c>
      <c r="G233" s="5" t="s">
        <v>492</v>
      </c>
      <c r="H233" t="s">
        <v>12</v>
      </c>
      <c r="I233"/>
      <c r="J233" t="e">
        <f>VLOOKUP(bron[[#This Row],[voertuig]],Voertuigen!A:C,3,FALSE)</f>
        <v>#N/A</v>
      </c>
      <c r="K233" t="e">
        <f>VLOOKUP(bron[[#This Row],[voertuig]],Voertuigen!A:C,2,FALSE)</f>
        <v>#N/A</v>
      </c>
      <c r="L233">
        <f>COUNTIF(A:A,bron[[#This Row],[personeelsnr]])</f>
        <v>5</v>
      </c>
    </row>
    <row r="234" spans="1:12" hidden="1" x14ac:dyDescent="0.25">
      <c r="A234">
        <v>9999</v>
      </c>
      <c r="B234" t="e">
        <f>VLOOKUP(bron[[#This Row],[personeelsnr]],[1]Blad1!$A:$H,2,FALSE)</f>
        <v>#N/A</v>
      </c>
      <c r="C234" t="e">
        <f>VLOOKUP(bron[[#This Row],[personeelsnr]],[1]Blad1!$A:$H,3,FALSE)</f>
        <v>#N/A</v>
      </c>
      <c r="D234" t="e">
        <f>VLOOKUP(bron[[#This Row],[personeelsnr]],[1]Blad1!$A:$H,4,FALSE)</f>
        <v>#N/A</v>
      </c>
      <c r="E234" s="2" t="s">
        <v>221</v>
      </c>
      <c r="F234" s="6">
        <v>45449</v>
      </c>
      <c r="G234" s="5" t="s">
        <v>493</v>
      </c>
      <c r="H234" t="s">
        <v>13</v>
      </c>
      <c r="I234"/>
      <c r="J234" t="e">
        <f>VLOOKUP(bron[[#This Row],[voertuig]],Voertuigen!A:C,3,FALSE)</f>
        <v>#N/A</v>
      </c>
      <c r="K234" t="e">
        <f>VLOOKUP(bron[[#This Row],[voertuig]],Voertuigen!A:C,2,FALSE)</f>
        <v>#N/A</v>
      </c>
      <c r="L234">
        <f>COUNTIF(A:A,bron[[#This Row],[personeelsnr]])</f>
        <v>59</v>
      </c>
    </row>
    <row r="235" spans="1:12" hidden="1" x14ac:dyDescent="0.25">
      <c r="A235">
        <v>37936</v>
      </c>
      <c r="B235" t="str">
        <f>VLOOKUP(bron[[#This Row],[personeelsnr]],[1]Blad1!$A:$H,2,FALSE)</f>
        <v>Detaeye Alexander</v>
      </c>
      <c r="C235" t="str">
        <f>VLOOKUP(bron[[#This Row],[personeelsnr]],[1]Blad1!$A:$H,3,FALSE)</f>
        <v>Detaeye</v>
      </c>
      <c r="D235" t="str">
        <f>VLOOKUP(bron[[#This Row],[personeelsnr]],[1]Blad1!$A:$H,4,FALSE)</f>
        <v>Alexander</v>
      </c>
      <c r="E235" s="2" t="str">
        <f>VLOOKUP(bron[[#This Row],[personeelsnr]],[1]Blad1!$A:$H,8,FALSE)</f>
        <v>Storm Steven</v>
      </c>
      <c r="F235" s="6">
        <v>45450</v>
      </c>
      <c r="G235" s="5" t="s">
        <v>494</v>
      </c>
      <c r="H235" t="s">
        <v>495</v>
      </c>
      <c r="I235"/>
      <c r="J235" t="e">
        <f>VLOOKUP(bron[[#This Row],[voertuig]],Voertuigen!A:C,3,FALSE)</f>
        <v>#N/A</v>
      </c>
      <c r="K235" t="e">
        <f>VLOOKUP(bron[[#This Row],[voertuig]],Voertuigen!A:C,2,FALSE)</f>
        <v>#N/A</v>
      </c>
      <c r="L235">
        <f>COUNTIF(A:A,bron[[#This Row],[personeelsnr]])</f>
        <v>2</v>
      </c>
    </row>
    <row r="236" spans="1:12" hidden="1" x14ac:dyDescent="0.25">
      <c r="A236">
        <v>9999</v>
      </c>
      <c r="B236" t="e">
        <f>VLOOKUP(bron[[#This Row],[personeelsnr]],[1]Blad1!$A:$H,2,FALSE)</f>
        <v>#N/A</v>
      </c>
      <c r="C236" t="e">
        <f>VLOOKUP(bron[[#This Row],[personeelsnr]],[1]Blad1!$A:$H,3,FALSE)</f>
        <v>#N/A</v>
      </c>
      <c r="D236" t="e">
        <f>VLOOKUP(bron[[#This Row],[personeelsnr]],[1]Blad1!$A:$H,4,FALSE)</f>
        <v>#N/A</v>
      </c>
      <c r="E236" s="2" t="s">
        <v>221</v>
      </c>
      <c r="F236" s="6">
        <v>45453</v>
      </c>
      <c r="G236" s="5" t="s">
        <v>496</v>
      </c>
      <c r="H236" t="s">
        <v>27</v>
      </c>
      <c r="I236"/>
      <c r="J236" t="e">
        <f>VLOOKUP(bron[[#This Row],[voertuig]],Voertuigen!A:C,3,FALSE)</f>
        <v>#N/A</v>
      </c>
      <c r="K236" t="e">
        <f>VLOOKUP(bron[[#This Row],[voertuig]],Voertuigen!A:C,2,FALSE)</f>
        <v>#N/A</v>
      </c>
      <c r="L236">
        <f>COUNTIF(A:A,bron[[#This Row],[personeelsnr]])</f>
        <v>59</v>
      </c>
    </row>
    <row r="237" spans="1:12" hidden="1" x14ac:dyDescent="0.25">
      <c r="A237">
        <v>27186</v>
      </c>
      <c r="B237" t="str">
        <f>VLOOKUP(bron[[#This Row],[personeelsnr]],[1]Blad1!$A:$H,2,FALSE)</f>
        <v>Neghli Farid</v>
      </c>
      <c r="C237" t="str">
        <f>VLOOKUP(bron[[#This Row],[personeelsnr]],[1]Blad1!$A:$H,3,FALSE)</f>
        <v>Neghli</v>
      </c>
      <c r="D237" t="str">
        <f>VLOOKUP(bron[[#This Row],[personeelsnr]],[1]Blad1!$A:$H,4,FALSE)</f>
        <v>Farid</v>
      </c>
      <c r="E237" s="2" t="str">
        <f>VLOOKUP(bron[[#This Row],[personeelsnr]],[1]Blad1!$A:$H,8,FALSE)</f>
        <v>Rotty Christoff</v>
      </c>
      <c r="F237" s="6">
        <v>45453</v>
      </c>
      <c r="G237" s="5" t="s">
        <v>497</v>
      </c>
      <c r="H237" t="s">
        <v>8</v>
      </c>
      <c r="I237"/>
      <c r="J237" t="e">
        <f>VLOOKUP(bron[[#This Row],[voertuig]],Voertuigen!A:C,3,FALSE)</f>
        <v>#N/A</v>
      </c>
      <c r="K237" t="e">
        <f>VLOOKUP(bron[[#This Row],[voertuig]],Voertuigen!A:C,2,FALSE)</f>
        <v>#N/A</v>
      </c>
      <c r="L237">
        <f>COUNTIF(A:A,bron[[#This Row],[personeelsnr]])</f>
        <v>2</v>
      </c>
    </row>
    <row r="238" spans="1:12" hidden="1" x14ac:dyDescent="0.25">
      <c r="A238">
        <v>39013</v>
      </c>
      <c r="B238" t="str">
        <f>VLOOKUP(bron[[#This Row],[personeelsnr]],[1]Blad1!$A:$H,2,FALSE)</f>
        <v>Asrih Habib</v>
      </c>
      <c r="C238" t="str">
        <f>VLOOKUP(bron[[#This Row],[personeelsnr]],[1]Blad1!$A:$H,3,FALSE)</f>
        <v>Asrih</v>
      </c>
      <c r="D238" t="str">
        <f>VLOOKUP(bron[[#This Row],[personeelsnr]],[1]Blad1!$A:$H,4,FALSE)</f>
        <v>Habib</v>
      </c>
      <c r="E238" s="2" t="str">
        <f>VLOOKUP(bron[[#This Row],[personeelsnr]],[1]Blad1!$A:$H,8,FALSE)</f>
        <v>Dewulf Els</v>
      </c>
      <c r="F238" s="6">
        <v>45453</v>
      </c>
      <c r="G238" s="5" t="s">
        <v>498</v>
      </c>
      <c r="H238" t="s">
        <v>14</v>
      </c>
      <c r="I238"/>
      <c r="J238" t="e">
        <f>VLOOKUP(bron[[#This Row],[voertuig]],Voertuigen!A:C,3,FALSE)</f>
        <v>#N/A</v>
      </c>
      <c r="K238" t="e">
        <f>VLOOKUP(bron[[#This Row],[voertuig]],Voertuigen!A:C,2,FALSE)</f>
        <v>#N/A</v>
      </c>
      <c r="L238">
        <f>COUNTIF(A:A,bron[[#This Row],[personeelsnr]])</f>
        <v>3</v>
      </c>
    </row>
    <row r="239" spans="1:12" hidden="1" x14ac:dyDescent="0.25">
      <c r="A239">
        <v>37131</v>
      </c>
      <c r="B239" t="str">
        <f>VLOOKUP(bron[[#This Row],[personeelsnr]],[1]Blad1!$A:$H,2,FALSE)</f>
        <v>Saritag Mehmed</v>
      </c>
      <c r="C239" t="str">
        <f>VLOOKUP(bron[[#This Row],[personeelsnr]],[1]Blad1!$A:$H,3,FALSE)</f>
        <v>Saritag</v>
      </c>
      <c r="D239" t="str">
        <f>VLOOKUP(bron[[#This Row],[personeelsnr]],[1]Blad1!$A:$H,4,FALSE)</f>
        <v>Mehmed</v>
      </c>
      <c r="E239" s="2" t="str">
        <f>VLOOKUP(bron[[#This Row],[personeelsnr]],[1]Blad1!$A:$H,8,FALSE)</f>
        <v>De Rick Kenneth</v>
      </c>
      <c r="F239" s="6">
        <v>45453</v>
      </c>
      <c r="G239" s="5" t="s">
        <v>499</v>
      </c>
      <c r="H239" t="s">
        <v>500</v>
      </c>
      <c r="I239"/>
      <c r="J239" t="e">
        <f>VLOOKUP(bron[[#This Row],[voertuig]],Voertuigen!A:C,3,FALSE)</f>
        <v>#N/A</v>
      </c>
      <c r="K239" t="e">
        <f>VLOOKUP(bron[[#This Row],[voertuig]],Voertuigen!A:C,2,FALSE)</f>
        <v>#N/A</v>
      </c>
      <c r="L239">
        <f>COUNTIF(A:A,bron[[#This Row],[personeelsnr]])</f>
        <v>2</v>
      </c>
    </row>
    <row r="240" spans="1:12" hidden="1" x14ac:dyDescent="0.25">
      <c r="A240">
        <v>38808</v>
      </c>
      <c r="B240" t="str">
        <f>VLOOKUP(bron[[#This Row],[personeelsnr]],[1]Blad1!$A:$H,2,FALSE)</f>
        <v>Wasen Jens</v>
      </c>
      <c r="C240" t="str">
        <f>VLOOKUP(bron[[#This Row],[personeelsnr]],[1]Blad1!$A:$H,3,FALSE)</f>
        <v>Wasen</v>
      </c>
      <c r="D240" t="str">
        <f>VLOOKUP(bron[[#This Row],[personeelsnr]],[1]Blad1!$A:$H,4,FALSE)</f>
        <v>Jens</v>
      </c>
      <c r="E240" s="2" t="str">
        <f>VLOOKUP(bron[[#This Row],[personeelsnr]],[1]Blad1!$A:$H,8,FALSE)</f>
        <v>Dewulf Els</v>
      </c>
      <c r="F240" s="6">
        <v>45453</v>
      </c>
      <c r="G240" s="5" t="s">
        <v>501</v>
      </c>
      <c r="H240" t="s">
        <v>8</v>
      </c>
      <c r="I240"/>
      <c r="J240" t="e">
        <f>VLOOKUP(bron[[#This Row],[voertuig]],Voertuigen!A:C,3,FALSE)</f>
        <v>#N/A</v>
      </c>
      <c r="K240" t="e">
        <f>VLOOKUP(bron[[#This Row],[voertuig]],Voertuigen!A:C,2,FALSE)</f>
        <v>#N/A</v>
      </c>
      <c r="L240">
        <f>COUNTIF(A:A,bron[[#This Row],[personeelsnr]])</f>
        <v>5</v>
      </c>
    </row>
    <row r="241" spans="1:12" hidden="1" x14ac:dyDescent="0.25">
      <c r="A241">
        <v>9999</v>
      </c>
      <c r="B241" t="e">
        <f>VLOOKUP(bron[[#This Row],[personeelsnr]],[1]Blad1!$A:$H,2,FALSE)</f>
        <v>#N/A</v>
      </c>
      <c r="C241" t="e">
        <f>VLOOKUP(bron[[#This Row],[personeelsnr]],[1]Blad1!$A:$H,3,FALSE)</f>
        <v>#N/A</v>
      </c>
      <c r="D241" t="e">
        <f>VLOOKUP(bron[[#This Row],[personeelsnr]],[1]Blad1!$A:$H,4,FALSE)</f>
        <v>#N/A</v>
      </c>
      <c r="E241" s="2" t="s">
        <v>221</v>
      </c>
      <c r="F241" s="6">
        <v>45453</v>
      </c>
      <c r="G241" s="5" t="s">
        <v>502</v>
      </c>
      <c r="H241" t="s">
        <v>27</v>
      </c>
      <c r="I241"/>
      <c r="J241" t="e">
        <f>VLOOKUP(bron[[#This Row],[voertuig]],Voertuigen!A:C,3,FALSE)</f>
        <v>#N/A</v>
      </c>
      <c r="K241" t="e">
        <f>VLOOKUP(bron[[#This Row],[voertuig]],Voertuigen!A:C,2,FALSE)</f>
        <v>#N/A</v>
      </c>
      <c r="L241">
        <f>COUNTIF(A:A,bron[[#This Row],[personeelsnr]])</f>
        <v>59</v>
      </c>
    </row>
    <row r="242" spans="1:12" hidden="1" x14ac:dyDescent="0.25">
      <c r="A242">
        <v>29478</v>
      </c>
      <c r="B242" t="str">
        <f>VLOOKUP(bron[[#This Row],[personeelsnr]],[1]Blad1!$A:$H,2,FALSE)</f>
        <v>Priwall Heike</v>
      </c>
      <c r="C242" t="str">
        <f>VLOOKUP(bron[[#This Row],[personeelsnr]],[1]Blad1!$A:$H,3,FALSE)</f>
        <v>Priwall</v>
      </c>
      <c r="D242" t="str">
        <f>VLOOKUP(bron[[#This Row],[personeelsnr]],[1]Blad1!$A:$H,4,FALSE)</f>
        <v>Heike</v>
      </c>
      <c r="E242" s="2" t="str">
        <f>VLOOKUP(bron[[#This Row],[personeelsnr]],[1]Blad1!$A:$H,8,FALSE)</f>
        <v>Dewulf Els</v>
      </c>
      <c r="F242" s="6">
        <v>45454</v>
      </c>
      <c r="G242" s="5" t="s">
        <v>503</v>
      </c>
      <c r="H242" t="s">
        <v>504</v>
      </c>
      <c r="I242"/>
      <c r="J242" t="e">
        <f>VLOOKUP(bron[[#This Row],[voertuig]],Voertuigen!A:C,3,FALSE)</f>
        <v>#N/A</v>
      </c>
      <c r="K242" t="e">
        <f>VLOOKUP(bron[[#This Row],[voertuig]],Voertuigen!A:C,2,FALSE)</f>
        <v>#N/A</v>
      </c>
      <c r="L242">
        <f>COUNTIF(A:A,bron[[#This Row],[personeelsnr]])</f>
        <v>3</v>
      </c>
    </row>
    <row r="243" spans="1:12" hidden="1" x14ac:dyDescent="0.25">
      <c r="A243">
        <v>9999</v>
      </c>
      <c r="B243" t="e">
        <f>VLOOKUP(bron[[#This Row],[personeelsnr]],[1]Blad1!$A:$H,2,FALSE)</f>
        <v>#N/A</v>
      </c>
      <c r="C243" t="e">
        <f>VLOOKUP(bron[[#This Row],[personeelsnr]],[1]Blad1!$A:$H,3,FALSE)</f>
        <v>#N/A</v>
      </c>
      <c r="D243" t="e">
        <f>VLOOKUP(bron[[#This Row],[personeelsnr]],[1]Blad1!$A:$H,4,FALSE)</f>
        <v>#N/A</v>
      </c>
      <c r="E243" s="2" t="s">
        <v>221</v>
      </c>
      <c r="F243" s="6">
        <v>45454</v>
      </c>
      <c r="G243" s="5" t="s">
        <v>505</v>
      </c>
      <c r="H243" t="s">
        <v>506</v>
      </c>
      <c r="I243"/>
      <c r="J243" t="e">
        <f>VLOOKUP(bron[[#This Row],[voertuig]],Voertuigen!A:C,3,FALSE)</f>
        <v>#N/A</v>
      </c>
      <c r="K243" t="e">
        <f>VLOOKUP(bron[[#This Row],[voertuig]],Voertuigen!A:C,2,FALSE)</f>
        <v>#N/A</v>
      </c>
      <c r="L243">
        <f>COUNTIF(A:A,bron[[#This Row],[personeelsnr]])</f>
        <v>59</v>
      </c>
    </row>
    <row r="244" spans="1:12" hidden="1" x14ac:dyDescent="0.25">
      <c r="A244">
        <v>39929</v>
      </c>
      <c r="B244" t="str">
        <f>VLOOKUP(bron[[#This Row],[personeelsnr]],[1]Blad1!$A:$H,2,FALSE)</f>
        <v>Staneva Mariyana</v>
      </c>
      <c r="C244" t="str">
        <f>VLOOKUP(bron[[#This Row],[personeelsnr]],[1]Blad1!$A:$H,3,FALSE)</f>
        <v>Staneva</v>
      </c>
      <c r="D244" t="str">
        <f>VLOOKUP(bron[[#This Row],[personeelsnr]],[1]Blad1!$A:$H,4,FALSE)</f>
        <v>Mariyana</v>
      </c>
      <c r="E244" s="2" t="str">
        <f>VLOOKUP(bron[[#This Row],[personeelsnr]],[1]Blad1!$A:$H,8,FALSE)</f>
        <v>Rotty Christoff</v>
      </c>
      <c r="F244" s="6">
        <v>45455</v>
      </c>
      <c r="G244" s="5" t="s">
        <v>507</v>
      </c>
      <c r="H244" t="s">
        <v>8</v>
      </c>
      <c r="I244"/>
      <c r="J244" t="e">
        <f>VLOOKUP(bron[[#This Row],[voertuig]],Voertuigen!A:C,3,FALSE)</f>
        <v>#N/A</v>
      </c>
      <c r="K244" t="e">
        <f>VLOOKUP(bron[[#This Row],[voertuig]],Voertuigen!A:C,2,FALSE)</f>
        <v>#N/A</v>
      </c>
      <c r="L244">
        <f>COUNTIF(A:A,bron[[#This Row],[personeelsnr]])</f>
        <v>9</v>
      </c>
    </row>
    <row r="245" spans="1:12" hidden="1" x14ac:dyDescent="0.25">
      <c r="A245">
        <v>40110</v>
      </c>
      <c r="B245" t="str">
        <f>VLOOKUP(bron[[#This Row],[personeelsnr]],[1]Blad1!$A:$H,2,FALSE)</f>
        <v>Vanlerberghe Sandra</v>
      </c>
      <c r="C245" t="str">
        <f>VLOOKUP(bron[[#This Row],[personeelsnr]],[1]Blad1!$A:$H,3,FALSE)</f>
        <v>Vanlerberghe</v>
      </c>
      <c r="D245" t="str">
        <f>VLOOKUP(bron[[#This Row],[personeelsnr]],[1]Blad1!$A:$H,4,FALSE)</f>
        <v>Sandra</v>
      </c>
      <c r="E245" s="2" t="str">
        <f>VLOOKUP(bron[[#This Row],[personeelsnr]],[1]Blad1!$A:$H,8,FALSE)</f>
        <v>Rotty Christoff</v>
      </c>
      <c r="F245" s="6">
        <v>45455</v>
      </c>
      <c r="G245" s="5" t="s">
        <v>508</v>
      </c>
      <c r="H245" t="s">
        <v>24</v>
      </c>
      <c r="I245"/>
      <c r="J245" t="e">
        <f>VLOOKUP(bron[[#This Row],[voertuig]],Voertuigen!A:C,3,FALSE)</f>
        <v>#N/A</v>
      </c>
      <c r="K245" t="e">
        <f>VLOOKUP(bron[[#This Row],[voertuig]],Voertuigen!A:C,2,FALSE)</f>
        <v>#N/A</v>
      </c>
      <c r="L245">
        <f>COUNTIF(A:A,bron[[#This Row],[personeelsnr]])</f>
        <v>7</v>
      </c>
    </row>
    <row r="246" spans="1:12" hidden="1" x14ac:dyDescent="0.25">
      <c r="A246">
        <v>31689</v>
      </c>
      <c r="B246" t="str">
        <f>VLOOKUP(bron[[#This Row],[personeelsnr]],[1]Blad1!$A:$H,2,FALSE)</f>
        <v>Van Achte Jay</v>
      </c>
      <c r="C246" t="str">
        <f>VLOOKUP(bron[[#This Row],[personeelsnr]],[1]Blad1!$A:$H,3,FALSE)</f>
        <v>Van Achte</v>
      </c>
      <c r="D246" t="str">
        <f>VLOOKUP(bron[[#This Row],[personeelsnr]],[1]Blad1!$A:$H,4,FALSE)</f>
        <v>Jay</v>
      </c>
      <c r="E246" s="2" t="str">
        <f>VLOOKUP(bron[[#This Row],[personeelsnr]],[1]Blad1!$A:$H,8,FALSE)</f>
        <v>Storm Steven</v>
      </c>
      <c r="F246" s="6">
        <v>45455</v>
      </c>
      <c r="G246" s="5" t="s">
        <v>509</v>
      </c>
      <c r="H246" t="s">
        <v>362</v>
      </c>
      <c r="I246"/>
      <c r="J246" t="e">
        <f>VLOOKUP(bron[[#This Row],[voertuig]],Voertuigen!A:C,3,FALSE)</f>
        <v>#N/A</v>
      </c>
      <c r="K246" t="e">
        <f>VLOOKUP(bron[[#This Row],[voertuig]],Voertuigen!A:C,2,FALSE)</f>
        <v>#N/A</v>
      </c>
      <c r="L246">
        <f>COUNTIF(A:A,bron[[#This Row],[personeelsnr]])</f>
        <v>1</v>
      </c>
    </row>
    <row r="247" spans="1:12" hidden="1" x14ac:dyDescent="0.25">
      <c r="A247">
        <v>40521</v>
      </c>
      <c r="B247" t="str">
        <f>VLOOKUP(bron[[#This Row],[personeelsnr]],[1]Blad1!$A:$H,2,FALSE)</f>
        <v>Mekdad Ali</v>
      </c>
      <c r="C247" t="str">
        <f>VLOOKUP(bron[[#This Row],[personeelsnr]],[1]Blad1!$A:$H,3,FALSE)</f>
        <v>Mekdad</v>
      </c>
      <c r="D247" t="str">
        <f>VLOOKUP(bron[[#This Row],[personeelsnr]],[1]Blad1!$A:$H,4,FALSE)</f>
        <v>Ali</v>
      </c>
      <c r="E247" s="2" t="str">
        <f>VLOOKUP(bron[[#This Row],[personeelsnr]],[1]Blad1!$A:$H,8,FALSE)</f>
        <v>Van De Velde Lucie</v>
      </c>
      <c r="F247" s="6">
        <v>45456</v>
      </c>
      <c r="G247" s="5" t="s">
        <v>510</v>
      </c>
      <c r="H247" t="s">
        <v>52</v>
      </c>
      <c r="I247"/>
      <c r="J247" t="e">
        <f>VLOOKUP(bron[[#This Row],[voertuig]],Voertuigen!A:C,3,FALSE)</f>
        <v>#N/A</v>
      </c>
      <c r="K247" t="e">
        <f>VLOOKUP(bron[[#This Row],[voertuig]],Voertuigen!A:C,2,FALSE)</f>
        <v>#N/A</v>
      </c>
      <c r="L247">
        <f>COUNTIF(A:A,bron[[#This Row],[personeelsnr]])</f>
        <v>2</v>
      </c>
    </row>
    <row r="248" spans="1:12" hidden="1" x14ac:dyDescent="0.25">
      <c r="A248">
        <v>37542</v>
      </c>
      <c r="B248" t="str">
        <f>VLOOKUP(bron[[#This Row],[personeelsnr]],[1]Blad1!$A:$H,2,FALSE)</f>
        <v>De Tandt Hans</v>
      </c>
      <c r="C248" t="str">
        <f>VLOOKUP(bron[[#This Row],[personeelsnr]],[1]Blad1!$A:$H,3,FALSE)</f>
        <v>De Tandt</v>
      </c>
      <c r="D248" t="str">
        <f>VLOOKUP(bron[[#This Row],[personeelsnr]],[1]Blad1!$A:$H,4,FALSE)</f>
        <v>Hans</v>
      </c>
      <c r="E248" s="2" t="str">
        <f>VLOOKUP(bron[[#This Row],[personeelsnr]],[1]Blad1!$A:$H,8,FALSE)</f>
        <v>Van Der Beken Bart</v>
      </c>
      <c r="F248" s="6">
        <v>45456</v>
      </c>
      <c r="G248" s="5" t="s">
        <v>511</v>
      </c>
      <c r="H248" t="s">
        <v>27</v>
      </c>
      <c r="I248"/>
      <c r="J248" t="e">
        <f>VLOOKUP(bron[[#This Row],[voertuig]],Voertuigen!A:C,3,FALSE)</f>
        <v>#N/A</v>
      </c>
      <c r="K248" t="e">
        <f>VLOOKUP(bron[[#This Row],[voertuig]],Voertuigen!A:C,2,FALSE)</f>
        <v>#N/A</v>
      </c>
      <c r="L248">
        <f>COUNTIF(A:A,bron[[#This Row],[personeelsnr]])</f>
        <v>5</v>
      </c>
    </row>
    <row r="249" spans="1:12" hidden="1" x14ac:dyDescent="0.25">
      <c r="A249">
        <v>37542</v>
      </c>
      <c r="B249" t="str">
        <f>VLOOKUP(bron[[#This Row],[personeelsnr]],[1]Blad1!$A:$H,2,FALSE)</f>
        <v>De Tandt Hans</v>
      </c>
      <c r="C249" t="str">
        <f>VLOOKUP(bron[[#This Row],[personeelsnr]],[1]Blad1!$A:$H,3,FALSE)</f>
        <v>De Tandt</v>
      </c>
      <c r="D249" t="str">
        <f>VLOOKUP(bron[[#This Row],[personeelsnr]],[1]Blad1!$A:$H,4,FALSE)</f>
        <v>Hans</v>
      </c>
      <c r="E249" s="2" t="str">
        <f>VLOOKUP(bron[[#This Row],[personeelsnr]],[1]Blad1!$A:$H,8,FALSE)</f>
        <v>Van Der Beken Bart</v>
      </c>
      <c r="F249" s="6">
        <v>45456</v>
      </c>
      <c r="G249" s="5" t="s">
        <v>512</v>
      </c>
      <c r="H249" t="s">
        <v>27</v>
      </c>
      <c r="I249"/>
      <c r="J249" t="e">
        <f>VLOOKUP(bron[[#This Row],[voertuig]],Voertuigen!A:C,3,FALSE)</f>
        <v>#N/A</v>
      </c>
      <c r="K249" t="e">
        <f>VLOOKUP(bron[[#This Row],[voertuig]],Voertuigen!A:C,2,FALSE)</f>
        <v>#N/A</v>
      </c>
      <c r="L249">
        <f>COUNTIF(A:A,bron[[#This Row],[personeelsnr]])</f>
        <v>5</v>
      </c>
    </row>
    <row r="250" spans="1:12" hidden="1" x14ac:dyDescent="0.25">
      <c r="A250">
        <v>40036</v>
      </c>
      <c r="B250" t="str">
        <f>VLOOKUP(bron[[#This Row],[personeelsnr]],[1]Blad1!$A:$H,2,FALSE)</f>
        <v>Karakaya Oguz</v>
      </c>
      <c r="C250" t="str">
        <f>VLOOKUP(bron[[#This Row],[personeelsnr]],[1]Blad1!$A:$H,3,FALSE)</f>
        <v>Karakaya</v>
      </c>
      <c r="D250" t="str">
        <f>VLOOKUP(bron[[#This Row],[personeelsnr]],[1]Blad1!$A:$H,4,FALSE)</f>
        <v>Oguz</v>
      </c>
      <c r="E250" s="2" t="str">
        <f>VLOOKUP(bron[[#This Row],[personeelsnr]],[1]Blad1!$A:$H,8,FALSE)</f>
        <v>De Clercq Dominique</v>
      </c>
      <c r="F250" s="6">
        <v>45457</v>
      </c>
      <c r="G250" s="5" t="s">
        <v>513</v>
      </c>
      <c r="H250" t="s">
        <v>73</v>
      </c>
      <c r="I250"/>
      <c r="J250" t="e">
        <f>VLOOKUP(bron[[#This Row],[voertuig]],Voertuigen!A:C,3,FALSE)</f>
        <v>#N/A</v>
      </c>
      <c r="K250" t="e">
        <f>VLOOKUP(bron[[#This Row],[voertuig]],Voertuigen!A:C,2,FALSE)</f>
        <v>#N/A</v>
      </c>
      <c r="L250">
        <f>COUNTIF(A:A,bron[[#This Row],[personeelsnr]])</f>
        <v>2</v>
      </c>
    </row>
    <row r="251" spans="1:12" hidden="1" x14ac:dyDescent="0.25">
      <c r="A251">
        <v>33986</v>
      </c>
      <c r="B251" t="str">
        <f>VLOOKUP(bron[[#This Row],[personeelsnr]],[1]Blad1!$A:$H,2,FALSE)</f>
        <v>Göktas Muharrem</v>
      </c>
      <c r="C251" t="str">
        <f>VLOOKUP(bron[[#This Row],[personeelsnr]],[1]Blad1!$A:$H,3,FALSE)</f>
        <v>Göktas</v>
      </c>
      <c r="D251" t="str">
        <f>VLOOKUP(bron[[#This Row],[personeelsnr]],[1]Blad1!$A:$H,4,FALSE)</f>
        <v>Muharrem</v>
      </c>
      <c r="E251" s="2" t="str">
        <f>VLOOKUP(bron[[#This Row],[personeelsnr]],[1]Blad1!$A:$H,8,FALSE)</f>
        <v>De Rick Kenneth</v>
      </c>
      <c r="F251" s="6">
        <v>45458</v>
      </c>
      <c r="G251" s="5" t="s">
        <v>514</v>
      </c>
      <c r="H251" t="s">
        <v>18</v>
      </c>
      <c r="I251"/>
      <c r="J251" t="e">
        <f>VLOOKUP(bron[[#This Row],[voertuig]],Voertuigen!A:C,3,FALSE)</f>
        <v>#N/A</v>
      </c>
      <c r="K251" t="e">
        <f>VLOOKUP(bron[[#This Row],[voertuig]],Voertuigen!A:C,2,FALSE)</f>
        <v>#N/A</v>
      </c>
      <c r="L251">
        <f>COUNTIF(A:A,bron[[#This Row],[personeelsnr]])</f>
        <v>4</v>
      </c>
    </row>
    <row r="252" spans="1:12" hidden="1" x14ac:dyDescent="0.25">
      <c r="A252">
        <v>39660</v>
      </c>
      <c r="B252" t="e">
        <f>VLOOKUP(bron[[#This Row],[personeelsnr]],[1]Blad1!$A:$H,2,FALSE)</f>
        <v>#N/A</v>
      </c>
      <c r="C252" t="e">
        <f>VLOOKUP(bron[[#This Row],[personeelsnr]],[1]Blad1!$A:$H,3,FALSE)</f>
        <v>#N/A</v>
      </c>
      <c r="D252" t="e">
        <f>VLOOKUP(bron[[#This Row],[personeelsnr]],[1]Blad1!$A:$H,4,FALSE)</f>
        <v>#N/A</v>
      </c>
      <c r="E252" s="2" t="s">
        <v>221</v>
      </c>
      <c r="F252" s="6">
        <v>45458</v>
      </c>
      <c r="G252" s="5" t="s">
        <v>515</v>
      </c>
      <c r="H252" t="s">
        <v>27</v>
      </c>
      <c r="I252"/>
      <c r="J252" t="e">
        <f>VLOOKUP(bron[[#This Row],[voertuig]],Voertuigen!A:C,3,FALSE)</f>
        <v>#N/A</v>
      </c>
      <c r="K252" t="e">
        <f>VLOOKUP(bron[[#This Row],[voertuig]],Voertuigen!A:C,2,FALSE)</f>
        <v>#N/A</v>
      </c>
      <c r="L252">
        <f>COUNTIF(A:A,bron[[#This Row],[personeelsnr]])</f>
        <v>6</v>
      </c>
    </row>
    <row r="253" spans="1:12" hidden="1" x14ac:dyDescent="0.25">
      <c r="A253">
        <v>39660</v>
      </c>
      <c r="B253" t="e">
        <f>VLOOKUP(bron[[#This Row],[personeelsnr]],[1]Blad1!$A:$H,2,FALSE)</f>
        <v>#N/A</v>
      </c>
      <c r="C253" t="e">
        <f>VLOOKUP(bron[[#This Row],[personeelsnr]],[1]Blad1!$A:$H,3,FALSE)</f>
        <v>#N/A</v>
      </c>
      <c r="D253" t="e">
        <f>VLOOKUP(bron[[#This Row],[personeelsnr]],[1]Blad1!$A:$H,4,FALSE)</f>
        <v>#N/A</v>
      </c>
      <c r="E253" s="2" t="s">
        <v>221</v>
      </c>
      <c r="F253" s="6">
        <v>45458</v>
      </c>
      <c r="G253" s="5" t="s">
        <v>516</v>
      </c>
      <c r="H253" t="s">
        <v>27</v>
      </c>
      <c r="I253"/>
      <c r="J253" t="e">
        <f>VLOOKUP(bron[[#This Row],[voertuig]],Voertuigen!A:C,3,FALSE)</f>
        <v>#N/A</v>
      </c>
      <c r="K253" t="e">
        <f>VLOOKUP(bron[[#This Row],[voertuig]],Voertuigen!A:C,2,FALSE)</f>
        <v>#N/A</v>
      </c>
      <c r="L253">
        <f>COUNTIF(A:A,bron[[#This Row],[personeelsnr]])</f>
        <v>6</v>
      </c>
    </row>
    <row r="254" spans="1:12" hidden="1" x14ac:dyDescent="0.25">
      <c r="A254">
        <v>14261</v>
      </c>
      <c r="B254" t="str">
        <f>VLOOKUP(bron[[#This Row],[personeelsnr]],[1]Blad1!$A:$H,2,FALSE)</f>
        <v>Vandaele Sofie</v>
      </c>
      <c r="C254" t="str">
        <f>VLOOKUP(bron[[#This Row],[personeelsnr]],[1]Blad1!$A:$H,3,FALSE)</f>
        <v>Vandaele</v>
      </c>
      <c r="D254" t="str">
        <f>VLOOKUP(bron[[#This Row],[personeelsnr]],[1]Blad1!$A:$H,4,FALSE)</f>
        <v>Sofie</v>
      </c>
      <c r="E254" s="2" t="str">
        <f>VLOOKUP(bron[[#This Row],[personeelsnr]],[1]Blad1!$A:$H,8,FALSE)</f>
        <v>Vanhoe Els</v>
      </c>
      <c r="F254" s="6">
        <v>45459</v>
      </c>
      <c r="G254" s="5" t="s">
        <v>517</v>
      </c>
      <c r="H254" t="s">
        <v>7</v>
      </c>
      <c r="I254"/>
      <c r="J254" t="e">
        <f>VLOOKUP(bron[[#This Row],[voertuig]],Voertuigen!A:C,3,FALSE)</f>
        <v>#N/A</v>
      </c>
      <c r="K254" t="e">
        <f>VLOOKUP(bron[[#This Row],[voertuig]],Voertuigen!A:C,2,FALSE)</f>
        <v>#N/A</v>
      </c>
      <c r="L254">
        <f>COUNTIF(A:A,bron[[#This Row],[personeelsnr]])</f>
        <v>2</v>
      </c>
    </row>
    <row r="255" spans="1:12" hidden="1" x14ac:dyDescent="0.25">
      <c r="A255">
        <v>35493</v>
      </c>
      <c r="B255" t="str">
        <f>VLOOKUP(bron[[#This Row],[personeelsnr]],[1]Blad1!$A:$H,2,FALSE)</f>
        <v>van Turnhout Mariëlle</v>
      </c>
      <c r="C255" t="str">
        <f>VLOOKUP(bron[[#This Row],[personeelsnr]],[1]Blad1!$A:$H,3,FALSE)</f>
        <v>van Turnhout</v>
      </c>
      <c r="D255" t="str">
        <f>VLOOKUP(bron[[#This Row],[personeelsnr]],[1]Blad1!$A:$H,4,FALSE)</f>
        <v>Mariëlle</v>
      </c>
      <c r="E255" s="2" t="str">
        <f>VLOOKUP(bron[[#This Row],[personeelsnr]],[1]Blad1!$A:$H,8,FALSE)</f>
        <v>Van De Velde Lucie</v>
      </c>
      <c r="F255" s="6">
        <v>45460</v>
      </c>
      <c r="G255" s="5" t="s">
        <v>518</v>
      </c>
      <c r="H255" t="s">
        <v>519</v>
      </c>
      <c r="I255"/>
      <c r="J255" t="e">
        <f>VLOOKUP(bron[[#This Row],[voertuig]],Voertuigen!A:C,3,FALSE)</f>
        <v>#N/A</v>
      </c>
      <c r="K255" t="e">
        <f>VLOOKUP(bron[[#This Row],[voertuig]],Voertuigen!A:C,2,FALSE)</f>
        <v>#N/A</v>
      </c>
      <c r="L255">
        <f>COUNTIF(A:A,bron[[#This Row],[personeelsnr]])</f>
        <v>1</v>
      </c>
    </row>
    <row r="256" spans="1:12" hidden="1" x14ac:dyDescent="0.25">
      <c r="A256">
        <v>36635</v>
      </c>
      <c r="B256" t="str">
        <f>VLOOKUP(bron[[#This Row],[personeelsnr]],[1]Blad1!$A:$H,2,FALSE)</f>
        <v>Fadel Husam</v>
      </c>
      <c r="C256" t="str">
        <f>VLOOKUP(bron[[#This Row],[personeelsnr]],[1]Blad1!$A:$H,3,FALSE)</f>
        <v>Fadel</v>
      </c>
      <c r="D256" t="str">
        <f>VLOOKUP(bron[[#This Row],[personeelsnr]],[1]Blad1!$A:$H,4,FALSE)</f>
        <v>Husam</v>
      </c>
      <c r="E256" s="2" t="str">
        <f>VLOOKUP(bron[[#This Row],[personeelsnr]],[1]Blad1!$A:$H,8,FALSE)</f>
        <v>De Rick Kenneth</v>
      </c>
      <c r="F256" s="6">
        <v>45460</v>
      </c>
      <c r="G256" s="5" t="s">
        <v>520</v>
      </c>
      <c r="H256" t="s">
        <v>519</v>
      </c>
      <c r="I256"/>
      <c r="J256" t="e">
        <f>VLOOKUP(bron[[#This Row],[voertuig]],Voertuigen!A:C,3,FALSE)</f>
        <v>#N/A</v>
      </c>
      <c r="K256" t="e">
        <f>VLOOKUP(bron[[#This Row],[voertuig]],Voertuigen!A:C,2,FALSE)</f>
        <v>#N/A</v>
      </c>
      <c r="L256">
        <f>COUNTIF(A:A,bron[[#This Row],[personeelsnr]])</f>
        <v>4</v>
      </c>
    </row>
    <row r="257" spans="1:12" hidden="1" x14ac:dyDescent="0.25">
      <c r="A257">
        <v>39528</v>
      </c>
      <c r="B257" t="str">
        <f>VLOOKUP(bron[[#This Row],[personeelsnr]],[1]Blad1!$A:$H,2,FALSE)</f>
        <v>Mihaylov Plamen</v>
      </c>
      <c r="C257" t="str">
        <f>VLOOKUP(bron[[#This Row],[personeelsnr]],[1]Blad1!$A:$H,3,FALSE)</f>
        <v>Mihaylov</v>
      </c>
      <c r="D257" t="str">
        <f>VLOOKUP(bron[[#This Row],[personeelsnr]],[1]Blad1!$A:$H,4,FALSE)</f>
        <v>Plamen</v>
      </c>
      <c r="E257" s="2" t="str">
        <f>VLOOKUP(bron[[#This Row],[personeelsnr]],[1]Blad1!$A:$H,8,FALSE)</f>
        <v>Rotty Christoff</v>
      </c>
      <c r="F257" s="6">
        <v>45461</v>
      </c>
      <c r="G257" s="5" t="s">
        <v>521</v>
      </c>
      <c r="H257" t="s">
        <v>279</v>
      </c>
      <c r="I257"/>
      <c r="J257" t="e">
        <f>VLOOKUP(bron[[#This Row],[voertuig]],Voertuigen!A:C,3,FALSE)</f>
        <v>#N/A</v>
      </c>
      <c r="K257" t="e">
        <f>VLOOKUP(bron[[#This Row],[voertuig]],Voertuigen!A:C,2,FALSE)</f>
        <v>#N/A</v>
      </c>
      <c r="L257">
        <f>COUNTIF(A:A,bron[[#This Row],[personeelsnr]])</f>
        <v>4</v>
      </c>
    </row>
    <row r="258" spans="1:12" hidden="1" x14ac:dyDescent="0.25">
      <c r="A258">
        <v>40223</v>
      </c>
      <c r="B258" t="e">
        <f>VLOOKUP(bron[[#This Row],[personeelsnr]],[1]Blad1!$A:$H,2,FALSE)</f>
        <v>#N/A</v>
      </c>
      <c r="C258" t="e">
        <f>VLOOKUP(bron[[#This Row],[personeelsnr]],[1]Blad1!$A:$H,3,FALSE)</f>
        <v>#N/A</v>
      </c>
      <c r="D258" t="e">
        <f>VLOOKUP(bron[[#This Row],[personeelsnr]],[1]Blad1!$A:$H,4,FALSE)</f>
        <v>#N/A</v>
      </c>
      <c r="E258" s="2" t="s">
        <v>221</v>
      </c>
      <c r="F258" s="6">
        <v>45462</v>
      </c>
      <c r="G258" s="5" t="s">
        <v>522</v>
      </c>
      <c r="H258" t="s">
        <v>59</v>
      </c>
      <c r="I258"/>
      <c r="J258" t="e">
        <f>VLOOKUP(bron[[#This Row],[voertuig]],Voertuigen!A:C,3,FALSE)</f>
        <v>#N/A</v>
      </c>
      <c r="K258" t="e">
        <f>VLOOKUP(bron[[#This Row],[voertuig]],Voertuigen!A:C,2,FALSE)</f>
        <v>#N/A</v>
      </c>
      <c r="L258">
        <f>COUNTIF(A:A,bron[[#This Row],[personeelsnr]])</f>
        <v>8</v>
      </c>
    </row>
    <row r="259" spans="1:12" hidden="1" x14ac:dyDescent="0.25">
      <c r="A259">
        <v>9999</v>
      </c>
      <c r="B259" t="e">
        <f>VLOOKUP(bron[[#This Row],[personeelsnr]],[1]Blad1!$A:$H,2,FALSE)</f>
        <v>#N/A</v>
      </c>
      <c r="C259" t="e">
        <f>VLOOKUP(bron[[#This Row],[personeelsnr]],[1]Blad1!$A:$H,3,FALSE)</f>
        <v>#N/A</v>
      </c>
      <c r="D259" t="e">
        <f>VLOOKUP(bron[[#This Row],[personeelsnr]],[1]Blad1!$A:$H,4,FALSE)</f>
        <v>#N/A</v>
      </c>
      <c r="E259" s="2" t="s">
        <v>221</v>
      </c>
      <c r="F259" s="6">
        <v>45464</v>
      </c>
      <c r="G259" s="5" t="s">
        <v>523</v>
      </c>
      <c r="H259" t="s">
        <v>11</v>
      </c>
      <c r="I259"/>
      <c r="J259" t="e">
        <f>VLOOKUP(bron[[#This Row],[voertuig]],Voertuigen!A:C,3,FALSE)</f>
        <v>#N/A</v>
      </c>
      <c r="K259" t="e">
        <f>VLOOKUP(bron[[#This Row],[voertuig]],Voertuigen!A:C,2,FALSE)</f>
        <v>#N/A</v>
      </c>
      <c r="L259">
        <f>COUNTIF(A:A,bron[[#This Row],[personeelsnr]])</f>
        <v>59</v>
      </c>
    </row>
    <row r="260" spans="1:12" hidden="1" x14ac:dyDescent="0.25">
      <c r="A260">
        <v>37609</v>
      </c>
      <c r="B260" t="str">
        <f>VLOOKUP(bron[[#This Row],[personeelsnr]],[1]Blad1!$A:$H,2,FALSE)</f>
        <v>De Groote Dylan</v>
      </c>
      <c r="C260" t="str">
        <f>VLOOKUP(bron[[#This Row],[personeelsnr]],[1]Blad1!$A:$H,3,FALSE)</f>
        <v>De Groote</v>
      </c>
      <c r="D260" t="str">
        <f>VLOOKUP(bron[[#This Row],[personeelsnr]],[1]Blad1!$A:$H,4,FALSE)</f>
        <v>Dylan</v>
      </c>
      <c r="E260" s="2" t="str">
        <f>VLOOKUP(bron[[#This Row],[personeelsnr]],[1]Blad1!$A:$H,8,FALSE)</f>
        <v>De Rick Kenneth</v>
      </c>
      <c r="F260" s="6">
        <v>45465</v>
      </c>
      <c r="G260" s="5" t="s">
        <v>524</v>
      </c>
      <c r="H260" t="s">
        <v>46</v>
      </c>
      <c r="I260"/>
      <c r="J260" t="e">
        <f>VLOOKUP(bron[[#This Row],[voertuig]],Voertuigen!A:C,3,FALSE)</f>
        <v>#N/A</v>
      </c>
      <c r="K260" t="e">
        <f>VLOOKUP(bron[[#This Row],[voertuig]],Voertuigen!A:C,2,FALSE)</f>
        <v>#N/A</v>
      </c>
      <c r="L260">
        <f>COUNTIF(A:A,bron[[#This Row],[personeelsnr]])</f>
        <v>2</v>
      </c>
    </row>
    <row r="261" spans="1:12" hidden="1" x14ac:dyDescent="0.25">
      <c r="A261">
        <v>9999</v>
      </c>
      <c r="B261" t="e">
        <f>VLOOKUP(bron[[#This Row],[personeelsnr]],[1]Blad1!$A:$H,2,FALSE)</f>
        <v>#N/A</v>
      </c>
      <c r="C261" t="e">
        <f>VLOOKUP(bron[[#This Row],[personeelsnr]],[1]Blad1!$A:$H,3,FALSE)</f>
        <v>#N/A</v>
      </c>
      <c r="D261" t="e">
        <f>VLOOKUP(bron[[#This Row],[personeelsnr]],[1]Blad1!$A:$H,4,FALSE)</f>
        <v>#N/A</v>
      </c>
      <c r="E261" s="2" t="s">
        <v>221</v>
      </c>
      <c r="F261" s="6">
        <v>45467</v>
      </c>
      <c r="G261" s="5" t="s">
        <v>525</v>
      </c>
      <c r="H261" t="s">
        <v>526</v>
      </c>
      <c r="I261"/>
      <c r="J261" t="e">
        <f>VLOOKUP(bron[[#This Row],[voertuig]],Voertuigen!A:C,3,FALSE)</f>
        <v>#N/A</v>
      </c>
      <c r="K261" t="e">
        <f>VLOOKUP(bron[[#This Row],[voertuig]],Voertuigen!A:C,2,FALSE)</f>
        <v>#N/A</v>
      </c>
      <c r="L261">
        <f>COUNTIF(A:A,bron[[#This Row],[personeelsnr]])</f>
        <v>59</v>
      </c>
    </row>
    <row r="262" spans="1:12" hidden="1" x14ac:dyDescent="0.25">
      <c r="A262">
        <v>14665</v>
      </c>
      <c r="B262" t="str">
        <f>VLOOKUP(bron[[#This Row],[personeelsnr]],[1]Blad1!$A:$H,2,FALSE)</f>
        <v>De Mulder Philip</v>
      </c>
      <c r="C262" t="str">
        <f>VLOOKUP(bron[[#This Row],[personeelsnr]],[1]Blad1!$A:$H,3,FALSE)</f>
        <v>De Mulder</v>
      </c>
      <c r="D262" t="str">
        <f>VLOOKUP(bron[[#This Row],[personeelsnr]],[1]Blad1!$A:$H,4,FALSE)</f>
        <v>Philip</v>
      </c>
      <c r="E262" s="2" t="str">
        <f>VLOOKUP(bron[[#This Row],[personeelsnr]],[1]Blad1!$A:$H,8,FALSE)</f>
        <v>Van Der Beken Bart</v>
      </c>
      <c r="F262" s="6">
        <v>45468</v>
      </c>
      <c r="G262" s="5" t="s">
        <v>527</v>
      </c>
      <c r="H262" t="s">
        <v>48</v>
      </c>
      <c r="I262"/>
      <c r="J262" t="e">
        <f>VLOOKUP(bron[[#This Row],[voertuig]],Voertuigen!A:C,3,FALSE)</f>
        <v>#N/A</v>
      </c>
      <c r="K262" t="e">
        <f>VLOOKUP(bron[[#This Row],[voertuig]],Voertuigen!A:C,2,FALSE)</f>
        <v>#N/A</v>
      </c>
      <c r="L262">
        <f>COUNTIF(A:A,bron[[#This Row],[personeelsnr]])</f>
        <v>2</v>
      </c>
    </row>
    <row r="263" spans="1:12" hidden="1" x14ac:dyDescent="0.25">
      <c r="A263">
        <v>35395</v>
      </c>
      <c r="B263" t="str">
        <f>VLOOKUP(bron[[#This Row],[personeelsnr]],[1]Blad1!$A:$H,2,FALSE)</f>
        <v>Limbourg Heidi</v>
      </c>
      <c r="C263" t="str">
        <f>VLOOKUP(bron[[#This Row],[personeelsnr]],[1]Blad1!$A:$H,3,FALSE)</f>
        <v>Limbourg</v>
      </c>
      <c r="D263" t="str">
        <f>VLOOKUP(bron[[#This Row],[personeelsnr]],[1]Blad1!$A:$H,4,FALSE)</f>
        <v>Heidi</v>
      </c>
      <c r="E263" s="2" t="str">
        <f>VLOOKUP(bron[[#This Row],[personeelsnr]],[1]Blad1!$A:$H,8,FALSE)</f>
        <v>Storm Steven</v>
      </c>
      <c r="F263" s="6">
        <v>45468</v>
      </c>
      <c r="G263" s="5" t="s">
        <v>528</v>
      </c>
      <c r="H263" t="s">
        <v>72</v>
      </c>
      <c r="I263"/>
      <c r="J263" t="e">
        <f>VLOOKUP(bron[[#This Row],[voertuig]],Voertuigen!A:C,3,FALSE)</f>
        <v>#N/A</v>
      </c>
      <c r="K263" t="e">
        <f>VLOOKUP(bron[[#This Row],[voertuig]],Voertuigen!A:C,2,FALSE)</f>
        <v>#N/A</v>
      </c>
      <c r="L263">
        <f>COUNTIF(A:A,bron[[#This Row],[personeelsnr]])</f>
        <v>2</v>
      </c>
    </row>
    <row r="264" spans="1:12" hidden="1" x14ac:dyDescent="0.25">
      <c r="A264">
        <v>26198</v>
      </c>
      <c r="B264" t="str">
        <f>VLOOKUP(bron[[#This Row],[personeelsnr]],[1]Blad1!$A:$H,2,FALSE)</f>
        <v>Justé Steven</v>
      </c>
      <c r="C264" t="str">
        <f>VLOOKUP(bron[[#This Row],[personeelsnr]],[1]Blad1!$A:$H,3,FALSE)</f>
        <v>Justé</v>
      </c>
      <c r="D264" t="str">
        <f>VLOOKUP(bron[[#This Row],[personeelsnr]],[1]Blad1!$A:$H,4,FALSE)</f>
        <v>Steven</v>
      </c>
      <c r="E264" s="2" t="str">
        <f>VLOOKUP(bron[[#This Row],[personeelsnr]],[1]Blad1!$A:$H,8,FALSE)</f>
        <v>De Rick Kenneth</v>
      </c>
      <c r="F264" s="6">
        <v>45469</v>
      </c>
      <c r="G264" s="5" t="s">
        <v>529</v>
      </c>
      <c r="H264" t="s">
        <v>27</v>
      </c>
      <c r="I264"/>
      <c r="J264" t="e">
        <f>VLOOKUP(bron[[#This Row],[voertuig]],Voertuigen!A:C,3,FALSE)</f>
        <v>#N/A</v>
      </c>
      <c r="K264" t="e">
        <f>VLOOKUP(bron[[#This Row],[voertuig]],Voertuigen!A:C,2,FALSE)</f>
        <v>#N/A</v>
      </c>
      <c r="L264">
        <f>COUNTIF(A:A,bron[[#This Row],[personeelsnr]])</f>
        <v>3</v>
      </c>
    </row>
    <row r="265" spans="1:12" hidden="1" x14ac:dyDescent="0.25">
      <c r="A265">
        <v>32951</v>
      </c>
      <c r="B265" t="str">
        <f>VLOOKUP(bron[[#This Row],[personeelsnr]],[1]Blad1!$A:$H,2,FALSE)</f>
        <v>De Bruyne Sonia</v>
      </c>
      <c r="C265" t="str">
        <f>VLOOKUP(bron[[#This Row],[personeelsnr]],[1]Blad1!$A:$H,3,FALSE)</f>
        <v>De Bruyne</v>
      </c>
      <c r="D265" t="str">
        <f>VLOOKUP(bron[[#This Row],[personeelsnr]],[1]Blad1!$A:$H,4,FALSE)</f>
        <v>Sonia</v>
      </c>
      <c r="E265" s="2" t="str">
        <f>VLOOKUP(bron[[#This Row],[personeelsnr]],[1]Blad1!$A:$H,8,FALSE)</f>
        <v>Van De Velde Lucie</v>
      </c>
      <c r="F265" s="6">
        <v>45469</v>
      </c>
      <c r="G265" s="5" t="s">
        <v>530</v>
      </c>
      <c r="H265" t="s">
        <v>158</v>
      </c>
      <c r="I265"/>
      <c r="J265" t="e">
        <f>VLOOKUP(bron[[#This Row],[voertuig]],Voertuigen!A:C,3,FALSE)</f>
        <v>#N/A</v>
      </c>
      <c r="K265" t="e">
        <f>VLOOKUP(bron[[#This Row],[voertuig]],Voertuigen!A:C,2,FALSE)</f>
        <v>#N/A</v>
      </c>
      <c r="L265">
        <f>COUNTIF(A:A,bron[[#This Row],[personeelsnr]])</f>
        <v>6</v>
      </c>
    </row>
    <row r="266" spans="1:12" hidden="1" x14ac:dyDescent="0.25">
      <c r="A266">
        <v>22244</v>
      </c>
      <c r="B266" t="str">
        <f>VLOOKUP(bron[[#This Row],[personeelsnr]],[1]Blad1!$A:$H,2,FALSE)</f>
        <v>Kirdas Süleyman</v>
      </c>
      <c r="C266" t="str">
        <f>VLOOKUP(bron[[#This Row],[personeelsnr]],[1]Blad1!$A:$H,3,FALSE)</f>
        <v>Kirdas</v>
      </c>
      <c r="D266" t="str">
        <f>VLOOKUP(bron[[#This Row],[personeelsnr]],[1]Blad1!$A:$H,4,FALSE)</f>
        <v>Süleyman</v>
      </c>
      <c r="E266" s="2" t="str">
        <f>VLOOKUP(bron[[#This Row],[personeelsnr]],[1]Blad1!$A:$H,8,FALSE)</f>
        <v>Rotty Christoff</v>
      </c>
      <c r="F266" s="6">
        <v>45469</v>
      </c>
      <c r="G266" s="5" t="s">
        <v>531</v>
      </c>
      <c r="H266" t="s">
        <v>9</v>
      </c>
      <c r="I266"/>
      <c r="J266" t="e">
        <f>VLOOKUP(bron[[#This Row],[voertuig]],Voertuigen!A:C,3,FALSE)</f>
        <v>#N/A</v>
      </c>
      <c r="K266" t="e">
        <f>VLOOKUP(bron[[#This Row],[voertuig]],Voertuigen!A:C,2,FALSE)</f>
        <v>#N/A</v>
      </c>
      <c r="L266">
        <f>COUNTIF(A:A,bron[[#This Row],[personeelsnr]])</f>
        <v>2</v>
      </c>
    </row>
    <row r="267" spans="1:12" hidden="1" x14ac:dyDescent="0.25">
      <c r="A267">
        <v>32542</v>
      </c>
      <c r="B267" t="str">
        <f>VLOOKUP(bron[[#This Row],[personeelsnr]],[1]Blad1!$A:$H,2,FALSE)</f>
        <v>Vanderstock Kenny</v>
      </c>
      <c r="C267" t="str">
        <f>VLOOKUP(bron[[#This Row],[personeelsnr]],[1]Blad1!$A:$H,3,FALSE)</f>
        <v>Vanderstock</v>
      </c>
      <c r="D267" t="str">
        <f>VLOOKUP(bron[[#This Row],[personeelsnr]],[1]Blad1!$A:$H,4,FALSE)</f>
        <v>Kenny</v>
      </c>
      <c r="E267" s="2" t="str">
        <f>VLOOKUP(bron[[#This Row],[personeelsnr]],[1]Blad1!$A:$H,8,FALSE)</f>
        <v>De Clercq Dominique</v>
      </c>
      <c r="F267" s="6">
        <v>45470</v>
      </c>
      <c r="G267" s="5" t="s">
        <v>532</v>
      </c>
      <c r="H267" t="s">
        <v>533</v>
      </c>
      <c r="I267"/>
      <c r="J267" t="e">
        <f>VLOOKUP(bron[[#This Row],[voertuig]],Voertuigen!A:C,3,FALSE)</f>
        <v>#N/A</v>
      </c>
      <c r="K267" t="e">
        <f>VLOOKUP(bron[[#This Row],[voertuig]],Voertuigen!A:C,2,FALSE)</f>
        <v>#N/A</v>
      </c>
      <c r="L267">
        <f>COUNTIF(A:A,bron[[#This Row],[personeelsnr]])</f>
        <v>2</v>
      </c>
    </row>
    <row r="268" spans="1:12" hidden="1" x14ac:dyDescent="0.25">
      <c r="A268">
        <v>35006</v>
      </c>
      <c r="B268" t="str">
        <f>VLOOKUP(bron[[#This Row],[personeelsnr]],[1]Blad1!$A:$H,2,FALSE)</f>
        <v>Van Hoe Youri</v>
      </c>
      <c r="C268" t="str">
        <f>VLOOKUP(bron[[#This Row],[personeelsnr]],[1]Blad1!$A:$H,3,FALSE)</f>
        <v>Van Hoe</v>
      </c>
      <c r="D268" t="str">
        <f>VLOOKUP(bron[[#This Row],[personeelsnr]],[1]Blad1!$A:$H,4,FALSE)</f>
        <v>Youri</v>
      </c>
      <c r="E268" s="2" t="str">
        <f>VLOOKUP(bron[[#This Row],[personeelsnr]],[1]Blad1!$A:$H,8,FALSE)</f>
        <v>De Rick Kenneth</v>
      </c>
      <c r="F268" s="6">
        <v>45472</v>
      </c>
      <c r="G268" s="5" t="s">
        <v>534</v>
      </c>
      <c r="H268" t="s">
        <v>18</v>
      </c>
      <c r="I268"/>
      <c r="J268" t="e">
        <f>VLOOKUP(bron[[#This Row],[voertuig]],Voertuigen!A:C,3,FALSE)</f>
        <v>#N/A</v>
      </c>
      <c r="K268" t="e">
        <f>VLOOKUP(bron[[#This Row],[voertuig]],Voertuigen!A:C,2,FALSE)</f>
        <v>#N/A</v>
      </c>
      <c r="L268">
        <f>COUNTIF(A:A,bron[[#This Row],[personeelsnr]])</f>
        <v>1</v>
      </c>
    </row>
    <row r="269" spans="1:12" hidden="1" x14ac:dyDescent="0.25">
      <c r="A269">
        <v>9999</v>
      </c>
      <c r="B269" t="e">
        <f>VLOOKUP(bron[[#This Row],[personeelsnr]],[1]Blad1!$A:$H,2,FALSE)</f>
        <v>#N/A</v>
      </c>
      <c r="C269" t="e">
        <f>VLOOKUP(bron[[#This Row],[personeelsnr]],[1]Blad1!$A:$H,3,FALSE)</f>
        <v>#N/A</v>
      </c>
      <c r="D269" t="e">
        <f>VLOOKUP(bron[[#This Row],[personeelsnr]],[1]Blad1!$A:$H,4,FALSE)</f>
        <v>#N/A</v>
      </c>
      <c r="E269" s="2" t="s">
        <v>221</v>
      </c>
      <c r="F269" s="6">
        <v>45474</v>
      </c>
      <c r="G269" s="5" t="s">
        <v>535</v>
      </c>
      <c r="H269" t="s">
        <v>101</v>
      </c>
      <c r="I269"/>
      <c r="J269" t="e">
        <f>VLOOKUP(bron[[#This Row],[voertuig]],Voertuigen!A:C,3,FALSE)</f>
        <v>#N/A</v>
      </c>
      <c r="K269" t="e">
        <f>VLOOKUP(bron[[#This Row],[voertuig]],Voertuigen!A:C,2,FALSE)</f>
        <v>#N/A</v>
      </c>
      <c r="L269">
        <f>COUNTIF(A:A,bron[[#This Row],[personeelsnr]])</f>
        <v>59</v>
      </c>
    </row>
    <row r="270" spans="1:12" hidden="1" x14ac:dyDescent="0.25">
      <c r="A270">
        <v>39859</v>
      </c>
      <c r="B270" t="str">
        <f>VLOOKUP(bron[[#This Row],[personeelsnr]],[1]Blad1!$A:$H,2,FALSE)</f>
        <v>Costers Kelly</v>
      </c>
      <c r="C270" t="str">
        <f>VLOOKUP(bron[[#This Row],[personeelsnr]],[1]Blad1!$A:$H,3,FALSE)</f>
        <v>Costers</v>
      </c>
      <c r="D270" t="str">
        <f>VLOOKUP(bron[[#This Row],[personeelsnr]],[1]Blad1!$A:$H,4,FALSE)</f>
        <v>Kelly</v>
      </c>
      <c r="E270" s="2" t="str">
        <f>VLOOKUP(bron[[#This Row],[personeelsnr]],[1]Blad1!$A:$H,8,FALSE)</f>
        <v>Van Der Beken Bart</v>
      </c>
      <c r="F270" s="6">
        <v>45474</v>
      </c>
      <c r="G270" s="5" t="s">
        <v>536</v>
      </c>
      <c r="H270" t="s">
        <v>14</v>
      </c>
      <c r="I270"/>
      <c r="J270" t="e">
        <f>VLOOKUP(bron[[#This Row],[voertuig]],Voertuigen!A:C,3,FALSE)</f>
        <v>#N/A</v>
      </c>
      <c r="K270" t="e">
        <f>VLOOKUP(bron[[#This Row],[voertuig]],Voertuigen!A:C,2,FALSE)</f>
        <v>#N/A</v>
      </c>
      <c r="L270">
        <f>COUNTIF(A:A,bron[[#This Row],[personeelsnr]])</f>
        <v>4</v>
      </c>
    </row>
    <row r="271" spans="1:12" hidden="1" x14ac:dyDescent="0.25">
      <c r="A271">
        <v>9999</v>
      </c>
      <c r="B271" t="e">
        <f>VLOOKUP(bron[[#This Row],[personeelsnr]],[1]Blad1!$A:$H,2,FALSE)</f>
        <v>#N/A</v>
      </c>
      <c r="C271" t="e">
        <f>VLOOKUP(bron[[#This Row],[personeelsnr]],[1]Blad1!$A:$H,3,FALSE)</f>
        <v>#N/A</v>
      </c>
      <c r="D271" t="e">
        <f>VLOOKUP(bron[[#This Row],[personeelsnr]],[1]Blad1!$A:$H,4,FALSE)</f>
        <v>#N/A</v>
      </c>
      <c r="E271" s="2" t="s">
        <v>221</v>
      </c>
      <c r="F271" s="6">
        <v>45475</v>
      </c>
      <c r="G271" s="5" t="s">
        <v>537</v>
      </c>
      <c r="H271" t="s">
        <v>538</v>
      </c>
      <c r="I271"/>
      <c r="J271" t="e">
        <f>VLOOKUP(bron[[#This Row],[voertuig]],Voertuigen!A:C,3,FALSE)</f>
        <v>#N/A</v>
      </c>
      <c r="K271" t="e">
        <f>VLOOKUP(bron[[#This Row],[voertuig]],Voertuigen!A:C,2,FALSE)</f>
        <v>#N/A</v>
      </c>
      <c r="L271">
        <f>COUNTIF(A:A,bron[[#This Row],[personeelsnr]])</f>
        <v>59</v>
      </c>
    </row>
    <row r="272" spans="1:12" hidden="1" x14ac:dyDescent="0.25">
      <c r="A272">
        <v>33986</v>
      </c>
      <c r="B272" t="str">
        <f>VLOOKUP(bron[[#This Row],[personeelsnr]],[1]Blad1!$A:$H,2,FALSE)</f>
        <v>Göktas Muharrem</v>
      </c>
      <c r="C272" t="str">
        <f>VLOOKUP(bron[[#This Row],[personeelsnr]],[1]Blad1!$A:$H,3,FALSE)</f>
        <v>Göktas</v>
      </c>
      <c r="D272" t="str">
        <f>VLOOKUP(bron[[#This Row],[personeelsnr]],[1]Blad1!$A:$H,4,FALSE)</f>
        <v>Muharrem</v>
      </c>
      <c r="E272" s="2" t="str">
        <f>VLOOKUP(bron[[#This Row],[personeelsnr]],[1]Blad1!$A:$H,8,FALSE)</f>
        <v>De Rick Kenneth</v>
      </c>
      <c r="F272" s="6">
        <v>45475</v>
      </c>
      <c r="G272" s="5" t="s">
        <v>539</v>
      </c>
      <c r="H272" t="s">
        <v>291</v>
      </c>
      <c r="I272"/>
      <c r="J272" t="e">
        <f>VLOOKUP(bron[[#This Row],[voertuig]],Voertuigen!A:C,3,FALSE)</f>
        <v>#N/A</v>
      </c>
      <c r="K272" t="e">
        <f>VLOOKUP(bron[[#This Row],[voertuig]],Voertuigen!A:C,2,FALSE)</f>
        <v>#N/A</v>
      </c>
      <c r="L272">
        <f>COUNTIF(A:A,bron[[#This Row],[personeelsnr]])</f>
        <v>4</v>
      </c>
    </row>
    <row r="273" spans="1:12" hidden="1" x14ac:dyDescent="0.25">
      <c r="A273">
        <v>38346</v>
      </c>
      <c r="B273" t="e">
        <f>VLOOKUP(bron[[#This Row],[personeelsnr]],[1]Blad1!$A:$H,2,FALSE)</f>
        <v>#N/A</v>
      </c>
      <c r="C273" t="e">
        <f>VLOOKUP(bron[[#This Row],[personeelsnr]],[1]Blad1!$A:$H,3,FALSE)</f>
        <v>#N/A</v>
      </c>
      <c r="D273" t="e">
        <f>VLOOKUP(bron[[#This Row],[personeelsnr]],[1]Blad1!$A:$H,4,FALSE)</f>
        <v>#N/A</v>
      </c>
      <c r="E273" s="2" t="s">
        <v>221</v>
      </c>
      <c r="F273" s="6">
        <v>45477</v>
      </c>
      <c r="G273" s="5" t="s">
        <v>540</v>
      </c>
      <c r="H273" t="s">
        <v>11</v>
      </c>
      <c r="I273"/>
      <c r="J273" t="e">
        <f>VLOOKUP(bron[[#This Row],[voertuig]],Voertuigen!A:C,3,FALSE)</f>
        <v>#N/A</v>
      </c>
      <c r="K273" t="e">
        <f>VLOOKUP(bron[[#This Row],[voertuig]],Voertuigen!A:C,2,FALSE)</f>
        <v>#N/A</v>
      </c>
      <c r="L273">
        <f>COUNTIF(A:A,bron[[#This Row],[personeelsnr]])</f>
        <v>3</v>
      </c>
    </row>
    <row r="274" spans="1:12" hidden="1" x14ac:dyDescent="0.25">
      <c r="A274">
        <v>39532</v>
      </c>
      <c r="B274" t="str">
        <f>VLOOKUP(bron[[#This Row],[personeelsnr]],[1]Blad1!$A:$H,2,FALSE)</f>
        <v>Sahin Orhan</v>
      </c>
      <c r="C274" t="str">
        <f>VLOOKUP(bron[[#This Row],[personeelsnr]],[1]Blad1!$A:$H,3,FALSE)</f>
        <v>Sahin</v>
      </c>
      <c r="D274" t="str">
        <f>VLOOKUP(bron[[#This Row],[personeelsnr]],[1]Blad1!$A:$H,4,FALSE)</f>
        <v>Orhan</v>
      </c>
      <c r="E274" s="2" t="str">
        <f>VLOOKUP(bron[[#This Row],[personeelsnr]],[1]Blad1!$A:$H,8,FALSE)</f>
        <v>Rotty Christoff</v>
      </c>
      <c r="F274" s="6">
        <v>45477</v>
      </c>
      <c r="G274" s="5" t="s">
        <v>541</v>
      </c>
      <c r="H274" t="s">
        <v>151</v>
      </c>
      <c r="I274"/>
      <c r="J274" t="e">
        <f>VLOOKUP(bron[[#This Row],[voertuig]],Voertuigen!A:C,3,FALSE)</f>
        <v>#N/A</v>
      </c>
      <c r="K274" t="e">
        <f>VLOOKUP(bron[[#This Row],[voertuig]],Voertuigen!A:C,2,FALSE)</f>
        <v>#N/A</v>
      </c>
      <c r="L274">
        <f>COUNTIF(A:A,bron[[#This Row],[personeelsnr]])</f>
        <v>7</v>
      </c>
    </row>
    <row r="275" spans="1:12" hidden="1" x14ac:dyDescent="0.25">
      <c r="A275">
        <v>39529</v>
      </c>
      <c r="B275" t="str">
        <f>VLOOKUP(bron[[#This Row],[personeelsnr]],[1]Blad1!$A:$H,2,FALSE)</f>
        <v>Desmet Patricia</v>
      </c>
      <c r="C275" t="str">
        <f>VLOOKUP(bron[[#This Row],[personeelsnr]],[1]Blad1!$A:$H,3,FALSE)</f>
        <v>Desmet</v>
      </c>
      <c r="D275" t="str">
        <f>VLOOKUP(bron[[#This Row],[personeelsnr]],[1]Blad1!$A:$H,4,FALSE)</f>
        <v>Patricia</v>
      </c>
      <c r="E275" s="2" t="str">
        <f>VLOOKUP(bron[[#This Row],[personeelsnr]],[1]Blad1!$A:$H,8,FALSE)</f>
        <v>Rotty Christoff</v>
      </c>
      <c r="F275" s="6">
        <v>45478</v>
      </c>
      <c r="G275" s="5" t="s">
        <v>542</v>
      </c>
      <c r="H275" t="s">
        <v>7</v>
      </c>
      <c r="I275"/>
      <c r="J275" t="e">
        <f>VLOOKUP(bron[[#This Row],[voertuig]],Voertuigen!A:C,3,FALSE)</f>
        <v>#N/A</v>
      </c>
      <c r="K275" t="e">
        <f>VLOOKUP(bron[[#This Row],[voertuig]],Voertuigen!A:C,2,FALSE)</f>
        <v>#N/A</v>
      </c>
      <c r="L275">
        <f>COUNTIF(A:A,bron[[#This Row],[personeelsnr]])</f>
        <v>4</v>
      </c>
    </row>
    <row r="276" spans="1:12" hidden="1" x14ac:dyDescent="0.25">
      <c r="A276">
        <v>39379</v>
      </c>
      <c r="B276" t="str">
        <f>VLOOKUP(bron[[#This Row],[personeelsnr]],[1]Blad1!$A:$H,2,FALSE)</f>
        <v>Bensalah Mohammed</v>
      </c>
      <c r="C276" t="str">
        <f>VLOOKUP(bron[[#This Row],[personeelsnr]],[1]Blad1!$A:$H,3,FALSE)</f>
        <v>Bensalah</v>
      </c>
      <c r="D276" t="str">
        <f>VLOOKUP(bron[[#This Row],[personeelsnr]],[1]Blad1!$A:$H,4,FALSE)</f>
        <v>Mohammed</v>
      </c>
      <c r="E276" s="2" t="str">
        <f>VLOOKUP(bron[[#This Row],[personeelsnr]],[1]Blad1!$A:$H,8,FALSE)</f>
        <v>Rotty Christoff</v>
      </c>
      <c r="F276" s="6">
        <v>45478</v>
      </c>
      <c r="G276" s="5" t="s">
        <v>543</v>
      </c>
      <c r="H276" t="s">
        <v>18</v>
      </c>
      <c r="I276"/>
      <c r="J276" t="e">
        <f>VLOOKUP(bron[[#This Row],[voertuig]],Voertuigen!A:C,3,FALSE)</f>
        <v>#N/A</v>
      </c>
      <c r="K276" t="e">
        <f>VLOOKUP(bron[[#This Row],[voertuig]],Voertuigen!A:C,2,FALSE)</f>
        <v>#N/A</v>
      </c>
      <c r="L276">
        <f>COUNTIF(A:A,bron[[#This Row],[personeelsnr]])</f>
        <v>2</v>
      </c>
    </row>
    <row r="277" spans="1:12" hidden="1" x14ac:dyDescent="0.25">
      <c r="A277">
        <v>34044</v>
      </c>
      <c r="B277" t="str">
        <f>VLOOKUP(bron[[#This Row],[personeelsnr]],[1]Blad1!$A:$H,2,FALSE)</f>
        <v>Wieme Kevin</v>
      </c>
      <c r="C277" t="str">
        <f>VLOOKUP(bron[[#This Row],[personeelsnr]],[1]Blad1!$A:$H,3,FALSE)</f>
        <v>Wieme</v>
      </c>
      <c r="D277" t="str">
        <f>VLOOKUP(bron[[#This Row],[personeelsnr]],[1]Blad1!$A:$H,4,FALSE)</f>
        <v>Kevin</v>
      </c>
      <c r="E277" s="2" t="str">
        <f>VLOOKUP(bron[[#This Row],[personeelsnr]],[1]Blad1!$A:$H,8,FALSE)</f>
        <v>Rotty Christoff</v>
      </c>
      <c r="F277" s="6">
        <v>45478</v>
      </c>
      <c r="G277" s="5" t="s">
        <v>544</v>
      </c>
      <c r="H277" t="s">
        <v>545</v>
      </c>
      <c r="I277"/>
      <c r="J277" t="e">
        <f>VLOOKUP(bron[[#This Row],[voertuig]],Voertuigen!A:C,3,FALSE)</f>
        <v>#N/A</v>
      </c>
      <c r="K277" t="e">
        <f>VLOOKUP(bron[[#This Row],[voertuig]],Voertuigen!A:C,2,FALSE)</f>
        <v>#N/A</v>
      </c>
      <c r="L277">
        <f>COUNTIF(A:A,bron[[#This Row],[personeelsnr]])</f>
        <v>2</v>
      </c>
    </row>
    <row r="278" spans="1:12" hidden="1" x14ac:dyDescent="0.25">
      <c r="A278">
        <v>36569</v>
      </c>
      <c r="B278" t="e">
        <f>VLOOKUP(bron[[#This Row],[personeelsnr]],[1]Blad1!$A:$H,2,FALSE)</f>
        <v>#N/A</v>
      </c>
      <c r="C278" t="e">
        <f>VLOOKUP(bron[[#This Row],[personeelsnr]],[1]Blad1!$A:$H,3,FALSE)</f>
        <v>#N/A</v>
      </c>
      <c r="D278" t="e">
        <f>VLOOKUP(bron[[#This Row],[personeelsnr]],[1]Blad1!$A:$H,4,FALSE)</f>
        <v>#N/A</v>
      </c>
      <c r="E278" s="2" t="s">
        <v>221</v>
      </c>
      <c r="F278" s="6">
        <v>45479</v>
      </c>
      <c r="G278" s="5" t="s">
        <v>546</v>
      </c>
      <c r="H278" t="s">
        <v>114</v>
      </c>
      <c r="I278"/>
      <c r="J278" t="e">
        <f>VLOOKUP(bron[[#This Row],[voertuig]],Voertuigen!A:C,3,FALSE)</f>
        <v>#N/A</v>
      </c>
      <c r="K278" t="e">
        <f>VLOOKUP(bron[[#This Row],[voertuig]],Voertuigen!A:C,2,FALSE)</f>
        <v>#N/A</v>
      </c>
      <c r="L278">
        <f>COUNTIF(A:A,bron[[#This Row],[personeelsnr]])</f>
        <v>6</v>
      </c>
    </row>
    <row r="279" spans="1:12" hidden="1" x14ac:dyDescent="0.25">
      <c r="A279">
        <v>9999</v>
      </c>
      <c r="B279" t="e">
        <f>VLOOKUP(bron[[#This Row],[personeelsnr]],[1]Blad1!$A:$H,2,FALSE)</f>
        <v>#N/A</v>
      </c>
      <c r="C279" t="e">
        <f>VLOOKUP(bron[[#This Row],[personeelsnr]],[1]Blad1!$A:$H,3,FALSE)</f>
        <v>#N/A</v>
      </c>
      <c r="D279" t="e">
        <f>VLOOKUP(bron[[#This Row],[personeelsnr]],[1]Blad1!$A:$H,4,FALSE)</f>
        <v>#N/A</v>
      </c>
      <c r="E279" s="2" t="s">
        <v>221</v>
      </c>
      <c r="F279" s="6">
        <v>45479</v>
      </c>
      <c r="G279" s="5" t="s">
        <v>547</v>
      </c>
      <c r="H279" t="s">
        <v>548</v>
      </c>
      <c r="I279"/>
      <c r="J279" t="e">
        <f>VLOOKUP(bron[[#This Row],[voertuig]],Voertuigen!A:C,3,FALSE)</f>
        <v>#N/A</v>
      </c>
      <c r="K279" t="e">
        <f>VLOOKUP(bron[[#This Row],[voertuig]],Voertuigen!A:C,2,FALSE)</f>
        <v>#N/A</v>
      </c>
      <c r="L279">
        <f>COUNTIF(A:A,bron[[#This Row],[personeelsnr]])</f>
        <v>59</v>
      </c>
    </row>
    <row r="280" spans="1:12" hidden="1" x14ac:dyDescent="0.25">
      <c r="A280">
        <v>9999</v>
      </c>
      <c r="B280" t="e">
        <f>VLOOKUP(bron[[#This Row],[personeelsnr]],[1]Blad1!$A:$H,2,FALSE)</f>
        <v>#N/A</v>
      </c>
      <c r="C280" t="e">
        <f>VLOOKUP(bron[[#This Row],[personeelsnr]],[1]Blad1!$A:$H,3,FALSE)</f>
        <v>#N/A</v>
      </c>
      <c r="D280" t="e">
        <f>VLOOKUP(bron[[#This Row],[personeelsnr]],[1]Blad1!$A:$H,4,FALSE)</f>
        <v>#N/A</v>
      </c>
      <c r="E280" s="2" t="s">
        <v>221</v>
      </c>
      <c r="F280" s="6">
        <v>45480</v>
      </c>
      <c r="G280" s="5" t="s">
        <v>549</v>
      </c>
      <c r="H280" t="s">
        <v>550</v>
      </c>
      <c r="I280"/>
      <c r="J280" t="e">
        <f>VLOOKUP(bron[[#This Row],[voertuig]],Voertuigen!A:C,3,FALSE)</f>
        <v>#N/A</v>
      </c>
      <c r="K280" t="e">
        <f>VLOOKUP(bron[[#This Row],[voertuig]],Voertuigen!A:C,2,FALSE)</f>
        <v>#N/A</v>
      </c>
      <c r="L280">
        <f>COUNTIF(A:A,bron[[#This Row],[personeelsnr]])</f>
        <v>59</v>
      </c>
    </row>
    <row r="281" spans="1:12" hidden="1" x14ac:dyDescent="0.25">
      <c r="A281">
        <v>9999</v>
      </c>
      <c r="B281" t="e">
        <f>VLOOKUP(bron[[#This Row],[personeelsnr]],[1]Blad1!$A:$H,2,FALSE)</f>
        <v>#N/A</v>
      </c>
      <c r="C281" t="e">
        <f>VLOOKUP(bron[[#This Row],[personeelsnr]],[1]Blad1!$A:$H,3,FALSE)</f>
        <v>#N/A</v>
      </c>
      <c r="D281" t="e">
        <f>VLOOKUP(bron[[#This Row],[personeelsnr]],[1]Blad1!$A:$H,4,FALSE)</f>
        <v>#N/A</v>
      </c>
      <c r="E281" s="2" t="s">
        <v>221</v>
      </c>
      <c r="F281" s="6">
        <v>45481</v>
      </c>
      <c r="G281" s="5" t="s">
        <v>551</v>
      </c>
      <c r="H281" t="s">
        <v>23</v>
      </c>
      <c r="I281"/>
      <c r="J281" t="e">
        <f>VLOOKUP(bron[[#This Row],[voertuig]],Voertuigen!A:C,3,FALSE)</f>
        <v>#N/A</v>
      </c>
      <c r="K281" t="e">
        <f>VLOOKUP(bron[[#This Row],[voertuig]],Voertuigen!A:C,2,FALSE)</f>
        <v>#N/A</v>
      </c>
      <c r="L281">
        <f>COUNTIF(A:A,bron[[#This Row],[personeelsnr]])</f>
        <v>59</v>
      </c>
    </row>
    <row r="282" spans="1:12" hidden="1" x14ac:dyDescent="0.25">
      <c r="A282">
        <v>37542</v>
      </c>
      <c r="B282" t="str">
        <f>VLOOKUP(bron[[#This Row],[personeelsnr]],[1]Blad1!$A:$H,2,FALSE)</f>
        <v>De Tandt Hans</v>
      </c>
      <c r="C282" t="str">
        <f>VLOOKUP(bron[[#This Row],[personeelsnr]],[1]Blad1!$A:$H,3,FALSE)</f>
        <v>De Tandt</v>
      </c>
      <c r="D282" t="str">
        <f>VLOOKUP(bron[[#This Row],[personeelsnr]],[1]Blad1!$A:$H,4,FALSE)</f>
        <v>Hans</v>
      </c>
      <c r="E282" s="2" t="str">
        <f>VLOOKUP(bron[[#This Row],[personeelsnr]],[1]Blad1!$A:$H,8,FALSE)</f>
        <v>Van Der Beken Bart</v>
      </c>
      <c r="F282" s="6">
        <v>45483</v>
      </c>
      <c r="G282" s="5" t="s">
        <v>552</v>
      </c>
      <c r="H282" t="s">
        <v>172</v>
      </c>
      <c r="I282"/>
      <c r="J282" t="e">
        <f>VLOOKUP(bron[[#This Row],[voertuig]],Voertuigen!A:C,3,FALSE)</f>
        <v>#N/A</v>
      </c>
      <c r="K282" t="e">
        <f>VLOOKUP(bron[[#This Row],[voertuig]],Voertuigen!A:C,2,FALSE)</f>
        <v>#N/A</v>
      </c>
      <c r="L282">
        <f>COUNTIF(A:A,bron[[#This Row],[personeelsnr]])</f>
        <v>5</v>
      </c>
    </row>
    <row r="283" spans="1:12" hidden="1" x14ac:dyDescent="0.25">
      <c r="A283">
        <v>14261</v>
      </c>
      <c r="B283" t="str">
        <f>VLOOKUP(bron[[#This Row],[personeelsnr]],[1]Blad1!$A:$H,2,FALSE)</f>
        <v>Vandaele Sofie</v>
      </c>
      <c r="C283" t="str">
        <f>VLOOKUP(bron[[#This Row],[personeelsnr]],[1]Blad1!$A:$H,3,FALSE)</f>
        <v>Vandaele</v>
      </c>
      <c r="D283" t="str">
        <f>VLOOKUP(bron[[#This Row],[personeelsnr]],[1]Blad1!$A:$H,4,FALSE)</f>
        <v>Sofie</v>
      </c>
      <c r="E283" s="2" t="str">
        <f>VLOOKUP(bron[[#This Row],[personeelsnr]],[1]Blad1!$A:$H,8,FALSE)</f>
        <v>Vanhoe Els</v>
      </c>
      <c r="F283" s="6">
        <v>45483</v>
      </c>
      <c r="G283" s="5" t="s">
        <v>553</v>
      </c>
      <c r="H283" t="s">
        <v>7</v>
      </c>
      <c r="I283"/>
      <c r="J283" t="e">
        <f>VLOOKUP(bron[[#This Row],[voertuig]],Voertuigen!A:C,3,FALSE)</f>
        <v>#N/A</v>
      </c>
      <c r="K283" t="e">
        <f>VLOOKUP(bron[[#This Row],[voertuig]],Voertuigen!A:C,2,FALSE)</f>
        <v>#N/A</v>
      </c>
      <c r="L283">
        <f>COUNTIF(A:A,bron[[#This Row],[personeelsnr]])</f>
        <v>2</v>
      </c>
    </row>
    <row r="284" spans="1:12" hidden="1" x14ac:dyDescent="0.25">
      <c r="A284">
        <v>37261</v>
      </c>
      <c r="B284" t="str">
        <f>VLOOKUP(bron[[#This Row],[personeelsnr]],[1]Blad1!$A:$H,2,FALSE)</f>
        <v>Van Wayenbergh Yordi</v>
      </c>
      <c r="C284" t="str">
        <f>VLOOKUP(bron[[#This Row],[personeelsnr]],[1]Blad1!$A:$H,3,FALSE)</f>
        <v>Van Wayenbergh</v>
      </c>
      <c r="D284" t="str">
        <f>VLOOKUP(bron[[#This Row],[personeelsnr]],[1]Blad1!$A:$H,4,FALSE)</f>
        <v>Yordi</v>
      </c>
      <c r="E284" s="2" t="str">
        <f>VLOOKUP(bron[[#This Row],[personeelsnr]],[1]Blad1!$A:$H,8,FALSE)</f>
        <v>De Clercq Dominique</v>
      </c>
      <c r="F284" s="6">
        <v>45483</v>
      </c>
      <c r="G284" s="5" t="s">
        <v>554</v>
      </c>
      <c r="H284" t="s">
        <v>86</v>
      </c>
      <c r="I284"/>
      <c r="J284" t="e">
        <f>VLOOKUP(bron[[#This Row],[voertuig]],Voertuigen!A:C,3,FALSE)</f>
        <v>#N/A</v>
      </c>
      <c r="K284" t="e">
        <f>VLOOKUP(bron[[#This Row],[voertuig]],Voertuigen!A:C,2,FALSE)</f>
        <v>#N/A</v>
      </c>
      <c r="L284">
        <f>COUNTIF(A:A,bron[[#This Row],[personeelsnr]])</f>
        <v>4</v>
      </c>
    </row>
    <row r="285" spans="1:12" hidden="1" x14ac:dyDescent="0.25">
      <c r="A285">
        <v>39532</v>
      </c>
      <c r="B285" t="str">
        <f>VLOOKUP(bron[[#This Row],[personeelsnr]],[1]Blad1!$A:$H,2,FALSE)</f>
        <v>Sahin Orhan</v>
      </c>
      <c r="C285" t="str">
        <f>VLOOKUP(bron[[#This Row],[personeelsnr]],[1]Blad1!$A:$H,3,FALSE)</f>
        <v>Sahin</v>
      </c>
      <c r="D285" t="str">
        <f>VLOOKUP(bron[[#This Row],[personeelsnr]],[1]Blad1!$A:$H,4,FALSE)</f>
        <v>Orhan</v>
      </c>
      <c r="E285" s="2" t="str">
        <f>VLOOKUP(bron[[#This Row],[personeelsnr]],[1]Blad1!$A:$H,8,FALSE)</f>
        <v>Rotty Christoff</v>
      </c>
      <c r="F285" s="6">
        <v>45483</v>
      </c>
      <c r="G285" s="5" t="s">
        <v>555</v>
      </c>
      <c r="H285" t="s">
        <v>27</v>
      </c>
      <c r="I285"/>
      <c r="J285" t="e">
        <f>VLOOKUP(bron[[#This Row],[voertuig]],Voertuigen!A:C,3,FALSE)</f>
        <v>#N/A</v>
      </c>
      <c r="K285" t="e">
        <f>VLOOKUP(bron[[#This Row],[voertuig]],Voertuigen!A:C,2,FALSE)</f>
        <v>#N/A</v>
      </c>
      <c r="L285">
        <f>COUNTIF(A:A,bron[[#This Row],[personeelsnr]])</f>
        <v>7</v>
      </c>
    </row>
    <row r="286" spans="1:12" hidden="1" x14ac:dyDescent="0.25">
      <c r="A286">
        <v>40110</v>
      </c>
      <c r="B286" t="str">
        <f>VLOOKUP(bron[[#This Row],[personeelsnr]],[1]Blad1!$A:$H,2,FALSE)</f>
        <v>Vanlerberghe Sandra</v>
      </c>
      <c r="C286" t="str">
        <f>VLOOKUP(bron[[#This Row],[personeelsnr]],[1]Blad1!$A:$H,3,FALSE)</f>
        <v>Vanlerberghe</v>
      </c>
      <c r="D286" t="str">
        <f>VLOOKUP(bron[[#This Row],[personeelsnr]],[1]Blad1!$A:$H,4,FALSE)</f>
        <v>Sandra</v>
      </c>
      <c r="E286" s="2" t="str">
        <f>VLOOKUP(bron[[#This Row],[personeelsnr]],[1]Blad1!$A:$H,8,FALSE)</f>
        <v>Rotty Christoff</v>
      </c>
      <c r="F286" s="6">
        <v>45484</v>
      </c>
      <c r="G286" s="5" t="s">
        <v>556</v>
      </c>
      <c r="H286" t="s">
        <v>73</v>
      </c>
      <c r="I286"/>
      <c r="J286" t="e">
        <f>VLOOKUP(bron[[#This Row],[voertuig]],Voertuigen!A:C,3,FALSE)</f>
        <v>#N/A</v>
      </c>
      <c r="K286" t="e">
        <f>VLOOKUP(bron[[#This Row],[voertuig]],Voertuigen!A:C,2,FALSE)</f>
        <v>#N/A</v>
      </c>
      <c r="L286">
        <f>COUNTIF(A:A,bron[[#This Row],[personeelsnr]])</f>
        <v>7</v>
      </c>
    </row>
    <row r="287" spans="1:12" hidden="1" x14ac:dyDescent="0.25">
      <c r="A287">
        <v>21509</v>
      </c>
      <c r="B287" t="str">
        <f>VLOOKUP(bron[[#This Row],[personeelsnr]],[1]Blad1!$A:$H,2,FALSE)</f>
        <v>De Craemer Kris</v>
      </c>
      <c r="C287" t="str">
        <f>VLOOKUP(bron[[#This Row],[personeelsnr]],[1]Blad1!$A:$H,3,FALSE)</f>
        <v>De Craemer</v>
      </c>
      <c r="D287" t="str">
        <f>VLOOKUP(bron[[#This Row],[personeelsnr]],[1]Blad1!$A:$H,4,FALSE)</f>
        <v>Kris</v>
      </c>
      <c r="E287" s="2" t="str">
        <f>VLOOKUP(bron[[#This Row],[personeelsnr]],[1]Blad1!$A:$H,8,FALSE)</f>
        <v>De Clercq Dominique</v>
      </c>
      <c r="F287" s="6">
        <v>45484</v>
      </c>
      <c r="G287" s="5" t="s">
        <v>557</v>
      </c>
      <c r="H287" t="s">
        <v>82</v>
      </c>
      <c r="I287"/>
      <c r="J287" t="e">
        <f>VLOOKUP(bron[[#This Row],[voertuig]],Voertuigen!A:C,3,FALSE)</f>
        <v>#N/A</v>
      </c>
      <c r="K287" t="e">
        <f>VLOOKUP(bron[[#This Row],[voertuig]],Voertuigen!A:C,2,FALSE)</f>
        <v>#N/A</v>
      </c>
      <c r="L287">
        <f>COUNTIF(A:A,bron[[#This Row],[personeelsnr]])</f>
        <v>6</v>
      </c>
    </row>
    <row r="288" spans="1:12" hidden="1" x14ac:dyDescent="0.25">
      <c r="A288">
        <v>37261</v>
      </c>
      <c r="B288" t="str">
        <f>VLOOKUP(bron[[#This Row],[personeelsnr]],[1]Blad1!$A:$H,2,FALSE)</f>
        <v>Van Wayenbergh Yordi</v>
      </c>
      <c r="C288" t="str">
        <f>VLOOKUP(bron[[#This Row],[personeelsnr]],[1]Blad1!$A:$H,3,FALSE)</f>
        <v>Van Wayenbergh</v>
      </c>
      <c r="D288" t="str">
        <f>VLOOKUP(bron[[#This Row],[personeelsnr]],[1]Blad1!$A:$H,4,FALSE)</f>
        <v>Yordi</v>
      </c>
      <c r="E288" s="2" t="str">
        <f>VLOOKUP(bron[[#This Row],[personeelsnr]],[1]Blad1!$A:$H,8,FALSE)</f>
        <v>De Clercq Dominique</v>
      </c>
      <c r="F288" s="6">
        <v>45485</v>
      </c>
      <c r="G288" s="5" t="s">
        <v>558</v>
      </c>
      <c r="H288" t="s">
        <v>92</v>
      </c>
      <c r="I288"/>
      <c r="J288" t="e">
        <f>VLOOKUP(bron[[#This Row],[voertuig]],Voertuigen!A:C,3,FALSE)</f>
        <v>#N/A</v>
      </c>
      <c r="K288" t="e">
        <f>VLOOKUP(bron[[#This Row],[voertuig]],Voertuigen!A:C,2,FALSE)</f>
        <v>#N/A</v>
      </c>
      <c r="L288">
        <f>COUNTIF(A:A,bron[[#This Row],[personeelsnr]])</f>
        <v>4</v>
      </c>
    </row>
    <row r="289" spans="1:12" hidden="1" x14ac:dyDescent="0.25">
      <c r="A289">
        <v>21581</v>
      </c>
      <c r="B289" t="str">
        <f>VLOOKUP(bron[[#This Row],[personeelsnr]],[1]Blad1!$A:$H,2,FALSE)</f>
        <v>Vanderstraeten Franky</v>
      </c>
      <c r="C289" t="str">
        <f>VLOOKUP(bron[[#This Row],[personeelsnr]],[1]Blad1!$A:$H,3,FALSE)</f>
        <v>Vanderstraeten</v>
      </c>
      <c r="D289" t="str">
        <f>VLOOKUP(bron[[#This Row],[personeelsnr]],[1]Blad1!$A:$H,4,FALSE)</f>
        <v>Franky</v>
      </c>
      <c r="E289" s="2" t="str">
        <f>VLOOKUP(bron[[#This Row],[personeelsnr]],[1]Blad1!$A:$H,8,FALSE)</f>
        <v>Van De Velde Lucie</v>
      </c>
      <c r="F289" s="6">
        <v>45486</v>
      </c>
      <c r="G289" s="5" t="s">
        <v>559</v>
      </c>
      <c r="H289" t="s">
        <v>8</v>
      </c>
      <c r="I289"/>
      <c r="J289" t="e">
        <f>VLOOKUP(bron[[#This Row],[voertuig]],Voertuigen!A:C,3,FALSE)</f>
        <v>#N/A</v>
      </c>
      <c r="K289" t="e">
        <f>VLOOKUP(bron[[#This Row],[voertuig]],Voertuigen!A:C,2,FALSE)</f>
        <v>#N/A</v>
      </c>
      <c r="L289">
        <f>COUNTIF(A:A,bron[[#This Row],[personeelsnr]])</f>
        <v>3</v>
      </c>
    </row>
    <row r="290" spans="1:12" hidden="1" x14ac:dyDescent="0.25">
      <c r="A290">
        <v>37179</v>
      </c>
      <c r="B290" t="str">
        <f>VLOOKUP(bron[[#This Row],[personeelsnr]],[1]Blad1!$A:$H,2,FALSE)</f>
        <v>Bashir Muhammad Salman</v>
      </c>
      <c r="C290" t="str">
        <f>VLOOKUP(bron[[#This Row],[personeelsnr]],[1]Blad1!$A:$H,3,FALSE)</f>
        <v>Bashir</v>
      </c>
      <c r="D290" t="str">
        <f>VLOOKUP(bron[[#This Row],[personeelsnr]],[1]Blad1!$A:$H,4,FALSE)</f>
        <v>Muhammad Salman</v>
      </c>
      <c r="E290" s="2" t="str">
        <f>VLOOKUP(bron[[#This Row],[personeelsnr]],[1]Blad1!$A:$H,8,FALSE)</f>
        <v>Van Der Beken Bart</v>
      </c>
      <c r="F290" s="6">
        <v>45489</v>
      </c>
      <c r="G290" s="5" t="s">
        <v>560</v>
      </c>
      <c r="H290" t="s">
        <v>8</v>
      </c>
      <c r="I290"/>
      <c r="J290" t="e">
        <f>VLOOKUP(bron[[#This Row],[voertuig]],Voertuigen!A:C,3,FALSE)</f>
        <v>#N/A</v>
      </c>
      <c r="K290" t="e">
        <f>VLOOKUP(bron[[#This Row],[voertuig]],Voertuigen!A:C,2,FALSE)</f>
        <v>#N/A</v>
      </c>
      <c r="L290">
        <f>COUNTIF(A:A,bron[[#This Row],[personeelsnr]])</f>
        <v>2</v>
      </c>
    </row>
    <row r="291" spans="1:12" hidden="1" x14ac:dyDescent="0.25">
      <c r="A291">
        <v>39532</v>
      </c>
      <c r="B291" t="str">
        <f>VLOOKUP(bron[[#This Row],[personeelsnr]],[1]Blad1!$A:$H,2,FALSE)</f>
        <v>Sahin Orhan</v>
      </c>
      <c r="C291" t="str">
        <f>VLOOKUP(bron[[#This Row],[personeelsnr]],[1]Blad1!$A:$H,3,FALSE)</f>
        <v>Sahin</v>
      </c>
      <c r="D291" t="str">
        <f>VLOOKUP(bron[[#This Row],[personeelsnr]],[1]Blad1!$A:$H,4,FALSE)</f>
        <v>Orhan</v>
      </c>
      <c r="E291" s="2" t="str">
        <f>VLOOKUP(bron[[#This Row],[personeelsnr]],[1]Blad1!$A:$H,8,FALSE)</f>
        <v>Rotty Christoff</v>
      </c>
      <c r="F291" s="6">
        <v>45490</v>
      </c>
      <c r="G291" s="5" t="s">
        <v>561</v>
      </c>
      <c r="H291" t="s">
        <v>562</v>
      </c>
      <c r="I291"/>
      <c r="J291" t="e">
        <f>VLOOKUP(bron[[#This Row],[voertuig]],Voertuigen!A:C,3,FALSE)</f>
        <v>#N/A</v>
      </c>
      <c r="K291" t="e">
        <f>VLOOKUP(bron[[#This Row],[voertuig]],Voertuigen!A:C,2,FALSE)</f>
        <v>#N/A</v>
      </c>
      <c r="L291">
        <f>COUNTIF(A:A,bron[[#This Row],[personeelsnr]])</f>
        <v>7</v>
      </c>
    </row>
    <row r="292" spans="1:12" hidden="1" x14ac:dyDescent="0.25">
      <c r="A292">
        <v>39859</v>
      </c>
      <c r="B292" t="str">
        <f>VLOOKUP(bron[[#This Row],[personeelsnr]],[1]Blad1!$A:$H,2,FALSE)</f>
        <v>Costers Kelly</v>
      </c>
      <c r="C292" t="str">
        <f>VLOOKUP(bron[[#This Row],[personeelsnr]],[1]Blad1!$A:$H,3,FALSE)</f>
        <v>Costers</v>
      </c>
      <c r="D292" t="str">
        <f>VLOOKUP(bron[[#This Row],[personeelsnr]],[1]Blad1!$A:$H,4,FALSE)</f>
        <v>Kelly</v>
      </c>
      <c r="E292" s="2" t="str">
        <f>VLOOKUP(bron[[#This Row],[personeelsnr]],[1]Blad1!$A:$H,8,FALSE)</f>
        <v>Van Der Beken Bart</v>
      </c>
      <c r="F292" s="6">
        <v>45490</v>
      </c>
      <c r="G292" s="5" t="s">
        <v>563</v>
      </c>
      <c r="H292" t="s">
        <v>76</v>
      </c>
      <c r="I292"/>
      <c r="J292" t="e">
        <f>VLOOKUP(bron[[#This Row],[voertuig]],Voertuigen!A:C,3,FALSE)</f>
        <v>#N/A</v>
      </c>
      <c r="K292" t="e">
        <f>VLOOKUP(bron[[#This Row],[voertuig]],Voertuigen!A:C,2,FALSE)</f>
        <v>#N/A</v>
      </c>
      <c r="L292">
        <f>COUNTIF(A:A,bron[[#This Row],[personeelsnr]])</f>
        <v>4</v>
      </c>
    </row>
    <row r="293" spans="1:12" hidden="1" x14ac:dyDescent="0.25">
      <c r="A293">
        <v>21121</v>
      </c>
      <c r="B293" t="str">
        <f>VLOOKUP(bron[[#This Row],[personeelsnr]],[1]Blad1!$A:$H,2,FALSE)</f>
        <v>Laforce Mike</v>
      </c>
      <c r="C293" t="str">
        <f>VLOOKUP(bron[[#This Row],[personeelsnr]],[1]Blad1!$A:$H,3,FALSE)</f>
        <v>Laforce</v>
      </c>
      <c r="D293" t="str">
        <f>VLOOKUP(bron[[#This Row],[personeelsnr]],[1]Blad1!$A:$H,4,FALSE)</f>
        <v>Mike</v>
      </c>
      <c r="E293" s="2" t="str">
        <f>VLOOKUP(bron[[#This Row],[personeelsnr]],[1]Blad1!$A:$H,8,FALSE)</f>
        <v>De Rick Kenneth</v>
      </c>
      <c r="F293" s="6">
        <v>45491</v>
      </c>
      <c r="G293" s="5" t="s">
        <v>564</v>
      </c>
      <c r="H293" t="s">
        <v>44</v>
      </c>
      <c r="I293"/>
      <c r="J293" t="e">
        <f>VLOOKUP(bron[[#This Row],[voertuig]],Voertuigen!A:C,3,FALSE)</f>
        <v>#N/A</v>
      </c>
      <c r="K293" t="e">
        <f>VLOOKUP(bron[[#This Row],[voertuig]],Voertuigen!A:C,2,FALSE)</f>
        <v>#N/A</v>
      </c>
      <c r="L293">
        <f>COUNTIF(A:A,bron[[#This Row],[personeelsnr]])</f>
        <v>2</v>
      </c>
    </row>
    <row r="294" spans="1:12" hidden="1" x14ac:dyDescent="0.25">
      <c r="A294">
        <v>29478</v>
      </c>
      <c r="B294" t="str">
        <f>VLOOKUP(bron[[#This Row],[personeelsnr]],[1]Blad1!$A:$H,2,FALSE)</f>
        <v>Priwall Heike</v>
      </c>
      <c r="C294" t="str">
        <f>VLOOKUP(bron[[#This Row],[personeelsnr]],[1]Blad1!$A:$H,3,FALSE)</f>
        <v>Priwall</v>
      </c>
      <c r="D294" t="str">
        <f>VLOOKUP(bron[[#This Row],[personeelsnr]],[1]Blad1!$A:$H,4,FALSE)</f>
        <v>Heike</v>
      </c>
      <c r="E294" s="2" t="str">
        <f>VLOOKUP(bron[[#This Row],[personeelsnr]],[1]Blad1!$A:$H,8,FALSE)</f>
        <v>Dewulf Els</v>
      </c>
      <c r="F294" s="6">
        <v>45491</v>
      </c>
      <c r="G294" s="5" t="s">
        <v>565</v>
      </c>
      <c r="H294" t="s">
        <v>130</v>
      </c>
      <c r="I294"/>
      <c r="J294" t="e">
        <f>VLOOKUP(bron[[#This Row],[voertuig]],Voertuigen!A:C,3,FALSE)</f>
        <v>#N/A</v>
      </c>
      <c r="K294" t="e">
        <f>VLOOKUP(bron[[#This Row],[voertuig]],Voertuigen!A:C,2,FALSE)</f>
        <v>#N/A</v>
      </c>
      <c r="L294">
        <f>COUNTIF(A:A,bron[[#This Row],[personeelsnr]])</f>
        <v>3</v>
      </c>
    </row>
    <row r="295" spans="1:12" hidden="1" x14ac:dyDescent="0.25">
      <c r="A295">
        <v>29179</v>
      </c>
      <c r="B295" t="str">
        <f>VLOOKUP(bron[[#This Row],[personeelsnr]],[1]Blad1!$A:$H,2,FALSE)</f>
        <v>Verwee Dries</v>
      </c>
      <c r="C295" t="str">
        <f>VLOOKUP(bron[[#This Row],[personeelsnr]],[1]Blad1!$A:$H,3,FALSE)</f>
        <v>Verwee</v>
      </c>
      <c r="D295" t="str">
        <f>VLOOKUP(bron[[#This Row],[personeelsnr]],[1]Blad1!$A:$H,4,FALSE)</f>
        <v>Dries</v>
      </c>
      <c r="E295" s="2" t="str">
        <f>VLOOKUP(bron[[#This Row],[personeelsnr]],[1]Blad1!$A:$H,8,FALSE)</f>
        <v>Dewulf Els</v>
      </c>
      <c r="F295" s="6">
        <v>45491</v>
      </c>
      <c r="G295" s="5" t="s">
        <v>566</v>
      </c>
      <c r="H295" t="s">
        <v>25</v>
      </c>
      <c r="I295"/>
      <c r="J295" t="e">
        <f>VLOOKUP(bron[[#This Row],[voertuig]],Voertuigen!A:C,3,FALSE)</f>
        <v>#N/A</v>
      </c>
      <c r="K295" t="e">
        <f>VLOOKUP(bron[[#This Row],[voertuig]],Voertuigen!A:C,2,FALSE)</f>
        <v>#N/A</v>
      </c>
      <c r="L295">
        <f>COUNTIF(A:A,bron[[#This Row],[personeelsnr]])</f>
        <v>6</v>
      </c>
    </row>
    <row r="296" spans="1:12" hidden="1" x14ac:dyDescent="0.25">
      <c r="A296">
        <v>12124</v>
      </c>
      <c r="B296" t="str">
        <f>VLOOKUP(bron[[#This Row],[personeelsnr]],[1]Blad1!$A:$H,2,FALSE)</f>
        <v>Van Vliet Tom</v>
      </c>
      <c r="C296" t="str">
        <f>VLOOKUP(bron[[#This Row],[personeelsnr]],[1]Blad1!$A:$H,3,FALSE)</f>
        <v>Van Vliet</v>
      </c>
      <c r="D296" t="str">
        <f>VLOOKUP(bron[[#This Row],[personeelsnr]],[1]Blad1!$A:$H,4,FALSE)</f>
        <v>Tom</v>
      </c>
      <c r="E296" s="2" t="str">
        <f>VLOOKUP(bron[[#This Row],[personeelsnr]],[1]Blad1!$A:$H,8,FALSE)</f>
        <v>Storm Steven</v>
      </c>
      <c r="F296" s="6">
        <v>45492</v>
      </c>
      <c r="G296" s="5" t="s">
        <v>567</v>
      </c>
      <c r="H296" t="s">
        <v>34</v>
      </c>
      <c r="I296"/>
      <c r="J296" t="e">
        <f>VLOOKUP(bron[[#This Row],[voertuig]],Voertuigen!A:C,3,FALSE)</f>
        <v>#N/A</v>
      </c>
      <c r="K296" t="e">
        <f>VLOOKUP(bron[[#This Row],[voertuig]],Voertuigen!A:C,2,FALSE)</f>
        <v>#N/A</v>
      </c>
      <c r="L296">
        <f>COUNTIF(A:A,bron[[#This Row],[personeelsnr]])</f>
        <v>5</v>
      </c>
    </row>
    <row r="297" spans="1:12" hidden="1" x14ac:dyDescent="0.25">
      <c r="A297">
        <v>9999</v>
      </c>
      <c r="B297" t="e">
        <f>VLOOKUP(bron[[#This Row],[personeelsnr]],[1]Blad1!$A:$H,2,FALSE)</f>
        <v>#N/A</v>
      </c>
      <c r="C297" t="e">
        <f>VLOOKUP(bron[[#This Row],[personeelsnr]],[1]Blad1!$A:$H,3,FALSE)</f>
        <v>#N/A</v>
      </c>
      <c r="D297" t="e">
        <f>VLOOKUP(bron[[#This Row],[personeelsnr]],[1]Blad1!$A:$H,4,FALSE)</f>
        <v>#N/A</v>
      </c>
      <c r="E297" s="2" t="s">
        <v>221</v>
      </c>
      <c r="F297" s="6">
        <v>45493</v>
      </c>
      <c r="G297" s="5" t="s">
        <v>568</v>
      </c>
      <c r="H297" t="s">
        <v>9</v>
      </c>
      <c r="I297"/>
      <c r="J297" t="e">
        <f>VLOOKUP(bron[[#This Row],[voertuig]],Voertuigen!A:C,3,FALSE)</f>
        <v>#N/A</v>
      </c>
      <c r="K297" t="e">
        <f>VLOOKUP(bron[[#This Row],[voertuig]],Voertuigen!A:C,2,FALSE)</f>
        <v>#N/A</v>
      </c>
      <c r="L297">
        <f>COUNTIF(A:A,bron[[#This Row],[personeelsnr]])</f>
        <v>59</v>
      </c>
    </row>
    <row r="298" spans="1:12" hidden="1" x14ac:dyDescent="0.25">
      <c r="A298">
        <v>28830</v>
      </c>
      <c r="B298" t="str">
        <f>VLOOKUP(bron[[#This Row],[personeelsnr]],[1]Blad1!$A:$H,2,FALSE)</f>
        <v>Isiklar Okan</v>
      </c>
      <c r="C298" t="str">
        <f>VLOOKUP(bron[[#This Row],[personeelsnr]],[1]Blad1!$A:$H,3,FALSE)</f>
        <v>Isiklar</v>
      </c>
      <c r="D298" t="str">
        <f>VLOOKUP(bron[[#This Row],[personeelsnr]],[1]Blad1!$A:$H,4,FALSE)</f>
        <v>Okan</v>
      </c>
      <c r="E298" s="2" t="str">
        <f>VLOOKUP(bron[[#This Row],[personeelsnr]],[1]Blad1!$A:$H,8,FALSE)</f>
        <v>Rotty Christoff</v>
      </c>
      <c r="F298" s="6">
        <v>45496</v>
      </c>
      <c r="G298" s="5" t="s">
        <v>569</v>
      </c>
      <c r="H298" t="s">
        <v>20</v>
      </c>
      <c r="I298"/>
      <c r="J298" t="e">
        <f>VLOOKUP(bron[[#This Row],[voertuig]],Voertuigen!A:C,3,FALSE)</f>
        <v>#N/A</v>
      </c>
      <c r="K298" t="e">
        <f>VLOOKUP(bron[[#This Row],[voertuig]],Voertuigen!A:C,2,FALSE)</f>
        <v>#N/A</v>
      </c>
      <c r="L298">
        <f>COUNTIF(A:A,bron[[#This Row],[personeelsnr]])</f>
        <v>1</v>
      </c>
    </row>
    <row r="299" spans="1:12" hidden="1" x14ac:dyDescent="0.25">
      <c r="A299">
        <v>39610</v>
      </c>
      <c r="B299" t="str">
        <f>VLOOKUP(bron[[#This Row],[personeelsnr]],[1]Blad1!$A:$H,2,FALSE)</f>
        <v>Sayin Batuhan</v>
      </c>
      <c r="C299" t="str">
        <f>VLOOKUP(bron[[#This Row],[personeelsnr]],[1]Blad1!$A:$H,3,FALSE)</f>
        <v>Sayin</v>
      </c>
      <c r="D299" t="str">
        <f>VLOOKUP(bron[[#This Row],[personeelsnr]],[1]Blad1!$A:$H,4,FALSE)</f>
        <v>Batuhan</v>
      </c>
      <c r="E299" s="2" t="str">
        <f>VLOOKUP(bron[[#This Row],[personeelsnr]],[1]Blad1!$A:$H,8,FALSE)</f>
        <v>Van Der Beken Bart</v>
      </c>
      <c r="F299" s="6">
        <v>45497</v>
      </c>
      <c r="G299" s="5" t="s">
        <v>570</v>
      </c>
      <c r="H299" t="s">
        <v>8</v>
      </c>
      <c r="I299"/>
      <c r="J299" t="e">
        <f>VLOOKUP(bron[[#This Row],[voertuig]],Voertuigen!A:C,3,FALSE)</f>
        <v>#N/A</v>
      </c>
      <c r="K299" t="e">
        <f>VLOOKUP(bron[[#This Row],[voertuig]],Voertuigen!A:C,2,FALSE)</f>
        <v>#N/A</v>
      </c>
      <c r="L299">
        <f>COUNTIF(A:A,bron[[#This Row],[personeelsnr]])</f>
        <v>1</v>
      </c>
    </row>
    <row r="300" spans="1:12" hidden="1" x14ac:dyDescent="0.25">
      <c r="A300">
        <v>37131</v>
      </c>
      <c r="B300" t="str">
        <f>VLOOKUP(bron[[#This Row],[personeelsnr]],[1]Blad1!$A:$H,2,FALSE)</f>
        <v>Saritag Mehmed</v>
      </c>
      <c r="C300" t="str">
        <f>VLOOKUP(bron[[#This Row],[personeelsnr]],[1]Blad1!$A:$H,3,FALSE)</f>
        <v>Saritag</v>
      </c>
      <c r="D300" t="str">
        <f>VLOOKUP(bron[[#This Row],[personeelsnr]],[1]Blad1!$A:$H,4,FALSE)</f>
        <v>Mehmed</v>
      </c>
      <c r="E300" s="2" t="str">
        <f>VLOOKUP(bron[[#This Row],[personeelsnr]],[1]Blad1!$A:$H,8,FALSE)</f>
        <v>De Rick Kenneth</v>
      </c>
      <c r="F300" s="6">
        <v>45497</v>
      </c>
      <c r="G300" s="5" t="s">
        <v>571</v>
      </c>
      <c r="H300" t="s">
        <v>8</v>
      </c>
      <c r="I300"/>
      <c r="J300" t="e">
        <f>VLOOKUP(bron[[#This Row],[voertuig]],Voertuigen!A:C,3,FALSE)</f>
        <v>#N/A</v>
      </c>
      <c r="K300" t="e">
        <f>VLOOKUP(bron[[#This Row],[voertuig]],Voertuigen!A:C,2,FALSE)</f>
        <v>#N/A</v>
      </c>
      <c r="L300">
        <f>COUNTIF(A:A,bron[[#This Row],[personeelsnr]])</f>
        <v>2</v>
      </c>
    </row>
    <row r="301" spans="1:12" hidden="1" x14ac:dyDescent="0.25">
      <c r="A301">
        <v>28794</v>
      </c>
      <c r="B301" t="str">
        <f>VLOOKUP(bron[[#This Row],[personeelsnr]],[1]Blad1!$A:$H,2,FALSE)</f>
        <v>Van Malderghem Niels</v>
      </c>
      <c r="C301" t="str">
        <f>VLOOKUP(bron[[#This Row],[personeelsnr]],[1]Blad1!$A:$H,3,FALSE)</f>
        <v>Van Malderghem</v>
      </c>
      <c r="D301" t="str">
        <f>VLOOKUP(bron[[#This Row],[personeelsnr]],[1]Blad1!$A:$H,4,FALSE)</f>
        <v>Niels</v>
      </c>
      <c r="E301" s="2" t="str">
        <f>VLOOKUP(bron[[#This Row],[personeelsnr]],[1]Blad1!$A:$H,8,FALSE)</f>
        <v>Van De Velde Lucie</v>
      </c>
      <c r="F301" s="6">
        <v>45497</v>
      </c>
      <c r="G301" s="5" t="s">
        <v>572</v>
      </c>
      <c r="H301" t="s">
        <v>42</v>
      </c>
      <c r="I301"/>
      <c r="J301" t="e">
        <f>VLOOKUP(bron[[#This Row],[voertuig]],Voertuigen!A:C,3,FALSE)</f>
        <v>#N/A</v>
      </c>
      <c r="K301" t="e">
        <f>VLOOKUP(bron[[#This Row],[voertuig]],Voertuigen!A:C,2,FALSE)</f>
        <v>#N/A</v>
      </c>
      <c r="L301">
        <f>COUNTIF(A:A,bron[[#This Row],[personeelsnr]])</f>
        <v>1</v>
      </c>
    </row>
    <row r="302" spans="1:12" hidden="1" x14ac:dyDescent="0.25">
      <c r="A302">
        <v>38808</v>
      </c>
      <c r="B302" t="str">
        <f>VLOOKUP(bron[[#This Row],[personeelsnr]],[1]Blad1!$A:$H,2,FALSE)</f>
        <v>Wasen Jens</v>
      </c>
      <c r="C302" t="str">
        <f>VLOOKUP(bron[[#This Row],[personeelsnr]],[1]Blad1!$A:$H,3,FALSE)</f>
        <v>Wasen</v>
      </c>
      <c r="D302" t="str">
        <f>VLOOKUP(bron[[#This Row],[personeelsnr]],[1]Blad1!$A:$H,4,FALSE)</f>
        <v>Jens</v>
      </c>
      <c r="E302" s="2" t="str">
        <f>VLOOKUP(bron[[#This Row],[personeelsnr]],[1]Blad1!$A:$H,8,FALSE)</f>
        <v>Dewulf Els</v>
      </c>
      <c r="F302" s="6">
        <v>45498</v>
      </c>
      <c r="G302" s="5" t="s">
        <v>573</v>
      </c>
      <c r="H302" t="s">
        <v>8</v>
      </c>
      <c r="I302"/>
      <c r="J302" t="e">
        <f>VLOOKUP(bron[[#This Row],[voertuig]],Voertuigen!A:C,3,FALSE)</f>
        <v>#N/A</v>
      </c>
      <c r="K302" t="e">
        <f>VLOOKUP(bron[[#This Row],[voertuig]],Voertuigen!A:C,2,FALSE)</f>
        <v>#N/A</v>
      </c>
      <c r="L302">
        <f>COUNTIF(A:A,bron[[#This Row],[personeelsnr]])</f>
        <v>5</v>
      </c>
    </row>
    <row r="303" spans="1:12" hidden="1" x14ac:dyDescent="0.25">
      <c r="A303">
        <v>40478</v>
      </c>
      <c r="B303" t="str">
        <f>VLOOKUP(bron[[#This Row],[personeelsnr]],[1]Blad1!$A:$H,2,FALSE)</f>
        <v>Hashimi Ali Mir</v>
      </c>
      <c r="C303" t="str">
        <f>VLOOKUP(bron[[#This Row],[personeelsnr]],[1]Blad1!$A:$H,3,FALSE)</f>
        <v>Hashimi</v>
      </c>
      <c r="D303" t="str">
        <f>VLOOKUP(bron[[#This Row],[personeelsnr]],[1]Blad1!$A:$H,4,FALSE)</f>
        <v>Ali Mir</v>
      </c>
      <c r="E303" s="2" t="str">
        <f>VLOOKUP(bron[[#This Row],[personeelsnr]],[1]Blad1!$A:$H,8,FALSE)</f>
        <v>Van Der Beken Bart</v>
      </c>
      <c r="F303" s="6">
        <v>45498</v>
      </c>
      <c r="G303" s="5" t="s">
        <v>574</v>
      </c>
      <c r="H303" t="s">
        <v>362</v>
      </c>
      <c r="I303"/>
      <c r="J303" t="e">
        <f>VLOOKUP(bron[[#This Row],[voertuig]],Voertuigen!A:C,3,FALSE)</f>
        <v>#N/A</v>
      </c>
      <c r="K303" t="e">
        <f>VLOOKUP(bron[[#This Row],[voertuig]],Voertuigen!A:C,2,FALSE)</f>
        <v>#N/A</v>
      </c>
      <c r="L303">
        <f>COUNTIF(A:A,bron[[#This Row],[personeelsnr]])</f>
        <v>4</v>
      </c>
    </row>
    <row r="304" spans="1:12" hidden="1" x14ac:dyDescent="0.25">
      <c r="A304">
        <v>32387</v>
      </c>
      <c r="B304" t="str">
        <f>VLOOKUP(bron[[#This Row],[personeelsnr]],[1]Blad1!$A:$H,2,FALSE)</f>
        <v>Meersman Herman</v>
      </c>
      <c r="C304" t="str">
        <f>VLOOKUP(bron[[#This Row],[personeelsnr]],[1]Blad1!$A:$H,3,FALSE)</f>
        <v>Meersman</v>
      </c>
      <c r="D304" t="str">
        <f>VLOOKUP(bron[[#This Row],[personeelsnr]],[1]Blad1!$A:$H,4,FALSE)</f>
        <v>Herman</v>
      </c>
      <c r="E304" s="2" t="str">
        <f>VLOOKUP(bron[[#This Row],[personeelsnr]],[1]Blad1!$A:$H,8,FALSE)</f>
        <v>Storm Steven</v>
      </c>
      <c r="F304" s="6">
        <v>45498</v>
      </c>
      <c r="G304" s="5" t="s">
        <v>575</v>
      </c>
      <c r="H304" t="s">
        <v>8</v>
      </c>
      <c r="I304"/>
      <c r="J304" t="e">
        <f>VLOOKUP(bron[[#This Row],[voertuig]],Voertuigen!A:C,3,FALSE)</f>
        <v>#N/A</v>
      </c>
      <c r="K304" t="e">
        <f>VLOOKUP(bron[[#This Row],[voertuig]],Voertuigen!A:C,2,FALSE)</f>
        <v>#N/A</v>
      </c>
      <c r="L304">
        <f>COUNTIF(A:A,bron[[#This Row],[personeelsnr]])</f>
        <v>4</v>
      </c>
    </row>
    <row r="305" spans="1:12" hidden="1" x14ac:dyDescent="0.25">
      <c r="A305">
        <v>37950</v>
      </c>
      <c r="B305" t="str">
        <f>VLOOKUP(bron[[#This Row],[personeelsnr]],[1]Blad1!$A:$H,2,FALSE)</f>
        <v>De Naegel Bruno</v>
      </c>
      <c r="C305" t="str">
        <f>VLOOKUP(bron[[#This Row],[personeelsnr]],[1]Blad1!$A:$H,3,FALSE)</f>
        <v>De Naegel</v>
      </c>
      <c r="D305" t="str">
        <f>VLOOKUP(bron[[#This Row],[personeelsnr]],[1]Blad1!$A:$H,4,FALSE)</f>
        <v>Bruno</v>
      </c>
      <c r="E305" s="2" t="str">
        <f>VLOOKUP(bron[[#This Row],[personeelsnr]],[1]Blad1!$A:$H,8,FALSE)</f>
        <v>De Clercq Dominique</v>
      </c>
      <c r="F305" s="6">
        <v>45500</v>
      </c>
      <c r="G305" s="5" t="s">
        <v>576</v>
      </c>
      <c r="H305" t="s">
        <v>131</v>
      </c>
      <c r="I305"/>
      <c r="J305" t="e">
        <f>VLOOKUP(bron[[#This Row],[voertuig]],Voertuigen!A:C,3,FALSE)</f>
        <v>#N/A</v>
      </c>
      <c r="K305" t="e">
        <f>VLOOKUP(bron[[#This Row],[voertuig]],Voertuigen!A:C,2,FALSE)</f>
        <v>#N/A</v>
      </c>
      <c r="L305">
        <f>COUNTIF(A:A,bron[[#This Row],[personeelsnr]])</f>
        <v>3</v>
      </c>
    </row>
    <row r="306" spans="1:12" hidden="1" x14ac:dyDescent="0.25">
      <c r="A306">
        <v>26198</v>
      </c>
      <c r="B306" t="str">
        <f>VLOOKUP(bron[[#This Row],[personeelsnr]],[1]Blad1!$A:$H,2,FALSE)</f>
        <v>Justé Steven</v>
      </c>
      <c r="C306" t="str">
        <f>VLOOKUP(bron[[#This Row],[personeelsnr]],[1]Blad1!$A:$H,3,FALSE)</f>
        <v>Justé</v>
      </c>
      <c r="D306" t="str">
        <f>VLOOKUP(bron[[#This Row],[personeelsnr]],[1]Blad1!$A:$H,4,FALSE)</f>
        <v>Steven</v>
      </c>
      <c r="E306" s="2" t="str">
        <f>VLOOKUP(bron[[#This Row],[personeelsnr]],[1]Blad1!$A:$H,8,FALSE)</f>
        <v>De Rick Kenneth</v>
      </c>
      <c r="F306" s="6">
        <v>45502</v>
      </c>
      <c r="G306" s="5" t="s">
        <v>577</v>
      </c>
      <c r="H306" t="s">
        <v>90</v>
      </c>
      <c r="I306"/>
      <c r="J306" t="e">
        <f>VLOOKUP(bron[[#This Row],[voertuig]],Voertuigen!A:C,3,FALSE)</f>
        <v>#N/A</v>
      </c>
      <c r="K306" t="e">
        <f>VLOOKUP(bron[[#This Row],[voertuig]],Voertuigen!A:C,2,FALSE)</f>
        <v>#N/A</v>
      </c>
      <c r="L306">
        <f>COUNTIF(A:A,bron[[#This Row],[personeelsnr]])</f>
        <v>3</v>
      </c>
    </row>
    <row r="307" spans="1:12" hidden="1" x14ac:dyDescent="0.25">
      <c r="A307">
        <v>36337</v>
      </c>
      <c r="B307" t="str">
        <f>VLOOKUP(bron[[#This Row],[personeelsnr]],[1]Blad1!$A:$H,2,FALSE)</f>
        <v>Desmadryl Daniel</v>
      </c>
      <c r="C307" t="str">
        <f>VLOOKUP(bron[[#This Row],[personeelsnr]],[1]Blad1!$A:$H,3,FALSE)</f>
        <v>Desmadryl</v>
      </c>
      <c r="D307" t="str">
        <f>VLOOKUP(bron[[#This Row],[personeelsnr]],[1]Blad1!$A:$H,4,FALSE)</f>
        <v>Daniel</v>
      </c>
      <c r="E307" s="2" t="str">
        <f>VLOOKUP(bron[[#This Row],[personeelsnr]],[1]Blad1!$A:$H,8,FALSE)</f>
        <v>De Rick Kenneth</v>
      </c>
      <c r="F307" s="6">
        <v>45502</v>
      </c>
      <c r="G307" s="5" t="s">
        <v>578</v>
      </c>
      <c r="H307" t="s">
        <v>8</v>
      </c>
      <c r="I307"/>
      <c r="J307" t="e">
        <f>VLOOKUP(bron[[#This Row],[voertuig]],Voertuigen!A:C,3,FALSE)</f>
        <v>#N/A</v>
      </c>
      <c r="K307" t="e">
        <f>VLOOKUP(bron[[#This Row],[voertuig]],Voertuigen!A:C,2,FALSE)</f>
        <v>#N/A</v>
      </c>
      <c r="L307">
        <f>COUNTIF(A:A,bron[[#This Row],[personeelsnr]])</f>
        <v>1</v>
      </c>
    </row>
    <row r="308" spans="1:12" hidden="1" x14ac:dyDescent="0.25">
      <c r="A308">
        <v>20375</v>
      </c>
      <c r="B308" t="str">
        <f>VLOOKUP(bron[[#This Row],[personeelsnr]],[1]Blad1!$A:$H,2,FALSE)</f>
        <v>Verlaeckt Lincey</v>
      </c>
      <c r="C308" t="str">
        <f>VLOOKUP(bron[[#This Row],[personeelsnr]],[1]Blad1!$A:$H,3,FALSE)</f>
        <v>Verlaeckt</v>
      </c>
      <c r="D308" t="str">
        <f>VLOOKUP(bron[[#This Row],[personeelsnr]],[1]Blad1!$A:$H,4,FALSE)</f>
        <v>Lincey</v>
      </c>
      <c r="E308" s="2" t="str">
        <f>VLOOKUP(bron[[#This Row],[personeelsnr]],[1]Blad1!$A:$H,8,FALSE)</f>
        <v>De Clercq Dominique</v>
      </c>
      <c r="F308" s="6">
        <v>45502</v>
      </c>
      <c r="G308" s="5" t="s">
        <v>579</v>
      </c>
      <c r="H308" t="s">
        <v>44</v>
      </c>
      <c r="I308"/>
      <c r="J308" t="e">
        <f>VLOOKUP(bron[[#This Row],[voertuig]],Voertuigen!A:C,3,FALSE)</f>
        <v>#N/A</v>
      </c>
      <c r="K308" t="e">
        <f>VLOOKUP(bron[[#This Row],[voertuig]],Voertuigen!A:C,2,FALSE)</f>
        <v>#N/A</v>
      </c>
      <c r="L308">
        <f>COUNTIF(A:A,bron[[#This Row],[personeelsnr]])</f>
        <v>1</v>
      </c>
    </row>
    <row r="309" spans="1:12" hidden="1" x14ac:dyDescent="0.25">
      <c r="A309">
        <v>13020</v>
      </c>
      <c r="B309" t="e">
        <f>VLOOKUP(bron[[#This Row],[personeelsnr]],[1]Blad1!$A:$H,2,FALSE)</f>
        <v>#N/A</v>
      </c>
      <c r="C309" t="e">
        <f>VLOOKUP(bron[[#This Row],[personeelsnr]],[1]Blad1!$A:$H,3,FALSE)</f>
        <v>#N/A</v>
      </c>
      <c r="D309" t="e">
        <f>VLOOKUP(bron[[#This Row],[personeelsnr]],[1]Blad1!$A:$H,4,FALSE)</f>
        <v>#N/A</v>
      </c>
      <c r="E309" s="2" t="s">
        <v>221</v>
      </c>
      <c r="F309" s="6">
        <v>45502</v>
      </c>
      <c r="G309" s="5" t="s">
        <v>580</v>
      </c>
      <c r="H309" t="s">
        <v>7</v>
      </c>
      <c r="I309"/>
      <c r="J309" t="e">
        <f>VLOOKUP(bron[[#This Row],[voertuig]],Voertuigen!A:C,3,FALSE)</f>
        <v>#N/A</v>
      </c>
      <c r="K309" t="e">
        <f>VLOOKUP(bron[[#This Row],[voertuig]],Voertuigen!A:C,2,FALSE)</f>
        <v>#N/A</v>
      </c>
      <c r="L309">
        <f>COUNTIF(A:A,bron[[#This Row],[personeelsnr]])</f>
        <v>2</v>
      </c>
    </row>
    <row r="310" spans="1:12" hidden="1" x14ac:dyDescent="0.25">
      <c r="A310">
        <v>40403</v>
      </c>
      <c r="B310" t="str">
        <f>VLOOKUP(bron[[#This Row],[personeelsnr]],[1]Blad1!$A:$H,2,FALSE)</f>
        <v>Prové Michaël</v>
      </c>
      <c r="C310" t="str">
        <f>VLOOKUP(bron[[#This Row],[personeelsnr]],[1]Blad1!$A:$H,3,FALSE)</f>
        <v>Prové</v>
      </c>
      <c r="D310" t="str">
        <f>VLOOKUP(bron[[#This Row],[personeelsnr]],[1]Blad1!$A:$H,4,FALSE)</f>
        <v>Michaël</v>
      </c>
      <c r="E310" s="2" t="str">
        <f>VLOOKUP(bron[[#This Row],[personeelsnr]],[1]Blad1!$A:$H,8,FALSE)</f>
        <v>De Clercq Dominique</v>
      </c>
      <c r="F310" s="6">
        <v>45503</v>
      </c>
      <c r="G310" s="5" t="s">
        <v>581</v>
      </c>
      <c r="H310" t="s">
        <v>15</v>
      </c>
      <c r="I310"/>
      <c r="J310" t="e">
        <f>VLOOKUP(bron[[#This Row],[voertuig]],Voertuigen!A:C,3,FALSE)</f>
        <v>#N/A</v>
      </c>
      <c r="K310" t="e">
        <f>VLOOKUP(bron[[#This Row],[voertuig]],Voertuigen!A:C,2,FALSE)</f>
        <v>#N/A</v>
      </c>
      <c r="L310">
        <f>COUNTIF(A:A,bron[[#This Row],[personeelsnr]])</f>
        <v>3</v>
      </c>
    </row>
    <row r="311" spans="1:12" hidden="1" x14ac:dyDescent="0.25">
      <c r="A311">
        <v>26137</v>
      </c>
      <c r="B311" t="str">
        <f>VLOOKUP(bron[[#This Row],[personeelsnr]],[1]Blad1!$A:$H,2,FALSE)</f>
        <v>Hublau Roland</v>
      </c>
      <c r="C311" t="str">
        <f>VLOOKUP(bron[[#This Row],[personeelsnr]],[1]Blad1!$A:$H,3,FALSE)</f>
        <v>Hublau</v>
      </c>
      <c r="D311" t="str">
        <f>VLOOKUP(bron[[#This Row],[personeelsnr]],[1]Blad1!$A:$H,4,FALSE)</f>
        <v>Roland</v>
      </c>
      <c r="E311" s="2" t="str">
        <f>VLOOKUP(bron[[#This Row],[personeelsnr]],[1]Blad1!$A:$H,8,FALSE)</f>
        <v>Storm Steven</v>
      </c>
      <c r="F311" s="6">
        <v>45503</v>
      </c>
      <c r="G311" s="5" t="s">
        <v>582</v>
      </c>
      <c r="H311" t="s">
        <v>7</v>
      </c>
      <c r="I311"/>
      <c r="J311" t="e">
        <f>VLOOKUP(bron[[#This Row],[voertuig]],Voertuigen!A:C,3,FALSE)</f>
        <v>#N/A</v>
      </c>
      <c r="K311" t="e">
        <f>VLOOKUP(bron[[#This Row],[voertuig]],Voertuigen!A:C,2,FALSE)</f>
        <v>#N/A</v>
      </c>
      <c r="L311">
        <f>COUNTIF(A:A,bron[[#This Row],[personeelsnr]])</f>
        <v>4</v>
      </c>
    </row>
    <row r="312" spans="1:12" hidden="1" x14ac:dyDescent="0.25">
      <c r="A312">
        <v>36428</v>
      </c>
      <c r="B312" t="str">
        <f>VLOOKUP(bron[[#This Row],[personeelsnr]],[1]Blad1!$A:$H,2,FALSE)</f>
        <v>Abdi Shaiye Rashid</v>
      </c>
      <c r="C312" t="str">
        <f>VLOOKUP(bron[[#This Row],[personeelsnr]],[1]Blad1!$A:$H,3,FALSE)</f>
        <v>Abdi Shaiye</v>
      </c>
      <c r="D312" t="str">
        <f>VLOOKUP(bron[[#This Row],[personeelsnr]],[1]Blad1!$A:$H,4,FALSE)</f>
        <v>Rashid</v>
      </c>
      <c r="E312" s="2" t="str">
        <f>VLOOKUP(bron[[#This Row],[personeelsnr]],[1]Blad1!$A:$H,8,FALSE)</f>
        <v>Van De Velde Lucie</v>
      </c>
      <c r="F312" s="6">
        <v>45505</v>
      </c>
      <c r="G312" s="5" t="s">
        <v>583</v>
      </c>
      <c r="H312" t="s">
        <v>8</v>
      </c>
      <c r="I312"/>
      <c r="J312" t="e">
        <f>VLOOKUP(bron[[#This Row],[voertuig]],Voertuigen!A:C,3,FALSE)</f>
        <v>#N/A</v>
      </c>
      <c r="K312" t="e">
        <f>VLOOKUP(bron[[#This Row],[voertuig]],Voertuigen!A:C,2,FALSE)</f>
        <v>#N/A</v>
      </c>
      <c r="L312">
        <f>COUNTIF(A:A,bron[[#This Row],[personeelsnr]])</f>
        <v>6</v>
      </c>
    </row>
    <row r="313" spans="1:12" hidden="1" x14ac:dyDescent="0.25">
      <c r="A313">
        <v>9999</v>
      </c>
      <c r="B313" t="e">
        <f>VLOOKUP(bron[[#This Row],[personeelsnr]],[1]Blad1!$A:$H,2,FALSE)</f>
        <v>#N/A</v>
      </c>
      <c r="C313" t="e">
        <f>VLOOKUP(bron[[#This Row],[personeelsnr]],[1]Blad1!$A:$H,3,FALSE)</f>
        <v>#N/A</v>
      </c>
      <c r="D313" t="e">
        <f>VLOOKUP(bron[[#This Row],[personeelsnr]],[1]Blad1!$A:$H,4,FALSE)</f>
        <v>#N/A</v>
      </c>
      <c r="E313" s="2" t="s">
        <v>221</v>
      </c>
      <c r="F313" s="6">
        <v>45506</v>
      </c>
      <c r="G313" s="5" t="s">
        <v>584</v>
      </c>
      <c r="H313" t="s">
        <v>9</v>
      </c>
      <c r="I313"/>
      <c r="J313" t="e">
        <f>VLOOKUP(bron[[#This Row],[voertuig]],Voertuigen!A:C,3,FALSE)</f>
        <v>#N/A</v>
      </c>
      <c r="K313" t="e">
        <f>VLOOKUP(bron[[#This Row],[voertuig]],Voertuigen!A:C,2,FALSE)</f>
        <v>#N/A</v>
      </c>
      <c r="L313">
        <f>COUNTIF(A:A,bron[[#This Row],[personeelsnr]])</f>
        <v>59</v>
      </c>
    </row>
    <row r="314" spans="1:12" hidden="1" x14ac:dyDescent="0.25">
      <c r="A314">
        <v>9999</v>
      </c>
      <c r="B314" t="e">
        <f>VLOOKUP(bron[[#This Row],[personeelsnr]],[1]Blad1!$A:$H,2,FALSE)</f>
        <v>#N/A</v>
      </c>
      <c r="C314" t="e">
        <f>VLOOKUP(bron[[#This Row],[personeelsnr]],[1]Blad1!$A:$H,3,FALSE)</f>
        <v>#N/A</v>
      </c>
      <c r="D314" t="e">
        <f>VLOOKUP(bron[[#This Row],[personeelsnr]],[1]Blad1!$A:$H,4,FALSE)</f>
        <v>#N/A</v>
      </c>
      <c r="E314" s="2" t="s">
        <v>221</v>
      </c>
      <c r="F314" s="6">
        <v>45506</v>
      </c>
      <c r="G314" s="5" t="s">
        <v>585</v>
      </c>
      <c r="H314" t="s">
        <v>362</v>
      </c>
      <c r="I314"/>
      <c r="J314" t="e">
        <f>VLOOKUP(bron[[#This Row],[voertuig]],Voertuigen!A:C,3,FALSE)</f>
        <v>#N/A</v>
      </c>
      <c r="K314" t="e">
        <f>VLOOKUP(bron[[#This Row],[voertuig]],Voertuigen!A:C,2,FALSE)</f>
        <v>#N/A</v>
      </c>
      <c r="L314">
        <f>COUNTIF(A:A,bron[[#This Row],[personeelsnr]])</f>
        <v>59</v>
      </c>
    </row>
    <row r="315" spans="1:12" hidden="1" x14ac:dyDescent="0.25">
      <c r="A315">
        <v>36512</v>
      </c>
      <c r="B315" t="str">
        <f>VLOOKUP(bron[[#This Row],[personeelsnr]],[1]Blad1!$A:$H,2,FALSE)</f>
        <v>Van Herreweghe Branco</v>
      </c>
      <c r="C315" t="str">
        <f>VLOOKUP(bron[[#This Row],[personeelsnr]],[1]Blad1!$A:$H,3,FALSE)</f>
        <v>Van Herreweghe</v>
      </c>
      <c r="D315" t="str">
        <f>VLOOKUP(bron[[#This Row],[personeelsnr]],[1]Blad1!$A:$H,4,FALSE)</f>
        <v>Branco</v>
      </c>
      <c r="E315" s="2" t="str">
        <f>VLOOKUP(bron[[#This Row],[personeelsnr]],[1]Blad1!$A:$H,8,FALSE)</f>
        <v>Storm Steven</v>
      </c>
      <c r="F315" s="6">
        <v>45507</v>
      </c>
      <c r="G315" s="5" t="s">
        <v>586</v>
      </c>
      <c r="H315" t="s">
        <v>42</v>
      </c>
      <c r="I315"/>
      <c r="J315" t="e">
        <f>VLOOKUP(bron[[#This Row],[voertuig]],Voertuigen!A:C,3,FALSE)</f>
        <v>#N/A</v>
      </c>
      <c r="K315" t="e">
        <f>VLOOKUP(bron[[#This Row],[voertuig]],Voertuigen!A:C,2,FALSE)</f>
        <v>#N/A</v>
      </c>
      <c r="L315">
        <f>COUNTIF(A:A,bron[[#This Row],[personeelsnr]])</f>
        <v>3</v>
      </c>
    </row>
    <row r="316" spans="1:12" hidden="1" x14ac:dyDescent="0.25">
      <c r="A316">
        <v>39929</v>
      </c>
      <c r="B316" t="str">
        <f>VLOOKUP(bron[[#This Row],[personeelsnr]],[1]Blad1!$A:$H,2,FALSE)</f>
        <v>Staneva Mariyana</v>
      </c>
      <c r="C316" t="str">
        <f>VLOOKUP(bron[[#This Row],[personeelsnr]],[1]Blad1!$A:$H,3,FALSE)</f>
        <v>Staneva</v>
      </c>
      <c r="D316" t="str">
        <f>VLOOKUP(bron[[#This Row],[personeelsnr]],[1]Blad1!$A:$H,4,FALSE)</f>
        <v>Mariyana</v>
      </c>
      <c r="E316" s="2" t="str">
        <f>VLOOKUP(bron[[#This Row],[personeelsnr]],[1]Blad1!$A:$H,8,FALSE)</f>
        <v>Rotty Christoff</v>
      </c>
      <c r="F316" s="6">
        <v>45507</v>
      </c>
      <c r="G316" s="5" t="s">
        <v>587</v>
      </c>
      <c r="H316" t="s">
        <v>52</v>
      </c>
      <c r="I316"/>
      <c r="J316" t="e">
        <f>VLOOKUP(bron[[#This Row],[voertuig]],Voertuigen!A:C,3,FALSE)</f>
        <v>#N/A</v>
      </c>
      <c r="K316" t="e">
        <f>VLOOKUP(bron[[#This Row],[voertuig]],Voertuigen!A:C,2,FALSE)</f>
        <v>#N/A</v>
      </c>
      <c r="L316">
        <f>COUNTIF(A:A,bron[[#This Row],[personeelsnr]])</f>
        <v>9</v>
      </c>
    </row>
    <row r="317" spans="1:12" hidden="1" x14ac:dyDescent="0.25">
      <c r="A317">
        <v>37662</v>
      </c>
      <c r="B317" t="str">
        <f>VLOOKUP(bron[[#This Row],[personeelsnr]],[1]Blad1!$A:$H,2,FALSE)</f>
        <v>Van den Meerssche Steven</v>
      </c>
      <c r="C317" t="str">
        <f>VLOOKUP(bron[[#This Row],[personeelsnr]],[1]Blad1!$A:$H,3,FALSE)</f>
        <v>Van den Meerssche</v>
      </c>
      <c r="D317" t="str">
        <f>VLOOKUP(bron[[#This Row],[personeelsnr]],[1]Blad1!$A:$H,4,FALSE)</f>
        <v>Steven</v>
      </c>
      <c r="E317" s="2" t="str">
        <f>VLOOKUP(bron[[#This Row],[personeelsnr]],[1]Blad1!$A:$H,8,FALSE)</f>
        <v>Van Der Beken Bart</v>
      </c>
      <c r="F317" s="6">
        <v>45508</v>
      </c>
      <c r="G317" s="5" t="s">
        <v>588</v>
      </c>
      <c r="H317" t="s">
        <v>7</v>
      </c>
      <c r="I317"/>
      <c r="J317" t="e">
        <f>VLOOKUP(bron[[#This Row],[voertuig]],Voertuigen!A:C,3,FALSE)</f>
        <v>#N/A</v>
      </c>
      <c r="K317" t="e">
        <f>VLOOKUP(bron[[#This Row],[voertuig]],Voertuigen!A:C,2,FALSE)</f>
        <v>#N/A</v>
      </c>
      <c r="L317">
        <f>COUNTIF(A:A,bron[[#This Row],[personeelsnr]])</f>
        <v>9</v>
      </c>
    </row>
    <row r="318" spans="1:12" hidden="1" x14ac:dyDescent="0.25">
      <c r="A318">
        <v>39889</v>
      </c>
      <c r="B318" t="str">
        <f>VLOOKUP(bron[[#This Row],[personeelsnr]],[1]Blad1!$A:$H,2,FALSE)</f>
        <v>Stanikazi Roien Sadder</v>
      </c>
      <c r="C318" t="str">
        <f>VLOOKUP(bron[[#This Row],[personeelsnr]],[1]Blad1!$A:$H,3,FALSE)</f>
        <v>Stanikazi</v>
      </c>
      <c r="D318" t="str">
        <f>VLOOKUP(bron[[#This Row],[personeelsnr]],[1]Blad1!$A:$H,4,FALSE)</f>
        <v>Roien Sadder</v>
      </c>
      <c r="E318" s="2" t="str">
        <f>VLOOKUP(bron[[#This Row],[personeelsnr]],[1]Blad1!$A:$H,8,FALSE)</f>
        <v>Storm Steven</v>
      </c>
      <c r="F318" s="6">
        <v>45509</v>
      </c>
      <c r="G318" s="5" t="s">
        <v>589</v>
      </c>
      <c r="H318" t="s">
        <v>8</v>
      </c>
      <c r="I318"/>
      <c r="J318" t="e">
        <f>VLOOKUP(bron[[#This Row],[voertuig]],Voertuigen!A:C,3,FALSE)</f>
        <v>#N/A</v>
      </c>
      <c r="K318" t="e">
        <f>VLOOKUP(bron[[#This Row],[voertuig]],Voertuigen!A:C,2,FALSE)</f>
        <v>#N/A</v>
      </c>
      <c r="L318">
        <f>COUNTIF(A:A,bron[[#This Row],[personeelsnr]])</f>
        <v>1</v>
      </c>
    </row>
    <row r="319" spans="1:12" hidden="1" x14ac:dyDescent="0.25">
      <c r="A319">
        <v>8016</v>
      </c>
      <c r="B319" t="str">
        <f>VLOOKUP(bron[[#This Row],[personeelsnr]],[1]Blad1!$A:$H,2,FALSE)</f>
        <v>Vinck Roland</v>
      </c>
      <c r="C319" t="str">
        <f>VLOOKUP(bron[[#This Row],[personeelsnr]],[1]Blad1!$A:$H,3,FALSE)</f>
        <v>Vinck</v>
      </c>
      <c r="D319" t="str">
        <f>VLOOKUP(bron[[#This Row],[personeelsnr]],[1]Blad1!$A:$H,4,FALSE)</f>
        <v>Roland</v>
      </c>
      <c r="E319" s="2" t="str">
        <f>VLOOKUP(bron[[#This Row],[personeelsnr]],[1]Blad1!$A:$H,8,FALSE)</f>
        <v>De Clercq Dominique</v>
      </c>
      <c r="F319" s="6">
        <v>45512</v>
      </c>
      <c r="G319" s="5" t="s">
        <v>590</v>
      </c>
      <c r="H319" t="s">
        <v>7</v>
      </c>
      <c r="I319"/>
      <c r="J319" t="e">
        <f>VLOOKUP(bron[[#This Row],[voertuig]],Voertuigen!A:C,3,FALSE)</f>
        <v>#N/A</v>
      </c>
      <c r="K319" t="e">
        <f>VLOOKUP(bron[[#This Row],[voertuig]],Voertuigen!A:C,2,FALSE)</f>
        <v>#N/A</v>
      </c>
      <c r="L319">
        <f>COUNTIF(A:A,bron[[#This Row],[personeelsnr]])</f>
        <v>2</v>
      </c>
    </row>
    <row r="320" spans="1:12" hidden="1" x14ac:dyDescent="0.25">
      <c r="A320">
        <v>17931</v>
      </c>
      <c r="B320" t="str">
        <f>VLOOKUP(bron[[#This Row],[personeelsnr]],[1]Blad1!$A:$H,2,FALSE)</f>
        <v>Idrisi Hasana</v>
      </c>
      <c r="C320" t="str">
        <f>VLOOKUP(bron[[#This Row],[personeelsnr]],[1]Blad1!$A:$H,3,FALSE)</f>
        <v>Idrisi</v>
      </c>
      <c r="D320" t="str">
        <f>VLOOKUP(bron[[#This Row],[personeelsnr]],[1]Blad1!$A:$H,4,FALSE)</f>
        <v>Hasana</v>
      </c>
      <c r="E320" s="2" t="str">
        <f>VLOOKUP(bron[[#This Row],[personeelsnr]],[1]Blad1!$A:$H,8,FALSE)</f>
        <v>Dewulf Els</v>
      </c>
      <c r="F320" s="6">
        <v>45513</v>
      </c>
      <c r="G320" s="5" t="s">
        <v>591</v>
      </c>
      <c r="H320" t="s">
        <v>72</v>
      </c>
      <c r="I320"/>
      <c r="J320" t="e">
        <f>VLOOKUP(bron[[#This Row],[voertuig]],Voertuigen!A:C,3,FALSE)</f>
        <v>#N/A</v>
      </c>
      <c r="K320" t="e">
        <f>VLOOKUP(bron[[#This Row],[voertuig]],Voertuigen!A:C,2,FALSE)</f>
        <v>#N/A</v>
      </c>
      <c r="L320">
        <f>COUNTIF(A:A,bron[[#This Row],[personeelsnr]])</f>
        <v>2</v>
      </c>
    </row>
    <row r="321" spans="1:12" hidden="1" x14ac:dyDescent="0.25">
      <c r="A321">
        <v>29179</v>
      </c>
      <c r="B321" t="str">
        <f>VLOOKUP(bron[[#This Row],[personeelsnr]],[1]Blad1!$A:$H,2,FALSE)</f>
        <v>Verwee Dries</v>
      </c>
      <c r="C321" t="str">
        <f>VLOOKUP(bron[[#This Row],[personeelsnr]],[1]Blad1!$A:$H,3,FALSE)</f>
        <v>Verwee</v>
      </c>
      <c r="D321" t="str">
        <f>VLOOKUP(bron[[#This Row],[personeelsnr]],[1]Blad1!$A:$H,4,FALSE)</f>
        <v>Dries</v>
      </c>
      <c r="E321" s="2" t="str">
        <f>VLOOKUP(bron[[#This Row],[personeelsnr]],[1]Blad1!$A:$H,8,FALSE)</f>
        <v>Dewulf Els</v>
      </c>
      <c r="F321" s="6">
        <v>45515</v>
      </c>
      <c r="G321" s="5" t="s">
        <v>592</v>
      </c>
      <c r="H321" t="s">
        <v>172</v>
      </c>
      <c r="I321"/>
      <c r="J321" t="e">
        <f>VLOOKUP(bron[[#This Row],[voertuig]],Voertuigen!A:C,3,FALSE)</f>
        <v>#N/A</v>
      </c>
      <c r="K321" t="e">
        <f>VLOOKUP(bron[[#This Row],[voertuig]],Voertuigen!A:C,2,FALSE)</f>
        <v>#N/A</v>
      </c>
      <c r="L321">
        <f>COUNTIF(A:A,bron[[#This Row],[personeelsnr]])</f>
        <v>6</v>
      </c>
    </row>
    <row r="322" spans="1:12" hidden="1" x14ac:dyDescent="0.25">
      <c r="A322">
        <v>31165</v>
      </c>
      <c r="B322" t="str">
        <f>VLOOKUP(bron[[#This Row],[personeelsnr]],[1]Blad1!$A:$H,2,FALSE)</f>
        <v>Govaerts Sandro</v>
      </c>
      <c r="C322" t="str">
        <f>VLOOKUP(bron[[#This Row],[personeelsnr]],[1]Blad1!$A:$H,3,FALSE)</f>
        <v>Govaerts</v>
      </c>
      <c r="D322" t="str">
        <f>VLOOKUP(bron[[#This Row],[personeelsnr]],[1]Blad1!$A:$H,4,FALSE)</f>
        <v>Sandro</v>
      </c>
      <c r="E322" s="2" t="str">
        <f>VLOOKUP(bron[[#This Row],[personeelsnr]],[1]Blad1!$A:$H,8,FALSE)</f>
        <v>Van De Velde Lucie</v>
      </c>
      <c r="F322" s="6">
        <v>45518</v>
      </c>
      <c r="G322" s="5" t="s">
        <v>593</v>
      </c>
      <c r="H322" t="s">
        <v>14</v>
      </c>
      <c r="I322"/>
      <c r="J322" t="e">
        <f>VLOOKUP(bron[[#This Row],[voertuig]],Voertuigen!A:C,3,FALSE)</f>
        <v>#N/A</v>
      </c>
      <c r="K322" t="e">
        <f>VLOOKUP(bron[[#This Row],[voertuig]],Voertuigen!A:C,2,FALSE)</f>
        <v>#N/A</v>
      </c>
      <c r="L322">
        <f>COUNTIF(A:A,bron[[#This Row],[personeelsnr]])</f>
        <v>2</v>
      </c>
    </row>
    <row r="323" spans="1:12" hidden="1" x14ac:dyDescent="0.25">
      <c r="A323">
        <v>9999</v>
      </c>
      <c r="B323" t="e">
        <f>VLOOKUP(bron[[#This Row],[personeelsnr]],[1]Blad1!$A:$H,2,FALSE)</f>
        <v>#N/A</v>
      </c>
      <c r="C323" t="e">
        <f>VLOOKUP(bron[[#This Row],[personeelsnr]],[1]Blad1!$A:$H,3,FALSE)</f>
        <v>#N/A</v>
      </c>
      <c r="D323" t="e">
        <f>VLOOKUP(bron[[#This Row],[personeelsnr]],[1]Blad1!$A:$H,4,FALSE)</f>
        <v>#N/A</v>
      </c>
      <c r="E323" s="2" t="s">
        <v>221</v>
      </c>
      <c r="F323" s="6">
        <v>45518</v>
      </c>
      <c r="G323" s="5" t="s">
        <v>594</v>
      </c>
      <c r="H323" t="s">
        <v>53</v>
      </c>
      <c r="I323"/>
      <c r="J323" t="e">
        <f>VLOOKUP(bron[[#This Row],[voertuig]],Voertuigen!A:C,3,FALSE)</f>
        <v>#N/A</v>
      </c>
      <c r="K323" t="e">
        <f>VLOOKUP(bron[[#This Row],[voertuig]],Voertuigen!A:C,2,FALSE)</f>
        <v>#N/A</v>
      </c>
      <c r="L323">
        <f>COUNTIF(A:A,bron[[#This Row],[personeelsnr]])</f>
        <v>59</v>
      </c>
    </row>
    <row r="324" spans="1:12" hidden="1" x14ac:dyDescent="0.25">
      <c r="A324">
        <v>8016</v>
      </c>
      <c r="B324" t="str">
        <f>VLOOKUP(bron[[#This Row],[personeelsnr]],[1]Blad1!$A:$H,2,FALSE)</f>
        <v>Vinck Roland</v>
      </c>
      <c r="C324" t="str">
        <f>VLOOKUP(bron[[#This Row],[personeelsnr]],[1]Blad1!$A:$H,3,FALSE)</f>
        <v>Vinck</v>
      </c>
      <c r="D324" t="str">
        <f>VLOOKUP(bron[[#This Row],[personeelsnr]],[1]Blad1!$A:$H,4,FALSE)</f>
        <v>Roland</v>
      </c>
      <c r="E324" s="2" t="str">
        <f>VLOOKUP(bron[[#This Row],[personeelsnr]],[1]Blad1!$A:$H,8,FALSE)</f>
        <v>De Clercq Dominique</v>
      </c>
      <c r="F324" s="6">
        <v>45518</v>
      </c>
      <c r="G324" s="5" t="s">
        <v>595</v>
      </c>
      <c r="H324" t="s">
        <v>596</v>
      </c>
      <c r="I324"/>
      <c r="J324" t="e">
        <f>VLOOKUP(bron[[#This Row],[voertuig]],Voertuigen!A:C,3,FALSE)</f>
        <v>#N/A</v>
      </c>
      <c r="K324" t="e">
        <f>VLOOKUP(bron[[#This Row],[voertuig]],Voertuigen!A:C,2,FALSE)</f>
        <v>#N/A</v>
      </c>
      <c r="L324">
        <f>COUNTIF(A:A,bron[[#This Row],[personeelsnr]])</f>
        <v>2</v>
      </c>
    </row>
    <row r="325" spans="1:12" hidden="1" x14ac:dyDescent="0.25">
      <c r="A325">
        <v>14665</v>
      </c>
      <c r="B325" t="str">
        <f>VLOOKUP(bron[[#This Row],[personeelsnr]],[1]Blad1!$A:$H,2,FALSE)</f>
        <v>De Mulder Philip</v>
      </c>
      <c r="C325" t="str">
        <f>VLOOKUP(bron[[#This Row],[personeelsnr]],[1]Blad1!$A:$H,3,FALSE)</f>
        <v>De Mulder</v>
      </c>
      <c r="D325" t="str">
        <f>VLOOKUP(bron[[#This Row],[personeelsnr]],[1]Blad1!$A:$H,4,FALSE)</f>
        <v>Philip</v>
      </c>
      <c r="E325" s="2" t="str">
        <f>VLOOKUP(bron[[#This Row],[personeelsnr]],[1]Blad1!$A:$H,8,FALSE)</f>
        <v>Van Der Beken Bart</v>
      </c>
      <c r="F325" s="6">
        <v>45523</v>
      </c>
      <c r="G325" s="5" t="s">
        <v>597</v>
      </c>
      <c r="H325" t="s">
        <v>7</v>
      </c>
      <c r="I325"/>
      <c r="J325" t="e">
        <f>VLOOKUP(bron[[#This Row],[voertuig]],Voertuigen!A:C,3,FALSE)</f>
        <v>#N/A</v>
      </c>
      <c r="K325" t="e">
        <f>VLOOKUP(bron[[#This Row],[voertuig]],Voertuigen!A:C,2,FALSE)</f>
        <v>#N/A</v>
      </c>
      <c r="L325">
        <f>COUNTIF(A:A,bron[[#This Row],[personeelsnr]])</f>
        <v>2</v>
      </c>
    </row>
    <row r="326" spans="1:12" hidden="1" x14ac:dyDescent="0.25">
      <c r="A326">
        <v>9999</v>
      </c>
      <c r="B326" t="e">
        <f>VLOOKUP(bron[[#This Row],[personeelsnr]],[1]Blad1!$A:$H,2,FALSE)</f>
        <v>#N/A</v>
      </c>
      <c r="C326" t="e">
        <f>VLOOKUP(bron[[#This Row],[personeelsnr]],[1]Blad1!$A:$H,3,FALSE)</f>
        <v>#N/A</v>
      </c>
      <c r="D326" t="e">
        <f>VLOOKUP(bron[[#This Row],[personeelsnr]],[1]Blad1!$A:$H,4,FALSE)</f>
        <v>#N/A</v>
      </c>
      <c r="E326" s="2" t="s">
        <v>221</v>
      </c>
      <c r="F326" s="6">
        <v>45523</v>
      </c>
      <c r="G326" s="5" t="s">
        <v>598</v>
      </c>
      <c r="H326" t="s">
        <v>10</v>
      </c>
      <c r="I326"/>
      <c r="J326" t="e">
        <f>VLOOKUP(bron[[#This Row],[voertuig]],Voertuigen!A:C,3,FALSE)</f>
        <v>#N/A</v>
      </c>
      <c r="K326" t="e">
        <f>VLOOKUP(bron[[#This Row],[voertuig]],Voertuigen!A:C,2,FALSE)</f>
        <v>#N/A</v>
      </c>
      <c r="L326">
        <f>COUNTIF(A:A,bron[[#This Row],[personeelsnr]])</f>
        <v>59</v>
      </c>
    </row>
    <row r="327" spans="1:12" hidden="1" x14ac:dyDescent="0.25">
      <c r="A327">
        <v>33965</v>
      </c>
      <c r="B327" t="e">
        <f>VLOOKUP(bron[[#This Row],[personeelsnr]],[1]Blad1!$A:$H,2,FALSE)</f>
        <v>#N/A</v>
      </c>
      <c r="C327" t="e">
        <f>VLOOKUP(bron[[#This Row],[personeelsnr]],[1]Blad1!$A:$H,3,FALSE)</f>
        <v>#N/A</v>
      </c>
      <c r="D327" t="e">
        <f>VLOOKUP(bron[[#This Row],[personeelsnr]],[1]Blad1!$A:$H,4,FALSE)</f>
        <v>#N/A</v>
      </c>
      <c r="E327" s="2" t="s">
        <v>221</v>
      </c>
      <c r="F327" s="6">
        <v>45524</v>
      </c>
      <c r="G327" s="5" t="s">
        <v>599</v>
      </c>
      <c r="H327" t="s">
        <v>134</v>
      </c>
      <c r="I327"/>
      <c r="J327" t="e">
        <f>VLOOKUP(bron[[#This Row],[voertuig]],Voertuigen!A:C,3,FALSE)</f>
        <v>#N/A</v>
      </c>
      <c r="K327" t="e">
        <f>VLOOKUP(bron[[#This Row],[voertuig]],Voertuigen!A:C,2,FALSE)</f>
        <v>#N/A</v>
      </c>
      <c r="L327">
        <f>COUNTIF(A:A,bron[[#This Row],[personeelsnr]])</f>
        <v>10</v>
      </c>
    </row>
    <row r="328" spans="1:12" hidden="1" x14ac:dyDescent="0.25">
      <c r="A328">
        <v>31231</v>
      </c>
      <c r="B328" t="str">
        <f>VLOOKUP(bron[[#This Row],[personeelsnr]],[1]Blad1!$A:$H,2,FALSE)</f>
        <v>Colaes Dylan</v>
      </c>
      <c r="C328" t="str">
        <f>VLOOKUP(bron[[#This Row],[personeelsnr]],[1]Blad1!$A:$H,3,FALSE)</f>
        <v>Colaes</v>
      </c>
      <c r="D328" t="str">
        <f>VLOOKUP(bron[[#This Row],[personeelsnr]],[1]Blad1!$A:$H,4,FALSE)</f>
        <v>Dylan</v>
      </c>
      <c r="E328" s="2" t="str">
        <f>VLOOKUP(bron[[#This Row],[personeelsnr]],[1]Blad1!$A:$H,8,FALSE)</f>
        <v>Vanhoe Els</v>
      </c>
      <c r="F328" s="6">
        <v>45525</v>
      </c>
      <c r="G328" s="5" t="s">
        <v>600</v>
      </c>
      <c r="H328" t="s">
        <v>18</v>
      </c>
      <c r="I328"/>
      <c r="J328" t="e">
        <f>VLOOKUP(bron[[#This Row],[voertuig]],Voertuigen!A:C,3,FALSE)</f>
        <v>#N/A</v>
      </c>
      <c r="K328" t="e">
        <f>VLOOKUP(bron[[#This Row],[voertuig]],Voertuigen!A:C,2,FALSE)</f>
        <v>#N/A</v>
      </c>
      <c r="L328">
        <f>COUNTIF(A:A,bron[[#This Row],[personeelsnr]])</f>
        <v>3</v>
      </c>
    </row>
    <row r="329" spans="1:12" hidden="1" x14ac:dyDescent="0.25">
      <c r="A329">
        <v>37662</v>
      </c>
      <c r="B329" t="str">
        <f>VLOOKUP(bron[[#This Row],[personeelsnr]],[1]Blad1!$A:$H,2,FALSE)</f>
        <v>Van den Meerssche Steven</v>
      </c>
      <c r="C329" t="str">
        <f>VLOOKUP(bron[[#This Row],[personeelsnr]],[1]Blad1!$A:$H,3,FALSE)</f>
        <v>Van den Meerssche</v>
      </c>
      <c r="D329" t="str">
        <f>VLOOKUP(bron[[#This Row],[personeelsnr]],[1]Blad1!$A:$H,4,FALSE)</f>
        <v>Steven</v>
      </c>
      <c r="E329" s="2" t="str">
        <f>VLOOKUP(bron[[#This Row],[personeelsnr]],[1]Blad1!$A:$H,8,FALSE)</f>
        <v>Van Der Beken Bart</v>
      </c>
      <c r="F329" s="6">
        <v>45526</v>
      </c>
      <c r="G329" s="5" t="s">
        <v>601</v>
      </c>
      <c r="H329" t="s">
        <v>20</v>
      </c>
      <c r="I329"/>
      <c r="J329" t="e">
        <f>VLOOKUP(bron[[#This Row],[voertuig]],Voertuigen!A:C,3,FALSE)</f>
        <v>#N/A</v>
      </c>
      <c r="K329" t="e">
        <f>VLOOKUP(bron[[#This Row],[voertuig]],Voertuigen!A:C,2,FALSE)</f>
        <v>#N/A</v>
      </c>
      <c r="L329">
        <f>COUNTIF(A:A,bron[[#This Row],[personeelsnr]])</f>
        <v>9</v>
      </c>
    </row>
    <row r="330" spans="1:12" hidden="1" x14ac:dyDescent="0.25">
      <c r="A330">
        <v>19917</v>
      </c>
      <c r="B330" t="str">
        <f>VLOOKUP(bron[[#This Row],[personeelsnr]],[1]Blad1!$A:$H,2,FALSE)</f>
        <v>Vandevyvere Frank</v>
      </c>
      <c r="C330" t="str">
        <f>VLOOKUP(bron[[#This Row],[personeelsnr]],[1]Blad1!$A:$H,3,FALSE)</f>
        <v>Vandevyvere</v>
      </c>
      <c r="D330" t="str">
        <f>VLOOKUP(bron[[#This Row],[personeelsnr]],[1]Blad1!$A:$H,4,FALSE)</f>
        <v>Frank</v>
      </c>
      <c r="E330" s="2" t="str">
        <f>VLOOKUP(bron[[#This Row],[personeelsnr]],[1]Blad1!$A:$H,8,FALSE)</f>
        <v>Van Der Beken Bart</v>
      </c>
      <c r="F330" s="6">
        <v>45528</v>
      </c>
      <c r="G330" s="5" t="s">
        <v>602</v>
      </c>
      <c r="H330" t="s">
        <v>115</v>
      </c>
      <c r="I330"/>
      <c r="J330" t="e">
        <f>VLOOKUP(bron[[#This Row],[voertuig]],Voertuigen!A:C,3,FALSE)</f>
        <v>#N/A</v>
      </c>
      <c r="K330" t="e">
        <f>VLOOKUP(bron[[#This Row],[voertuig]],Voertuigen!A:C,2,FALSE)</f>
        <v>#N/A</v>
      </c>
      <c r="L330">
        <f>COUNTIF(A:A,bron[[#This Row],[personeelsnr]])</f>
        <v>10</v>
      </c>
    </row>
    <row r="331" spans="1:12" hidden="1" x14ac:dyDescent="0.25">
      <c r="A331">
        <v>30389</v>
      </c>
      <c r="B331" t="e">
        <f>VLOOKUP(bron[[#This Row],[personeelsnr]],[1]Blad1!$A:$H,2,FALSE)</f>
        <v>#N/A</v>
      </c>
      <c r="C331" t="e">
        <f>VLOOKUP(bron[[#This Row],[personeelsnr]],[1]Blad1!$A:$H,3,FALSE)</f>
        <v>#N/A</v>
      </c>
      <c r="D331" t="e">
        <f>VLOOKUP(bron[[#This Row],[personeelsnr]],[1]Blad1!$A:$H,4,FALSE)</f>
        <v>#N/A</v>
      </c>
      <c r="E331" s="2" t="s">
        <v>221</v>
      </c>
      <c r="F331" s="6">
        <v>45528</v>
      </c>
      <c r="G331" s="5" t="s">
        <v>603</v>
      </c>
      <c r="H331" t="s">
        <v>140</v>
      </c>
      <c r="I331"/>
      <c r="J331" t="e">
        <f>VLOOKUP(bron[[#This Row],[voertuig]],Voertuigen!A:C,3,FALSE)</f>
        <v>#N/A</v>
      </c>
      <c r="K331" t="e">
        <f>VLOOKUP(bron[[#This Row],[voertuig]],Voertuigen!A:C,2,FALSE)</f>
        <v>#N/A</v>
      </c>
      <c r="L331">
        <f>COUNTIF(A:A,bron[[#This Row],[personeelsnr]])</f>
        <v>1</v>
      </c>
    </row>
    <row r="332" spans="1:12" hidden="1" x14ac:dyDescent="0.25">
      <c r="A332">
        <v>40521</v>
      </c>
      <c r="B332" t="str">
        <f>VLOOKUP(bron[[#This Row],[personeelsnr]],[1]Blad1!$A:$H,2,FALSE)</f>
        <v>Mekdad Ali</v>
      </c>
      <c r="C332" t="str">
        <f>VLOOKUP(bron[[#This Row],[personeelsnr]],[1]Blad1!$A:$H,3,FALSE)</f>
        <v>Mekdad</v>
      </c>
      <c r="D332" t="str">
        <f>VLOOKUP(bron[[#This Row],[personeelsnr]],[1]Blad1!$A:$H,4,FALSE)</f>
        <v>Ali</v>
      </c>
      <c r="E332" s="2" t="str">
        <f>VLOOKUP(bron[[#This Row],[personeelsnr]],[1]Blad1!$A:$H,8,FALSE)</f>
        <v>Van De Velde Lucie</v>
      </c>
      <c r="F332" s="6">
        <v>45530</v>
      </c>
      <c r="G332" s="5" t="s">
        <v>604</v>
      </c>
      <c r="H332" t="s">
        <v>101</v>
      </c>
      <c r="I332"/>
      <c r="J332" t="e">
        <f>VLOOKUP(bron[[#This Row],[voertuig]],Voertuigen!A:C,3,FALSE)</f>
        <v>#N/A</v>
      </c>
      <c r="K332" t="e">
        <f>VLOOKUP(bron[[#This Row],[voertuig]],Voertuigen!A:C,2,FALSE)</f>
        <v>#N/A</v>
      </c>
      <c r="L332">
        <f>COUNTIF(A:A,bron[[#This Row],[personeelsnr]])</f>
        <v>2</v>
      </c>
    </row>
    <row r="333" spans="1:12" hidden="1" x14ac:dyDescent="0.25">
      <c r="A333">
        <v>9999</v>
      </c>
      <c r="B333" t="e">
        <f>VLOOKUP(bron[[#This Row],[personeelsnr]],[1]Blad1!$A:$H,2,FALSE)</f>
        <v>#N/A</v>
      </c>
      <c r="C333" t="e">
        <f>VLOOKUP(bron[[#This Row],[personeelsnr]],[1]Blad1!$A:$H,3,FALSE)</f>
        <v>#N/A</v>
      </c>
      <c r="D333" t="e">
        <f>VLOOKUP(bron[[#This Row],[personeelsnr]],[1]Blad1!$A:$H,4,FALSE)</f>
        <v>#N/A</v>
      </c>
      <c r="E333" s="2" t="s">
        <v>221</v>
      </c>
      <c r="F333" s="6">
        <v>45530</v>
      </c>
      <c r="G333" s="5" t="s">
        <v>605</v>
      </c>
      <c r="H333" t="s">
        <v>13</v>
      </c>
      <c r="I333"/>
      <c r="J333" t="e">
        <f>VLOOKUP(bron[[#This Row],[voertuig]],Voertuigen!A:C,3,FALSE)</f>
        <v>#N/A</v>
      </c>
      <c r="K333" t="e">
        <f>VLOOKUP(bron[[#This Row],[voertuig]],Voertuigen!A:C,2,FALSE)</f>
        <v>#N/A</v>
      </c>
      <c r="L333">
        <f>COUNTIF(A:A,bron[[#This Row],[personeelsnr]])</f>
        <v>59</v>
      </c>
    </row>
    <row r="334" spans="1:12" hidden="1" x14ac:dyDescent="0.25">
      <c r="A334">
        <v>40744</v>
      </c>
      <c r="B334" t="str">
        <f>VLOOKUP(bron[[#This Row],[personeelsnr]],[1]Blad1!$A:$H,2,FALSE)</f>
        <v>Gözüküçük Ugur</v>
      </c>
      <c r="C334" t="str">
        <f>VLOOKUP(bron[[#This Row],[personeelsnr]],[1]Blad1!$A:$H,3,FALSE)</f>
        <v>Gözüküçük</v>
      </c>
      <c r="D334" t="str">
        <f>VLOOKUP(bron[[#This Row],[personeelsnr]],[1]Blad1!$A:$H,4,FALSE)</f>
        <v>Ugur</v>
      </c>
      <c r="E334" s="2" t="str">
        <f>VLOOKUP(bron[[#This Row],[personeelsnr]],[1]Blad1!$A:$H,8,FALSE)</f>
        <v>Van Der Beken Bart</v>
      </c>
      <c r="F334" s="6">
        <v>45533</v>
      </c>
      <c r="G334" s="5" t="s">
        <v>606</v>
      </c>
      <c r="H334" t="s">
        <v>52</v>
      </c>
      <c r="I334"/>
      <c r="J334" t="e">
        <f>VLOOKUP(bron[[#This Row],[voertuig]],Voertuigen!A:C,3,FALSE)</f>
        <v>#N/A</v>
      </c>
      <c r="K334" t="e">
        <f>VLOOKUP(bron[[#This Row],[voertuig]],Voertuigen!A:C,2,FALSE)</f>
        <v>#N/A</v>
      </c>
      <c r="L334">
        <f>COUNTIF(A:A,bron[[#This Row],[personeelsnr]])</f>
        <v>6</v>
      </c>
    </row>
    <row r="335" spans="1:12" hidden="1" x14ac:dyDescent="0.25">
      <c r="A335">
        <v>9999</v>
      </c>
      <c r="B335" t="e">
        <f>VLOOKUP(bron[[#This Row],[personeelsnr]],[1]Blad1!$A:$H,2,FALSE)</f>
        <v>#N/A</v>
      </c>
      <c r="C335" t="e">
        <f>VLOOKUP(bron[[#This Row],[personeelsnr]],[1]Blad1!$A:$H,3,FALSE)</f>
        <v>#N/A</v>
      </c>
      <c r="D335" t="e">
        <f>VLOOKUP(bron[[#This Row],[personeelsnr]],[1]Blad1!$A:$H,4,FALSE)</f>
        <v>#N/A</v>
      </c>
      <c r="E335" s="2" t="s">
        <v>221</v>
      </c>
      <c r="F335" s="6">
        <v>45534</v>
      </c>
      <c r="G335" s="5" t="s">
        <v>607</v>
      </c>
      <c r="H335" t="s">
        <v>65</v>
      </c>
      <c r="I335"/>
      <c r="J335" t="e">
        <f>VLOOKUP(bron[[#This Row],[voertuig]],Voertuigen!A:C,3,FALSE)</f>
        <v>#N/A</v>
      </c>
      <c r="K335" t="e">
        <f>VLOOKUP(bron[[#This Row],[voertuig]],Voertuigen!A:C,2,FALSE)</f>
        <v>#N/A</v>
      </c>
      <c r="L335">
        <f>COUNTIF(A:A,bron[[#This Row],[personeelsnr]])</f>
        <v>59</v>
      </c>
    </row>
    <row r="336" spans="1:12" hidden="1" x14ac:dyDescent="0.25">
      <c r="A336">
        <v>39858</v>
      </c>
      <c r="B336" t="str">
        <f>VLOOKUP(bron[[#This Row],[personeelsnr]],[1]Blad1!$A:$H,2,FALSE)</f>
        <v>Jacobs Elos</v>
      </c>
      <c r="C336" t="str">
        <f>VLOOKUP(bron[[#This Row],[personeelsnr]],[1]Blad1!$A:$H,3,FALSE)</f>
        <v>Jacobs</v>
      </c>
      <c r="D336" t="str">
        <f>VLOOKUP(bron[[#This Row],[personeelsnr]],[1]Blad1!$A:$H,4,FALSE)</f>
        <v>Elos</v>
      </c>
      <c r="E336" s="2" t="str">
        <f>VLOOKUP(bron[[#This Row],[personeelsnr]],[1]Blad1!$A:$H,8,FALSE)</f>
        <v>Dewulf Els</v>
      </c>
      <c r="F336" s="6">
        <v>45535</v>
      </c>
      <c r="G336" s="5" t="s">
        <v>608</v>
      </c>
      <c r="H336" t="s">
        <v>171</v>
      </c>
      <c r="I336"/>
      <c r="J336" t="e">
        <f>VLOOKUP(bron[[#This Row],[voertuig]],Voertuigen!A:C,3,FALSE)</f>
        <v>#N/A</v>
      </c>
      <c r="K336" t="e">
        <f>VLOOKUP(bron[[#This Row],[voertuig]],Voertuigen!A:C,2,FALSE)</f>
        <v>#N/A</v>
      </c>
      <c r="L336">
        <f>COUNTIF(A:A,bron[[#This Row],[personeelsnr]])</f>
        <v>2</v>
      </c>
    </row>
    <row r="337" spans="1:12" hidden="1" x14ac:dyDescent="0.25">
      <c r="A337">
        <v>31668</v>
      </c>
      <c r="B337" t="str">
        <f>VLOOKUP(bron[[#This Row],[personeelsnr]],[1]Blad1!$A:$H,2,FALSE)</f>
        <v>Weemhof Maurice</v>
      </c>
      <c r="C337" t="str">
        <f>VLOOKUP(bron[[#This Row],[personeelsnr]],[1]Blad1!$A:$H,3,FALSE)</f>
        <v>Weemhof</v>
      </c>
      <c r="D337" t="str">
        <f>VLOOKUP(bron[[#This Row],[personeelsnr]],[1]Blad1!$A:$H,4,FALSE)</f>
        <v>Maurice</v>
      </c>
      <c r="E337" s="2" t="str">
        <f>VLOOKUP(bron[[#This Row],[personeelsnr]],[1]Blad1!$A:$H,8,FALSE)</f>
        <v>De Clercq Dominique</v>
      </c>
      <c r="F337" s="6">
        <v>45535</v>
      </c>
      <c r="G337" s="5" t="s">
        <v>609</v>
      </c>
      <c r="H337" t="s">
        <v>8</v>
      </c>
      <c r="I337"/>
      <c r="J337" t="e">
        <f>VLOOKUP(bron[[#This Row],[voertuig]],Voertuigen!A:C,3,FALSE)</f>
        <v>#N/A</v>
      </c>
      <c r="K337" t="e">
        <f>VLOOKUP(bron[[#This Row],[voertuig]],Voertuigen!A:C,2,FALSE)</f>
        <v>#N/A</v>
      </c>
      <c r="L337">
        <f>COUNTIF(A:A,bron[[#This Row],[personeelsnr]])</f>
        <v>5</v>
      </c>
    </row>
    <row r="338" spans="1:12" hidden="1" x14ac:dyDescent="0.25">
      <c r="A338">
        <v>37543</v>
      </c>
      <c r="B338" t="str">
        <f>VLOOKUP(bron[[#This Row],[personeelsnr]],[1]Blad1!$A:$H,2,FALSE)</f>
        <v>Öztürk Bilgehan</v>
      </c>
      <c r="C338" t="str">
        <f>VLOOKUP(bron[[#This Row],[personeelsnr]],[1]Blad1!$A:$H,3,FALSE)</f>
        <v>Öztürk</v>
      </c>
      <c r="D338" t="str">
        <f>VLOOKUP(bron[[#This Row],[personeelsnr]],[1]Blad1!$A:$H,4,FALSE)</f>
        <v>Bilgehan</v>
      </c>
      <c r="E338" s="2" t="str">
        <f>VLOOKUP(bron[[#This Row],[personeelsnr]],[1]Blad1!$A:$H,8,FALSE)</f>
        <v>De Rick Kenneth</v>
      </c>
      <c r="F338" s="6">
        <v>45536</v>
      </c>
      <c r="G338" s="5" t="s">
        <v>610</v>
      </c>
      <c r="H338" t="s">
        <v>434</v>
      </c>
      <c r="I338"/>
      <c r="J338" t="e">
        <f>VLOOKUP(bron[[#This Row],[voertuig]],Voertuigen!A:C,3,FALSE)</f>
        <v>#N/A</v>
      </c>
      <c r="K338" t="e">
        <f>VLOOKUP(bron[[#This Row],[voertuig]],Voertuigen!A:C,2,FALSE)</f>
        <v>#N/A</v>
      </c>
      <c r="L338">
        <f>COUNTIF(A:A,bron[[#This Row],[personeelsnr]])</f>
        <v>6</v>
      </c>
    </row>
    <row r="339" spans="1:12" hidden="1" x14ac:dyDescent="0.25">
      <c r="A339">
        <v>33965</v>
      </c>
      <c r="B339" t="e">
        <f>VLOOKUP(bron[[#This Row],[personeelsnr]],[1]Blad1!$A:$H,2,FALSE)</f>
        <v>#N/A</v>
      </c>
      <c r="C339" t="e">
        <f>VLOOKUP(bron[[#This Row],[personeelsnr]],[1]Blad1!$A:$H,3,FALSE)</f>
        <v>#N/A</v>
      </c>
      <c r="D339" t="e">
        <f>VLOOKUP(bron[[#This Row],[personeelsnr]],[1]Blad1!$A:$H,4,FALSE)</f>
        <v>#N/A</v>
      </c>
      <c r="E339" s="2" t="s">
        <v>221</v>
      </c>
      <c r="F339" s="6">
        <v>45536</v>
      </c>
      <c r="G339" s="5" t="s">
        <v>611</v>
      </c>
      <c r="H339" t="s">
        <v>612</v>
      </c>
      <c r="I339"/>
      <c r="J339" t="e">
        <f>VLOOKUP(bron[[#This Row],[voertuig]],Voertuigen!A:C,3,FALSE)</f>
        <v>#N/A</v>
      </c>
      <c r="K339" t="e">
        <f>VLOOKUP(bron[[#This Row],[voertuig]],Voertuigen!A:C,2,FALSE)</f>
        <v>#N/A</v>
      </c>
      <c r="L339">
        <f>COUNTIF(A:A,bron[[#This Row],[personeelsnr]])</f>
        <v>10</v>
      </c>
    </row>
    <row r="340" spans="1:12" hidden="1" x14ac:dyDescent="0.25">
      <c r="A340">
        <v>31360</v>
      </c>
      <c r="B340" t="str">
        <f>VLOOKUP(bron[[#This Row],[personeelsnr]],[1]Blad1!$A:$H,2,FALSE)</f>
        <v>Simsek Fatih</v>
      </c>
      <c r="C340" t="str">
        <f>VLOOKUP(bron[[#This Row],[personeelsnr]],[1]Blad1!$A:$H,3,FALSE)</f>
        <v>Simsek</v>
      </c>
      <c r="D340" t="str">
        <f>VLOOKUP(bron[[#This Row],[personeelsnr]],[1]Blad1!$A:$H,4,FALSE)</f>
        <v>Fatih</v>
      </c>
      <c r="E340" s="2" t="str">
        <f>VLOOKUP(bron[[#This Row],[personeelsnr]],[1]Blad1!$A:$H,8,FALSE)</f>
        <v>De Clercq Dominique</v>
      </c>
      <c r="F340" s="6">
        <v>45538</v>
      </c>
      <c r="G340" s="5" t="s">
        <v>613</v>
      </c>
      <c r="H340" t="s">
        <v>614</v>
      </c>
      <c r="I340"/>
      <c r="J340" t="e">
        <f>VLOOKUP(bron[[#This Row],[voertuig]],Voertuigen!A:C,3,FALSE)</f>
        <v>#N/A</v>
      </c>
      <c r="K340" t="e">
        <f>VLOOKUP(bron[[#This Row],[voertuig]],Voertuigen!A:C,2,FALSE)</f>
        <v>#N/A</v>
      </c>
      <c r="L340">
        <f>COUNTIF(A:A,bron[[#This Row],[personeelsnr]])</f>
        <v>3</v>
      </c>
    </row>
    <row r="341" spans="1:12" hidden="1" x14ac:dyDescent="0.25">
      <c r="A341">
        <v>8394</v>
      </c>
      <c r="B341" t="str">
        <f>VLOOKUP(bron[[#This Row],[personeelsnr]],[1]Blad1!$A:$H,2,FALSE)</f>
        <v>Smet Antoon</v>
      </c>
      <c r="C341" t="str">
        <f>VLOOKUP(bron[[#This Row],[personeelsnr]],[1]Blad1!$A:$H,3,FALSE)</f>
        <v>Smet</v>
      </c>
      <c r="D341" t="str">
        <f>VLOOKUP(bron[[#This Row],[personeelsnr]],[1]Blad1!$A:$H,4,FALSE)</f>
        <v>Antoon</v>
      </c>
      <c r="E341" s="2" t="str">
        <f>VLOOKUP(bron[[#This Row],[personeelsnr]],[1]Blad1!$A:$H,8,FALSE)</f>
        <v>Van De Velde Lucie</v>
      </c>
      <c r="F341" s="6">
        <v>45538</v>
      </c>
      <c r="G341" s="5" t="s">
        <v>615</v>
      </c>
      <c r="H341" t="s">
        <v>8</v>
      </c>
      <c r="I341"/>
      <c r="J341" t="e">
        <f>VLOOKUP(bron[[#This Row],[voertuig]],Voertuigen!A:C,3,FALSE)</f>
        <v>#N/A</v>
      </c>
      <c r="K341" t="e">
        <f>VLOOKUP(bron[[#This Row],[voertuig]],Voertuigen!A:C,2,FALSE)</f>
        <v>#N/A</v>
      </c>
      <c r="L341">
        <f>COUNTIF(A:A,bron[[#This Row],[personeelsnr]])</f>
        <v>4</v>
      </c>
    </row>
    <row r="342" spans="1:12" hidden="1" x14ac:dyDescent="0.25">
      <c r="A342">
        <v>38633</v>
      </c>
      <c r="B342" t="str">
        <f>VLOOKUP(bron[[#This Row],[personeelsnr]],[1]Blad1!$A:$H,2,FALSE)</f>
        <v>Stomphorst Mattanja</v>
      </c>
      <c r="C342" t="str">
        <f>VLOOKUP(bron[[#This Row],[personeelsnr]],[1]Blad1!$A:$H,3,FALSE)</f>
        <v>Stomphorst</v>
      </c>
      <c r="D342" t="str">
        <f>VLOOKUP(bron[[#This Row],[personeelsnr]],[1]Blad1!$A:$H,4,FALSE)</f>
        <v>Mattanja</v>
      </c>
      <c r="E342" s="2" t="str">
        <f>VLOOKUP(bron[[#This Row],[personeelsnr]],[1]Blad1!$A:$H,8,FALSE)</f>
        <v>Dewulf Els</v>
      </c>
      <c r="F342" s="6">
        <v>45538</v>
      </c>
      <c r="G342" s="5" t="s">
        <v>616</v>
      </c>
      <c r="H342" t="s">
        <v>617</v>
      </c>
      <c r="I342"/>
      <c r="J342" t="e">
        <f>VLOOKUP(bron[[#This Row],[voertuig]],Voertuigen!A:C,3,FALSE)</f>
        <v>#N/A</v>
      </c>
      <c r="K342" t="e">
        <f>VLOOKUP(bron[[#This Row],[voertuig]],Voertuigen!A:C,2,FALSE)</f>
        <v>#N/A</v>
      </c>
      <c r="L342">
        <f>COUNTIF(A:A,bron[[#This Row],[personeelsnr]])</f>
        <v>4</v>
      </c>
    </row>
    <row r="343" spans="1:12" hidden="1" x14ac:dyDescent="0.25">
      <c r="A343">
        <v>23790</v>
      </c>
      <c r="B343" t="str">
        <f>VLOOKUP(bron[[#This Row],[personeelsnr]],[1]Blad1!$A:$H,2,FALSE)</f>
        <v>Adiyil Attila</v>
      </c>
      <c r="C343" t="str">
        <f>VLOOKUP(bron[[#This Row],[personeelsnr]],[1]Blad1!$A:$H,3,FALSE)</f>
        <v>Adiyil</v>
      </c>
      <c r="D343" t="str">
        <f>VLOOKUP(bron[[#This Row],[personeelsnr]],[1]Blad1!$A:$H,4,FALSE)</f>
        <v>Attila</v>
      </c>
      <c r="E343" s="2" t="str">
        <f>VLOOKUP(bron[[#This Row],[personeelsnr]],[1]Blad1!$A:$H,8,FALSE)</f>
        <v>De Clercq Dominique</v>
      </c>
      <c r="F343" s="6">
        <v>45538</v>
      </c>
      <c r="G343" s="5" t="s">
        <v>618</v>
      </c>
      <c r="H343" t="s">
        <v>8</v>
      </c>
      <c r="I343"/>
      <c r="J343" t="e">
        <f>VLOOKUP(bron[[#This Row],[voertuig]],Voertuigen!A:C,3,FALSE)</f>
        <v>#N/A</v>
      </c>
      <c r="K343" t="e">
        <f>VLOOKUP(bron[[#This Row],[voertuig]],Voertuigen!A:C,2,FALSE)</f>
        <v>#N/A</v>
      </c>
      <c r="L343">
        <f>COUNTIF(A:A,bron[[#This Row],[personeelsnr]])</f>
        <v>1</v>
      </c>
    </row>
    <row r="344" spans="1:12" hidden="1" x14ac:dyDescent="0.25">
      <c r="A344">
        <v>39358</v>
      </c>
      <c r="B344" t="str">
        <f>VLOOKUP(bron[[#This Row],[personeelsnr]],[1]Blad1!$A:$H,2,FALSE)</f>
        <v>Weeks Aracena Jimmy Alexander</v>
      </c>
      <c r="C344" t="str">
        <f>VLOOKUP(bron[[#This Row],[personeelsnr]],[1]Blad1!$A:$H,3,FALSE)</f>
        <v>Weeks Aracena</v>
      </c>
      <c r="D344" t="str">
        <f>VLOOKUP(bron[[#This Row],[personeelsnr]],[1]Blad1!$A:$H,4,FALSE)</f>
        <v>Jimmy Alexander</v>
      </c>
      <c r="E344" s="2" t="str">
        <f>VLOOKUP(bron[[#This Row],[personeelsnr]],[1]Blad1!$A:$H,8,FALSE)</f>
        <v>Rotty Christoff</v>
      </c>
      <c r="F344" s="6">
        <v>45538</v>
      </c>
      <c r="G344" s="5" t="s">
        <v>619</v>
      </c>
      <c r="H344" t="s">
        <v>620</v>
      </c>
      <c r="I344"/>
      <c r="J344" t="e">
        <f>VLOOKUP(bron[[#This Row],[voertuig]],Voertuigen!A:C,3,FALSE)</f>
        <v>#N/A</v>
      </c>
      <c r="K344" t="e">
        <f>VLOOKUP(bron[[#This Row],[voertuig]],Voertuigen!A:C,2,FALSE)</f>
        <v>#N/A</v>
      </c>
      <c r="L344">
        <f>COUNTIF(A:A,bron[[#This Row],[personeelsnr]])</f>
        <v>5</v>
      </c>
    </row>
    <row r="345" spans="1:12" hidden="1" x14ac:dyDescent="0.25">
      <c r="A345">
        <v>40744</v>
      </c>
      <c r="B345" t="str">
        <f>VLOOKUP(bron[[#This Row],[personeelsnr]],[1]Blad1!$A:$H,2,FALSE)</f>
        <v>Gözüküçük Ugur</v>
      </c>
      <c r="C345" t="str">
        <f>VLOOKUP(bron[[#This Row],[personeelsnr]],[1]Blad1!$A:$H,3,FALSE)</f>
        <v>Gözüküçük</v>
      </c>
      <c r="D345" t="str">
        <f>VLOOKUP(bron[[#This Row],[personeelsnr]],[1]Blad1!$A:$H,4,FALSE)</f>
        <v>Ugur</v>
      </c>
      <c r="E345" s="2" t="str">
        <f>VLOOKUP(bron[[#This Row],[personeelsnr]],[1]Blad1!$A:$H,8,FALSE)</f>
        <v>Van Der Beken Bart</v>
      </c>
      <c r="F345" s="6">
        <v>45538</v>
      </c>
      <c r="G345" s="5" t="s">
        <v>621</v>
      </c>
      <c r="H345" t="s">
        <v>112</v>
      </c>
      <c r="I345"/>
      <c r="J345" t="e">
        <f>VLOOKUP(bron[[#This Row],[voertuig]],Voertuigen!A:C,3,FALSE)</f>
        <v>#N/A</v>
      </c>
      <c r="K345" t="e">
        <f>VLOOKUP(bron[[#This Row],[voertuig]],Voertuigen!A:C,2,FALSE)</f>
        <v>#N/A</v>
      </c>
      <c r="L345">
        <f>COUNTIF(A:A,bron[[#This Row],[personeelsnr]])</f>
        <v>6</v>
      </c>
    </row>
    <row r="346" spans="1:12" hidden="1" x14ac:dyDescent="0.25">
      <c r="A346">
        <v>9999</v>
      </c>
      <c r="B346" t="e">
        <f>VLOOKUP(bron[[#This Row],[personeelsnr]],[1]Blad1!$A:$H,2,FALSE)</f>
        <v>#N/A</v>
      </c>
      <c r="C346" t="e">
        <f>VLOOKUP(bron[[#This Row],[personeelsnr]],[1]Blad1!$A:$H,3,FALSE)</f>
        <v>#N/A</v>
      </c>
      <c r="D346" t="e">
        <f>VLOOKUP(bron[[#This Row],[personeelsnr]],[1]Blad1!$A:$H,4,FALSE)</f>
        <v>#N/A</v>
      </c>
      <c r="E346" s="2" t="s">
        <v>221</v>
      </c>
      <c r="F346" s="6">
        <v>45538</v>
      </c>
      <c r="G346" s="5" t="s">
        <v>622</v>
      </c>
      <c r="H346" t="s">
        <v>8</v>
      </c>
      <c r="I346"/>
      <c r="J346" t="e">
        <f>VLOOKUP(bron[[#This Row],[voertuig]],Voertuigen!A:C,3,FALSE)</f>
        <v>#N/A</v>
      </c>
      <c r="K346" t="e">
        <f>VLOOKUP(bron[[#This Row],[voertuig]],Voertuigen!A:C,2,FALSE)</f>
        <v>#N/A</v>
      </c>
      <c r="L346">
        <f>COUNTIF(A:A,bron[[#This Row],[personeelsnr]])</f>
        <v>59</v>
      </c>
    </row>
    <row r="347" spans="1:12" hidden="1" x14ac:dyDescent="0.25">
      <c r="A347">
        <v>29179</v>
      </c>
      <c r="B347" t="str">
        <f>VLOOKUP(bron[[#This Row],[personeelsnr]],[1]Blad1!$A:$H,2,FALSE)</f>
        <v>Verwee Dries</v>
      </c>
      <c r="C347" t="str">
        <f>VLOOKUP(bron[[#This Row],[personeelsnr]],[1]Blad1!$A:$H,3,FALSE)</f>
        <v>Verwee</v>
      </c>
      <c r="D347" t="str">
        <f>VLOOKUP(bron[[#This Row],[personeelsnr]],[1]Blad1!$A:$H,4,FALSE)</f>
        <v>Dries</v>
      </c>
      <c r="E347" s="2" t="str">
        <f>VLOOKUP(bron[[#This Row],[personeelsnr]],[1]Blad1!$A:$H,8,FALSE)</f>
        <v>Dewulf Els</v>
      </c>
      <c r="F347" s="6">
        <v>45539</v>
      </c>
      <c r="G347" s="5" t="s">
        <v>623</v>
      </c>
      <c r="H347" t="s">
        <v>34</v>
      </c>
      <c r="I347"/>
      <c r="J347" t="e">
        <f>VLOOKUP(bron[[#This Row],[voertuig]],Voertuigen!A:C,3,FALSE)</f>
        <v>#N/A</v>
      </c>
      <c r="K347" t="e">
        <f>VLOOKUP(bron[[#This Row],[voertuig]],Voertuigen!A:C,2,FALSE)</f>
        <v>#N/A</v>
      </c>
      <c r="L347">
        <f>COUNTIF(A:A,bron[[#This Row],[personeelsnr]])</f>
        <v>6</v>
      </c>
    </row>
    <row r="348" spans="1:12" hidden="1" x14ac:dyDescent="0.25">
      <c r="A348">
        <v>26331</v>
      </c>
      <c r="B348" t="str">
        <f>VLOOKUP(bron[[#This Row],[personeelsnr]],[1]Blad1!$A:$H,2,FALSE)</f>
        <v>Van Semmertier Pascal</v>
      </c>
      <c r="C348" t="str">
        <f>VLOOKUP(bron[[#This Row],[personeelsnr]],[1]Blad1!$A:$H,3,FALSE)</f>
        <v>Van Semmertier</v>
      </c>
      <c r="D348" t="str">
        <f>VLOOKUP(bron[[#This Row],[personeelsnr]],[1]Blad1!$A:$H,4,FALSE)</f>
        <v>Pascal</v>
      </c>
      <c r="E348" s="2" t="str">
        <f>VLOOKUP(bron[[#This Row],[personeelsnr]],[1]Blad1!$A:$H,8,FALSE)</f>
        <v>Van Der Beken Bart</v>
      </c>
      <c r="F348" s="6">
        <v>45540</v>
      </c>
      <c r="G348" s="5" t="s">
        <v>624</v>
      </c>
      <c r="H348" t="s">
        <v>23</v>
      </c>
      <c r="I348"/>
      <c r="J348" t="e">
        <f>VLOOKUP(bron[[#This Row],[voertuig]],Voertuigen!A:C,3,FALSE)</f>
        <v>#N/A</v>
      </c>
      <c r="K348" t="e">
        <f>VLOOKUP(bron[[#This Row],[voertuig]],Voertuigen!A:C,2,FALSE)</f>
        <v>#N/A</v>
      </c>
      <c r="L348">
        <f>COUNTIF(A:A,bron[[#This Row],[personeelsnr]])</f>
        <v>3</v>
      </c>
    </row>
    <row r="349" spans="1:12" hidden="1" x14ac:dyDescent="0.25">
      <c r="A349">
        <v>24472</v>
      </c>
      <c r="B349" t="str">
        <f>VLOOKUP(bron[[#This Row],[personeelsnr]],[1]Blad1!$A:$H,2,FALSE)</f>
        <v>Gök Davut</v>
      </c>
      <c r="C349" t="str">
        <f>VLOOKUP(bron[[#This Row],[personeelsnr]],[1]Blad1!$A:$H,3,FALSE)</f>
        <v>Gök</v>
      </c>
      <c r="D349" t="str">
        <f>VLOOKUP(bron[[#This Row],[personeelsnr]],[1]Blad1!$A:$H,4,FALSE)</f>
        <v>Davut</v>
      </c>
      <c r="E349" s="2" t="str">
        <f>VLOOKUP(bron[[#This Row],[personeelsnr]],[1]Blad1!$A:$H,8,FALSE)</f>
        <v>De Clercq Dominique</v>
      </c>
      <c r="F349" s="6">
        <v>45540</v>
      </c>
      <c r="G349" s="5" t="s">
        <v>625</v>
      </c>
      <c r="H349" t="s">
        <v>23</v>
      </c>
      <c r="I349"/>
      <c r="J349" t="e">
        <f>VLOOKUP(bron[[#This Row],[voertuig]],Voertuigen!A:C,3,FALSE)</f>
        <v>#N/A</v>
      </c>
      <c r="K349" t="e">
        <f>VLOOKUP(bron[[#This Row],[voertuig]],Voertuigen!A:C,2,FALSE)</f>
        <v>#N/A</v>
      </c>
      <c r="L349">
        <f>COUNTIF(A:A,bron[[#This Row],[personeelsnr]])</f>
        <v>1</v>
      </c>
    </row>
    <row r="350" spans="1:12" hidden="1" x14ac:dyDescent="0.25">
      <c r="A350">
        <v>37662</v>
      </c>
      <c r="B350" t="str">
        <f>VLOOKUP(bron[[#This Row],[personeelsnr]],[1]Blad1!$A:$H,2,FALSE)</f>
        <v>Van den Meerssche Steven</v>
      </c>
      <c r="C350" t="str">
        <f>VLOOKUP(bron[[#This Row],[personeelsnr]],[1]Blad1!$A:$H,3,FALSE)</f>
        <v>Van den Meerssche</v>
      </c>
      <c r="D350" t="str">
        <f>VLOOKUP(bron[[#This Row],[personeelsnr]],[1]Blad1!$A:$H,4,FALSE)</f>
        <v>Steven</v>
      </c>
      <c r="E350" s="2" t="str">
        <f>VLOOKUP(bron[[#This Row],[personeelsnr]],[1]Blad1!$A:$H,8,FALSE)</f>
        <v>Van Der Beken Bart</v>
      </c>
      <c r="F350" s="6">
        <v>45540</v>
      </c>
      <c r="G350" s="5" t="s">
        <v>626</v>
      </c>
      <c r="H350" t="s">
        <v>46</v>
      </c>
      <c r="I350"/>
      <c r="J350" t="e">
        <f>VLOOKUP(bron[[#This Row],[voertuig]],Voertuigen!A:C,3,FALSE)</f>
        <v>#N/A</v>
      </c>
      <c r="K350" t="e">
        <f>VLOOKUP(bron[[#This Row],[voertuig]],Voertuigen!A:C,2,FALSE)</f>
        <v>#N/A</v>
      </c>
      <c r="L350">
        <f>COUNTIF(A:A,bron[[#This Row],[personeelsnr]])</f>
        <v>9</v>
      </c>
    </row>
    <row r="351" spans="1:12" hidden="1" x14ac:dyDescent="0.25">
      <c r="A351">
        <v>39929</v>
      </c>
      <c r="B351" t="str">
        <f>VLOOKUP(bron[[#This Row],[personeelsnr]],[1]Blad1!$A:$H,2,FALSE)</f>
        <v>Staneva Mariyana</v>
      </c>
      <c r="C351" t="str">
        <f>VLOOKUP(bron[[#This Row],[personeelsnr]],[1]Blad1!$A:$H,3,FALSE)</f>
        <v>Staneva</v>
      </c>
      <c r="D351" t="str">
        <f>VLOOKUP(bron[[#This Row],[personeelsnr]],[1]Blad1!$A:$H,4,FALSE)</f>
        <v>Mariyana</v>
      </c>
      <c r="E351" s="2" t="str">
        <f>VLOOKUP(bron[[#This Row],[personeelsnr]],[1]Blad1!$A:$H,8,FALSE)</f>
        <v>Rotty Christoff</v>
      </c>
      <c r="F351" s="6">
        <v>45541</v>
      </c>
      <c r="G351" s="5" t="s">
        <v>627</v>
      </c>
      <c r="H351" t="s">
        <v>153</v>
      </c>
      <c r="I351"/>
      <c r="J351" t="e">
        <f>VLOOKUP(bron[[#This Row],[voertuig]],Voertuigen!A:C,3,FALSE)</f>
        <v>#N/A</v>
      </c>
      <c r="K351" t="e">
        <f>VLOOKUP(bron[[#This Row],[voertuig]],Voertuigen!A:C,2,FALSE)</f>
        <v>#N/A</v>
      </c>
      <c r="L351">
        <f>COUNTIF(A:A,bron[[#This Row],[personeelsnr]])</f>
        <v>9</v>
      </c>
    </row>
    <row r="352" spans="1:12" hidden="1" x14ac:dyDescent="0.25">
      <c r="A352">
        <v>40266</v>
      </c>
      <c r="B352" t="str">
        <f>VLOOKUP(bron[[#This Row],[personeelsnr]],[1]Blad1!$A:$H,2,FALSE)</f>
        <v>Taibi Yassine</v>
      </c>
      <c r="C352" t="str">
        <f>VLOOKUP(bron[[#This Row],[personeelsnr]],[1]Blad1!$A:$H,3,FALSE)</f>
        <v>Taibi</v>
      </c>
      <c r="D352" t="str">
        <f>VLOOKUP(bron[[#This Row],[personeelsnr]],[1]Blad1!$A:$H,4,FALSE)</f>
        <v>Yassine</v>
      </c>
      <c r="E352" s="2" t="str">
        <f>VLOOKUP(bron[[#This Row],[personeelsnr]],[1]Blad1!$A:$H,8,FALSE)</f>
        <v>Rotty Christoff</v>
      </c>
      <c r="F352" s="6">
        <v>45541</v>
      </c>
      <c r="G352" s="5" t="s">
        <v>628</v>
      </c>
      <c r="H352" t="s">
        <v>60</v>
      </c>
      <c r="I352"/>
      <c r="J352" t="e">
        <f>VLOOKUP(bron[[#This Row],[voertuig]],Voertuigen!A:C,3,FALSE)</f>
        <v>#N/A</v>
      </c>
      <c r="K352" t="e">
        <f>VLOOKUP(bron[[#This Row],[voertuig]],Voertuigen!A:C,2,FALSE)</f>
        <v>#N/A</v>
      </c>
      <c r="L352">
        <f>COUNTIF(A:A,bron[[#This Row],[personeelsnr]])</f>
        <v>3</v>
      </c>
    </row>
    <row r="353" spans="1:12" hidden="1" x14ac:dyDescent="0.25">
      <c r="A353">
        <v>12124</v>
      </c>
      <c r="B353" t="str">
        <f>VLOOKUP(bron[[#This Row],[personeelsnr]],[1]Blad1!$A:$H,2,FALSE)</f>
        <v>Van Vliet Tom</v>
      </c>
      <c r="C353" t="str">
        <f>VLOOKUP(bron[[#This Row],[personeelsnr]],[1]Blad1!$A:$H,3,FALSE)</f>
        <v>Van Vliet</v>
      </c>
      <c r="D353" t="str">
        <f>VLOOKUP(bron[[#This Row],[personeelsnr]],[1]Blad1!$A:$H,4,FALSE)</f>
        <v>Tom</v>
      </c>
      <c r="E353" s="2" t="str">
        <f>VLOOKUP(bron[[#This Row],[personeelsnr]],[1]Blad1!$A:$H,8,FALSE)</f>
        <v>Storm Steven</v>
      </c>
      <c r="F353" s="6">
        <v>45541</v>
      </c>
      <c r="G353" s="5" t="s">
        <v>629</v>
      </c>
      <c r="H353" t="s">
        <v>126</v>
      </c>
      <c r="I353"/>
      <c r="J353" t="e">
        <f>VLOOKUP(bron[[#This Row],[voertuig]],Voertuigen!A:C,3,FALSE)</f>
        <v>#N/A</v>
      </c>
      <c r="K353" t="e">
        <f>VLOOKUP(bron[[#This Row],[voertuig]],Voertuigen!A:C,2,FALSE)</f>
        <v>#N/A</v>
      </c>
      <c r="L353">
        <f>COUNTIF(A:A,bron[[#This Row],[personeelsnr]])</f>
        <v>5</v>
      </c>
    </row>
    <row r="354" spans="1:12" hidden="1" x14ac:dyDescent="0.25">
      <c r="A354">
        <v>34328</v>
      </c>
      <c r="B354" t="str">
        <f>VLOOKUP(bron[[#This Row],[personeelsnr]],[1]Blad1!$A:$H,2,FALSE)</f>
        <v>Kerremans Jürgen</v>
      </c>
      <c r="C354" t="str">
        <f>VLOOKUP(bron[[#This Row],[personeelsnr]],[1]Blad1!$A:$H,3,FALSE)</f>
        <v>Kerremans</v>
      </c>
      <c r="D354" t="str">
        <f>VLOOKUP(bron[[#This Row],[personeelsnr]],[1]Blad1!$A:$H,4,FALSE)</f>
        <v>Jürgen</v>
      </c>
      <c r="E354" s="2" t="str">
        <f>VLOOKUP(bron[[#This Row],[personeelsnr]],[1]Blad1!$A:$H,8,FALSE)</f>
        <v>De Rick Kenneth</v>
      </c>
      <c r="F354" s="6">
        <v>45541</v>
      </c>
      <c r="G354" s="5" t="s">
        <v>630</v>
      </c>
      <c r="H354" t="s">
        <v>8</v>
      </c>
      <c r="I354"/>
      <c r="J354" t="e">
        <f>VLOOKUP(bron[[#This Row],[voertuig]],Voertuigen!A:C,3,FALSE)</f>
        <v>#N/A</v>
      </c>
      <c r="K354" t="e">
        <f>VLOOKUP(bron[[#This Row],[voertuig]],Voertuigen!A:C,2,FALSE)</f>
        <v>#N/A</v>
      </c>
      <c r="L354">
        <f>COUNTIF(A:A,bron[[#This Row],[personeelsnr]])</f>
        <v>4</v>
      </c>
    </row>
    <row r="355" spans="1:12" hidden="1" x14ac:dyDescent="0.25">
      <c r="A355">
        <v>9999</v>
      </c>
      <c r="B355" t="e">
        <f>VLOOKUP(bron[[#This Row],[personeelsnr]],[1]Blad1!$A:$H,2,FALSE)</f>
        <v>#N/A</v>
      </c>
      <c r="C355" t="e">
        <f>VLOOKUP(bron[[#This Row],[personeelsnr]],[1]Blad1!$A:$H,3,FALSE)</f>
        <v>#N/A</v>
      </c>
      <c r="D355" t="e">
        <f>VLOOKUP(bron[[#This Row],[personeelsnr]],[1]Blad1!$A:$H,4,FALSE)</f>
        <v>#N/A</v>
      </c>
      <c r="E355" s="2" t="s">
        <v>221</v>
      </c>
      <c r="F355" s="6">
        <v>45542</v>
      </c>
      <c r="G355" s="5" t="s">
        <v>631</v>
      </c>
      <c r="H355" t="s">
        <v>192</v>
      </c>
      <c r="I355"/>
      <c r="J355" t="e">
        <f>VLOOKUP(bron[[#This Row],[voertuig]],Voertuigen!A:C,3,FALSE)</f>
        <v>#N/A</v>
      </c>
      <c r="K355" t="e">
        <f>VLOOKUP(bron[[#This Row],[voertuig]],Voertuigen!A:C,2,FALSE)</f>
        <v>#N/A</v>
      </c>
      <c r="L355">
        <f>COUNTIF(A:A,bron[[#This Row],[personeelsnr]])</f>
        <v>59</v>
      </c>
    </row>
    <row r="356" spans="1:12" hidden="1" x14ac:dyDescent="0.25">
      <c r="A356">
        <v>37496</v>
      </c>
      <c r="B356" t="str">
        <f>VLOOKUP(bron[[#This Row],[personeelsnr]],[1]Blad1!$A:$H,2,FALSE)</f>
        <v>Oosterlinck Willy</v>
      </c>
      <c r="C356" t="str">
        <f>VLOOKUP(bron[[#This Row],[personeelsnr]],[1]Blad1!$A:$H,3,FALSE)</f>
        <v>Oosterlinck</v>
      </c>
      <c r="D356" t="str">
        <f>VLOOKUP(bron[[#This Row],[personeelsnr]],[1]Blad1!$A:$H,4,FALSE)</f>
        <v>Willy</v>
      </c>
      <c r="E356" s="2" t="str">
        <f>VLOOKUP(bron[[#This Row],[personeelsnr]],[1]Blad1!$A:$H,8,FALSE)</f>
        <v>De Clercq Dominique</v>
      </c>
      <c r="F356" s="6">
        <v>45543</v>
      </c>
      <c r="G356" s="5" t="s">
        <v>632</v>
      </c>
      <c r="H356" t="s">
        <v>150</v>
      </c>
      <c r="I356"/>
      <c r="J356" t="e">
        <f>VLOOKUP(bron[[#This Row],[voertuig]],Voertuigen!A:C,3,FALSE)</f>
        <v>#N/A</v>
      </c>
      <c r="K356" t="e">
        <f>VLOOKUP(bron[[#This Row],[voertuig]],Voertuigen!A:C,2,FALSE)</f>
        <v>#N/A</v>
      </c>
      <c r="L356">
        <f>COUNTIF(A:A,bron[[#This Row],[personeelsnr]])</f>
        <v>4</v>
      </c>
    </row>
    <row r="357" spans="1:12" hidden="1" x14ac:dyDescent="0.25">
      <c r="A357">
        <v>32168</v>
      </c>
      <c r="B357" t="str">
        <f>VLOOKUP(bron[[#This Row],[personeelsnr]],[1]Blad1!$A:$H,2,FALSE)</f>
        <v>Vranken Zulkifly</v>
      </c>
      <c r="C357" t="str">
        <f>VLOOKUP(bron[[#This Row],[personeelsnr]],[1]Blad1!$A:$H,3,FALSE)</f>
        <v>Vranken</v>
      </c>
      <c r="D357" t="str">
        <f>VLOOKUP(bron[[#This Row],[personeelsnr]],[1]Blad1!$A:$H,4,FALSE)</f>
        <v>Zulkifly</v>
      </c>
      <c r="E357" s="2" t="str">
        <f>VLOOKUP(bron[[#This Row],[personeelsnr]],[1]Blad1!$A:$H,8,FALSE)</f>
        <v>De Rick Kenneth</v>
      </c>
      <c r="F357" s="6">
        <v>45543</v>
      </c>
      <c r="G357" s="5" t="s">
        <v>633</v>
      </c>
      <c r="H357" t="s">
        <v>7</v>
      </c>
      <c r="I357"/>
      <c r="J357" t="e">
        <f>VLOOKUP(bron[[#This Row],[voertuig]],Voertuigen!A:C,3,FALSE)</f>
        <v>#N/A</v>
      </c>
      <c r="K357" t="e">
        <f>VLOOKUP(bron[[#This Row],[voertuig]],Voertuigen!A:C,2,FALSE)</f>
        <v>#N/A</v>
      </c>
      <c r="L357">
        <f>COUNTIF(A:A,bron[[#This Row],[personeelsnr]])</f>
        <v>1</v>
      </c>
    </row>
    <row r="358" spans="1:12" hidden="1" x14ac:dyDescent="0.25">
      <c r="A358">
        <v>39651</v>
      </c>
      <c r="B358" t="str">
        <f>VLOOKUP(bron[[#This Row],[personeelsnr]],[1]Blad1!$A:$H,2,FALSE)</f>
        <v>Kallenbach Sunny</v>
      </c>
      <c r="C358" t="str">
        <f>VLOOKUP(bron[[#This Row],[personeelsnr]],[1]Blad1!$A:$H,3,FALSE)</f>
        <v>Kallenbach</v>
      </c>
      <c r="D358" t="str">
        <f>VLOOKUP(bron[[#This Row],[personeelsnr]],[1]Blad1!$A:$H,4,FALSE)</f>
        <v>Sunny</v>
      </c>
      <c r="E358" s="2" t="str">
        <f>VLOOKUP(bron[[#This Row],[personeelsnr]],[1]Blad1!$A:$H,8,FALSE)</f>
        <v>De Rick Kenneth</v>
      </c>
      <c r="F358" s="6">
        <v>45544</v>
      </c>
      <c r="G358" s="5" t="s">
        <v>634</v>
      </c>
      <c r="H358" t="s">
        <v>8</v>
      </c>
      <c r="I358"/>
      <c r="J358" t="e">
        <f>VLOOKUP(bron[[#This Row],[voertuig]],Voertuigen!A:C,3,FALSE)</f>
        <v>#N/A</v>
      </c>
      <c r="K358" t="e">
        <f>VLOOKUP(bron[[#This Row],[voertuig]],Voertuigen!A:C,2,FALSE)</f>
        <v>#N/A</v>
      </c>
      <c r="L358">
        <f>COUNTIF(A:A,bron[[#This Row],[personeelsnr]])</f>
        <v>4</v>
      </c>
    </row>
    <row r="359" spans="1:12" hidden="1" x14ac:dyDescent="0.25">
      <c r="A359">
        <v>35450</v>
      </c>
      <c r="B359" t="str">
        <f>VLOOKUP(bron[[#This Row],[personeelsnr]],[1]Blad1!$A:$H,2,FALSE)</f>
        <v>Roos Hugo</v>
      </c>
      <c r="C359" t="str">
        <f>VLOOKUP(bron[[#This Row],[personeelsnr]],[1]Blad1!$A:$H,3,FALSE)</f>
        <v>Roos</v>
      </c>
      <c r="D359" t="str">
        <f>VLOOKUP(bron[[#This Row],[personeelsnr]],[1]Blad1!$A:$H,4,FALSE)</f>
        <v>Hugo</v>
      </c>
      <c r="E359" s="2" t="str">
        <f>VLOOKUP(bron[[#This Row],[personeelsnr]],[1]Blad1!$A:$H,8,FALSE)</f>
        <v>Dewulf Els</v>
      </c>
      <c r="F359" s="6">
        <v>45545</v>
      </c>
      <c r="G359" s="5" t="s">
        <v>635</v>
      </c>
      <c r="H359" t="s">
        <v>87</v>
      </c>
      <c r="I359"/>
      <c r="J359" t="e">
        <f>VLOOKUP(bron[[#This Row],[voertuig]],Voertuigen!A:C,3,FALSE)</f>
        <v>#N/A</v>
      </c>
      <c r="K359" t="e">
        <f>VLOOKUP(bron[[#This Row],[voertuig]],Voertuigen!A:C,2,FALSE)</f>
        <v>#N/A</v>
      </c>
      <c r="L359">
        <f>COUNTIF(A:A,bron[[#This Row],[personeelsnr]])</f>
        <v>4</v>
      </c>
    </row>
    <row r="360" spans="1:12" hidden="1" x14ac:dyDescent="0.25">
      <c r="A360">
        <v>35588</v>
      </c>
      <c r="B360" t="str">
        <f>VLOOKUP(bron[[#This Row],[personeelsnr]],[1]Blad1!$A:$H,2,FALSE)</f>
        <v>Smesman Glenn</v>
      </c>
      <c r="C360" t="str">
        <f>VLOOKUP(bron[[#This Row],[personeelsnr]],[1]Blad1!$A:$H,3,FALSE)</f>
        <v>Smesman</v>
      </c>
      <c r="D360" t="str">
        <f>VLOOKUP(bron[[#This Row],[personeelsnr]],[1]Blad1!$A:$H,4,FALSE)</f>
        <v>Glenn</v>
      </c>
      <c r="E360" s="2" t="str">
        <f>VLOOKUP(bron[[#This Row],[personeelsnr]],[1]Blad1!$A:$H,8,FALSE)</f>
        <v>Van De Velde Lucie</v>
      </c>
      <c r="F360" s="6">
        <v>45545</v>
      </c>
      <c r="G360" s="5" t="s">
        <v>636</v>
      </c>
      <c r="H360" t="s">
        <v>199</v>
      </c>
      <c r="I360"/>
      <c r="J360" t="e">
        <f>VLOOKUP(bron[[#This Row],[voertuig]],Voertuigen!A:C,3,FALSE)</f>
        <v>#N/A</v>
      </c>
      <c r="K360" t="e">
        <f>VLOOKUP(bron[[#This Row],[voertuig]],Voertuigen!A:C,2,FALSE)</f>
        <v>#N/A</v>
      </c>
      <c r="L360">
        <f>COUNTIF(A:A,bron[[#This Row],[personeelsnr]])</f>
        <v>3</v>
      </c>
    </row>
    <row r="361" spans="1:12" hidden="1" x14ac:dyDescent="0.25">
      <c r="A361">
        <v>35434</v>
      </c>
      <c r="B361" t="str">
        <f>VLOOKUP(bron[[#This Row],[personeelsnr]],[1]Blad1!$A:$H,2,FALSE)</f>
        <v>Kaya Aytekin</v>
      </c>
      <c r="C361" t="str">
        <f>VLOOKUP(bron[[#This Row],[personeelsnr]],[1]Blad1!$A:$H,3,FALSE)</f>
        <v>Kaya</v>
      </c>
      <c r="D361" t="str">
        <f>VLOOKUP(bron[[#This Row],[personeelsnr]],[1]Blad1!$A:$H,4,FALSE)</f>
        <v>Aytekin</v>
      </c>
      <c r="E361" s="2" t="str">
        <f>VLOOKUP(bron[[#This Row],[personeelsnr]],[1]Blad1!$A:$H,8,FALSE)</f>
        <v>De Clercq Dominique</v>
      </c>
      <c r="F361" s="6">
        <v>45545</v>
      </c>
      <c r="G361" s="5" t="s">
        <v>637</v>
      </c>
      <c r="H361" t="s">
        <v>8</v>
      </c>
      <c r="I361"/>
      <c r="J361" t="e">
        <f>VLOOKUP(bron[[#This Row],[voertuig]],Voertuigen!A:C,3,FALSE)</f>
        <v>#N/A</v>
      </c>
      <c r="K361" t="e">
        <f>VLOOKUP(bron[[#This Row],[voertuig]],Voertuigen!A:C,2,FALSE)</f>
        <v>#N/A</v>
      </c>
      <c r="L361">
        <f>COUNTIF(A:A,bron[[#This Row],[personeelsnr]])</f>
        <v>1</v>
      </c>
    </row>
    <row r="362" spans="1:12" hidden="1" x14ac:dyDescent="0.25">
      <c r="A362">
        <v>38938</v>
      </c>
      <c r="B362" t="str">
        <f>VLOOKUP(bron[[#This Row],[personeelsnr]],[1]Blad1!$A:$H,2,FALSE)</f>
        <v>Sedighi Hamid</v>
      </c>
      <c r="C362" t="str">
        <f>VLOOKUP(bron[[#This Row],[personeelsnr]],[1]Blad1!$A:$H,3,FALSE)</f>
        <v>Sedighi</v>
      </c>
      <c r="D362" t="str">
        <f>VLOOKUP(bron[[#This Row],[personeelsnr]],[1]Blad1!$A:$H,4,FALSE)</f>
        <v>Hamid</v>
      </c>
      <c r="E362" s="2" t="str">
        <f>VLOOKUP(bron[[#This Row],[personeelsnr]],[1]Blad1!$A:$H,8,FALSE)</f>
        <v>Van De Velde Lucie</v>
      </c>
      <c r="F362" s="6">
        <v>45546</v>
      </c>
      <c r="G362" s="5" t="s">
        <v>638</v>
      </c>
      <c r="H362" t="s">
        <v>9</v>
      </c>
      <c r="I362"/>
      <c r="J362" t="e">
        <f>VLOOKUP(bron[[#This Row],[voertuig]],Voertuigen!A:C,3,FALSE)</f>
        <v>#N/A</v>
      </c>
      <c r="K362" t="e">
        <f>VLOOKUP(bron[[#This Row],[voertuig]],Voertuigen!A:C,2,FALSE)</f>
        <v>#N/A</v>
      </c>
      <c r="L362">
        <f>COUNTIF(A:A,bron[[#This Row],[personeelsnr]])</f>
        <v>7</v>
      </c>
    </row>
    <row r="363" spans="1:12" hidden="1" x14ac:dyDescent="0.25">
      <c r="A363">
        <v>40110</v>
      </c>
      <c r="B363" t="str">
        <f>VLOOKUP(bron[[#This Row],[personeelsnr]],[1]Blad1!$A:$H,2,FALSE)</f>
        <v>Vanlerberghe Sandra</v>
      </c>
      <c r="C363" t="str">
        <f>VLOOKUP(bron[[#This Row],[personeelsnr]],[1]Blad1!$A:$H,3,FALSE)</f>
        <v>Vanlerberghe</v>
      </c>
      <c r="D363" t="str">
        <f>VLOOKUP(bron[[#This Row],[personeelsnr]],[1]Blad1!$A:$H,4,FALSE)</f>
        <v>Sandra</v>
      </c>
      <c r="E363" s="2" t="str">
        <f>VLOOKUP(bron[[#This Row],[personeelsnr]],[1]Blad1!$A:$H,8,FALSE)</f>
        <v>Rotty Christoff</v>
      </c>
      <c r="F363" s="6">
        <v>45548</v>
      </c>
      <c r="G363" s="5" t="s">
        <v>639</v>
      </c>
      <c r="H363" t="s">
        <v>29</v>
      </c>
      <c r="I363"/>
      <c r="J363" t="e">
        <f>VLOOKUP(bron[[#This Row],[voertuig]],Voertuigen!A:C,3,FALSE)</f>
        <v>#N/A</v>
      </c>
      <c r="K363" t="e">
        <f>VLOOKUP(bron[[#This Row],[voertuig]],Voertuigen!A:C,2,FALSE)</f>
        <v>#N/A</v>
      </c>
      <c r="L363">
        <f>COUNTIF(A:A,bron[[#This Row],[personeelsnr]])</f>
        <v>7</v>
      </c>
    </row>
    <row r="364" spans="1:12" hidden="1" x14ac:dyDescent="0.25">
      <c r="A364">
        <v>39929</v>
      </c>
      <c r="B364" t="str">
        <f>VLOOKUP(bron[[#This Row],[personeelsnr]],[1]Blad1!$A:$H,2,FALSE)</f>
        <v>Staneva Mariyana</v>
      </c>
      <c r="C364" t="str">
        <f>VLOOKUP(bron[[#This Row],[personeelsnr]],[1]Blad1!$A:$H,3,FALSE)</f>
        <v>Staneva</v>
      </c>
      <c r="D364" t="str">
        <f>VLOOKUP(bron[[#This Row],[personeelsnr]],[1]Blad1!$A:$H,4,FALSE)</f>
        <v>Mariyana</v>
      </c>
      <c r="E364" s="2" t="str">
        <f>VLOOKUP(bron[[#This Row],[personeelsnr]],[1]Blad1!$A:$H,8,FALSE)</f>
        <v>Rotty Christoff</v>
      </c>
      <c r="F364" s="6">
        <v>45549</v>
      </c>
      <c r="G364" s="5" t="s">
        <v>640</v>
      </c>
      <c r="H364" t="s">
        <v>400</v>
      </c>
      <c r="I364"/>
      <c r="J364" t="e">
        <f>VLOOKUP(bron[[#This Row],[voertuig]],Voertuigen!A:C,3,FALSE)</f>
        <v>#N/A</v>
      </c>
      <c r="K364" t="e">
        <f>VLOOKUP(bron[[#This Row],[voertuig]],Voertuigen!A:C,2,FALSE)</f>
        <v>#N/A</v>
      </c>
      <c r="L364">
        <f>COUNTIF(A:A,bron[[#This Row],[personeelsnr]])</f>
        <v>9</v>
      </c>
    </row>
    <row r="365" spans="1:12" hidden="1" x14ac:dyDescent="0.25">
      <c r="A365">
        <v>37509</v>
      </c>
      <c r="B365" t="str">
        <f>VLOOKUP(bron[[#This Row],[personeelsnr]],[1]Blad1!$A:$H,2,FALSE)</f>
        <v>Abdulkader Sabah</v>
      </c>
      <c r="C365" t="str">
        <f>VLOOKUP(bron[[#This Row],[personeelsnr]],[1]Blad1!$A:$H,3,FALSE)</f>
        <v>Abdulkader</v>
      </c>
      <c r="D365" t="str">
        <f>VLOOKUP(bron[[#This Row],[personeelsnr]],[1]Blad1!$A:$H,4,FALSE)</f>
        <v>Sabah</v>
      </c>
      <c r="E365" s="2" t="str">
        <f>VLOOKUP(bron[[#This Row],[personeelsnr]],[1]Blad1!$A:$H,8,FALSE)</f>
        <v>Van Der Beken Bart</v>
      </c>
      <c r="F365" s="6">
        <v>45549</v>
      </c>
      <c r="G365" s="5" t="s">
        <v>641</v>
      </c>
      <c r="H365" t="s">
        <v>130</v>
      </c>
      <c r="I365"/>
      <c r="J365" t="e">
        <f>VLOOKUP(bron[[#This Row],[voertuig]],Voertuigen!A:C,3,FALSE)</f>
        <v>#N/A</v>
      </c>
      <c r="K365" t="e">
        <f>VLOOKUP(bron[[#This Row],[voertuig]],Voertuigen!A:C,2,FALSE)</f>
        <v>#N/A</v>
      </c>
      <c r="L365">
        <f>COUNTIF(A:A,bron[[#This Row],[personeelsnr]])</f>
        <v>3</v>
      </c>
    </row>
    <row r="366" spans="1:12" hidden="1" x14ac:dyDescent="0.25">
      <c r="A366">
        <v>39183</v>
      </c>
      <c r="B366" t="str">
        <f>VLOOKUP(bron[[#This Row],[personeelsnr]],[1]Blad1!$A:$H,2,FALSE)</f>
        <v>Al Masri Anas</v>
      </c>
      <c r="C366" t="str">
        <f>VLOOKUP(bron[[#This Row],[personeelsnr]],[1]Blad1!$A:$H,3,FALSE)</f>
        <v>Al Masri</v>
      </c>
      <c r="D366" t="str">
        <f>VLOOKUP(bron[[#This Row],[personeelsnr]],[1]Blad1!$A:$H,4,FALSE)</f>
        <v>Anas</v>
      </c>
      <c r="E366" s="2" t="str">
        <f>VLOOKUP(bron[[#This Row],[personeelsnr]],[1]Blad1!$A:$H,8,FALSE)</f>
        <v>Rotty Christoff</v>
      </c>
      <c r="F366" s="6">
        <v>45549</v>
      </c>
      <c r="G366" s="5" t="s">
        <v>642</v>
      </c>
      <c r="H366" t="s">
        <v>643</v>
      </c>
      <c r="I366"/>
      <c r="J366" t="e">
        <f>VLOOKUP(bron[[#This Row],[voertuig]],Voertuigen!A:C,3,FALSE)</f>
        <v>#N/A</v>
      </c>
      <c r="K366" t="e">
        <f>VLOOKUP(bron[[#This Row],[voertuig]],Voertuigen!A:C,2,FALSE)</f>
        <v>#N/A</v>
      </c>
      <c r="L366">
        <f>COUNTIF(A:A,bron[[#This Row],[personeelsnr]])</f>
        <v>5</v>
      </c>
    </row>
    <row r="367" spans="1:12" hidden="1" x14ac:dyDescent="0.25">
      <c r="A367">
        <v>11236</v>
      </c>
      <c r="B367" t="str">
        <f>VLOOKUP(bron[[#This Row],[personeelsnr]],[1]Blad1!$A:$H,2,FALSE)</f>
        <v>Baert Freddy</v>
      </c>
      <c r="C367" t="str">
        <f>VLOOKUP(bron[[#This Row],[personeelsnr]],[1]Blad1!$A:$H,3,FALSE)</f>
        <v>Baert</v>
      </c>
      <c r="D367" t="str">
        <f>VLOOKUP(bron[[#This Row],[personeelsnr]],[1]Blad1!$A:$H,4,FALSE)</f>
        <v>Freddy</v>
      </c>
      <c r="E367" s="2" t="str">
        <f>VLOOKUP(bron[[#This Row],[personeelsnr]],[1]Blad1!$A:$H,8,FALSE)</f>
        <v>Van Der Beken Bart</v>
      </c>
      <c r="F367" s="6">
        <v>45550</v>
      </c>
      <c r="G367" s="5" t="s">
        <v>644</v>
      </c>
      <c r="H367" t="s">
        <v>20</v>
      </c>
      <c r="I367"/>
      <c r="J367" t="e">
        <f>VLOOKUP(bron[[#This Row],[voertuig]],Voertuigen!A:C,3,FALSE)</f>
        <v>#N/A</v>
      </c>
      <c r="K367" t="e">
        <f>VLOOKUP(bron[[#This Row],[voertuig]],Voertuigen!A:C,2,FALSE)</f>
        <v>#N/A</v>
      </c>
      <c r="L367">
        <f>COUNTIF(A:A,bron[[#This Row],[personeelsnr]])</f>
        <v>4</v>
      </c>
    </row>
    <row r="368" spans="1:12" hidden="1" x14ac:dyDescent="0.25">
      <c r="A368">
        <v>31635</v>
      </c>
      <c r="B368" t="str">
        <f>VLOOKUP(bron[[#This Row],[personeelsnr]],[1]Blad1!$A:$H,2,FALSE)</f>
        <v>Vaeyens Midas</v>
      </c>
      <c r="C368" t="str">
        <f>VLOOKUP(bron[[#This Row],[personeelsnr]],[1]Blad1!$A:$H,3,FALSE)</f>
        <v>Vaeyens</v>
      </c>
      <c r="D368" t="str">
        <f>VLOOKUP(bron[[#This Row],[personeelsnr]],[1]Blad1!$A:$H,4,FALSE)</f>
        <v>Midas</v>
      </c>
      <c r="E368" s="2" t="str">
        <f>VLOOKUP(bron[[#This Row],[personeelsnr]],[1]Blad1!$A:$H,8,FALSE)</f>
        <v>Vanhoe Els</v>
      </c>
      <c r="F368" s="6">
        <v>45551</v>
      </c>
      <c r="G368" s="5" t="s">
        <v>645</v>
      </c>
      <c r="H368" t="s">
        <v>58</v>
      </c>
      <c r="I368"/>
      <c r="J368" t="e">
        <f>VLOOKUP(bron[[#This Row],[voertuig]],Voertuigen!A:C,3,FALSE)</f>
        <v>#N/A</v>
      </c>
      <c r="K368" t="e">
        <f>VLOOKUP(bron[[#This Row],[voertuig]],Voertuigen!A:C,2,FALSE)</f>
        <v>#N/A</v>
      </c>
      <c r="L368">
        <f>COUNTIF(A:A,bron[[#This Row],[personeelsnr]])</f>
        <v>2</v>
      </c>
    </row>
    <row r="369" spans="1:12" hidden="1" x14ac:dyDescent="0.25">
      <c r="A369">
        <v>39728</v>
      </c>
      <c r="B369" t="str">
        <f>VLOOKUP(bron[[#This Row],[personeelsnr]],[1]Blad1!$A:$H,2,FALSE)</f>
        <v>Nohut Baki</v>
      </c>
      <c r="C369" t="str">
        <f>VLOOKUP(bron[[#This Row],[personeelsnr]],[1]Blad1!$A:$H,3,FALSE)</f>
        <v>Nohut</v>
      </c>
      <c r="D369" t="str">
        <f>VLOOKUP(bron[[#This Row],[personeelsnr]],[1]Blad1!$A:$H,4,FALSE)</f>
        <v>Baki</v>
      </c>
      <c r="E369" s="2" t="str">
        <f>VLOOKUP(bron[[#This Row],[personeelsnr]],[1]Blad1!$A:$H,8,FALSE)</f>
        <v>Van De Velde Lucie</v>
      </c>
      <c r="F369" s="6">
        <v>45551</v>
      </c>
      <c r="G369" s="5" t="s">
        <v>646</v>
      </c>
      <c r="H369" t="s">
        <v>31</v>
      </c>
      <c r="I369"/>
      <c r="J369" t="e">
        <f>VLOOKUP(bron[[#This Row],[voertuig]],Voertuigen!A:C,3,FALSE)</f>
        <v>#N/A</v>
      </c>
      <c r="K369" t="e">
        <f>VLOOKUP(bron[[#This Row],[voertuig]],Voertuigen!A:C,2,FALSE)</f>
        <v>#N/A</v>
      </c>
      <c r="L369">
        <f>COUNTIF(A:A,bron[[#This Row],[personeelsnr]])</f>
        <v>2</v>
      </c>
    </row>
    <row r="370" spans="1:12" hidden="1" x14ac:dyDescent="0.25">
      <c r="A370">
        <v>9999</v>
      </c>
      <c r="B370" t="e">
        <f>VLOOKUP(bron[[#This Row],[personeelsnr]],[1]Blad1!$A:$H,2,FALSE)</f>
        <v>#N/A</v>
      </c>
      <c r="C370" t="e">
        <f>VLOOKUP(bron[[#This Row],[personeelsnr]],[1]Blad1!$A:$H,3,FALSE)</f>
        <v>#N/A</v>
      </c>
      <c r="D370" t="e">
        <f>VLOOKUP(bron[[#This Row],[personeelsnr]],[1]Blad1!$A:$H,4,FALSE)</f>
        <v>#N/A</v>
      </c>
      <c r="E370" s="2" t="s">
        <v>221</v>
      </c>
      <c r="F370" s="6">
        <v>45551</v>
      </c>
      <c r="G370" s="5" t="s">
        <v>647</v>
      </c>
      <c r="H370" t="s">
        <v>23</v>
      </c>
      <c r="I370"/>
      <c r="J370" t="e">
        <f>VLOOKUP(bron[[#This Row],[voertuig]],Voertuigen!A:C,3,FALSE)</f>
        <v>#N/A</v>
      </c>
      <c r="K370" t="e">
        <f>VLOOKUP(bron[[#This Row],[voertuig]],Voertuigen!A:C,2,FALSE)</f>
        <v>#N/A</v>
      </c>
      <c r="L370">
        <f>COUNTIF(A:A,bron[[#This Row],[personeelsnr]])</f>
        <v>59</v>
      </c>
    </row>
    <row r="371" spans="1:12" hidden="1" x14ac:dyDescent="0.25">
      <c r="A371">
        <v>27635</v>
      </c>
      <c r="B371" t="str">
        <f>VLOOKUP(bron[[#This Row],[personeelsnr]],[1]Blad1!$A:$H,2,FALSE)</f>
        <v>Petrovic Damir</v>
      </c>
      <c r="C371" t="str">
        <f>VLOOKUP(bron[[#This Row],[personeelsnr]],[1]Blad1!$A:$H,3,FALSE)</f>
        <v>Petrovic</v>
      </c>
      <c r="D371" t="str">
        <f>VLOOKUP(bron[[#This Row],[personeelsnr]],[1]Blad1!$A:$H,4,FALSE)</f>
        <v>Damir</v>
      </c>
      <c r="E371" s="2" t="str">
        <f>VLOOKUP(bron[[#This Row],[personeelsnr]],[1]Blad1!$A:$H,8,FALSE)</f>
        <v>De Rick Kenneth</v>
      </c>
      <c r="F371" s="6">
        <v>45551</v>
      </c>
      <c r="G371" s="5" t="s">
        <v>648</v>
      </c>
      <c r="H371" t="s">
        <v>7</v>
      </c>
      <c r="I371"/>
      <c r="J371" t="e">
        <f>VLOOKUP(bron[[#This Row],[voertuig]],Voertuigen!A:C,3,FALSE)</f>
        <v>#N/A</v>
      </c>
      <c r="K371" t="e">
        <f>VLOOKUP(bron[[#This Row],[voertuig]],Voertuigen!A:C,2,FALSE)</f>
        <v>#N/A</v>
      </c>
      <c r="L371">
        <f>COUNTIF(A:A,bron[[#This Row],[personeelsnr]])</f>
        <v>1</v>
      </c>
    </row>
    <row r="372" spans="1:12" hidden="1" x14ac:dyDescent="0.25">
      <c r="A372">
        <v>36559</v>
      </c>
      <c r="B372" t="str">
        <f>VLOOKUP(bron[[#This Row],[personeelsnr]],[1]Blad1!$A:$H,2,FALSE)</f>
        <v>De Staercke Sandra</v>
      </c>
      <c r="C372" t="str">
        <f>VLOOKUP(bron[[#This Row],[personeelsnr]],[1]Blad1!$A:$H,3,FALSE)</f>
        <v>De Staercke</v>
      </c>
      <c r="D372" t="str">
        <f>VLOOKUP(bron[[#This Row],[personeelsnr]],[1]Blad1!$A:$H,4,FALSE)</f>
        <v>Sandra</v>
      </c>
      <c r="E372" s="2" t="str">
        <f>VLOOKUP(bron[[#This Row],[personeelsnr]],[1]Blad1!$A:$H,8,FALSE)</f>
        <v>De Rick Kenneth</v>
      </c>
      <c r="F372" s="6">
        <v>45552</v>
      </c>
      <c r="G372" s="5" t="s">
        <v>649</v>
      </c>
      <c r="H372" t="s">
        <v>8</v>
      </c>
      <c r="I372"/>
      <c r="J372" t="e">
        <f>VLOOKUP(bron[[#This Row],[voertuig]],Voertuigen!A:C,3,FALSE)</f>
        <v>#N/A</v>
      </c>
      <c r="K372" t="e">
        <f>VLOOKUP(bron[[#This Row],[voertuig]],Voertuigen!A:C,2,FALSE)</f>
        <v>#N/A</v>
      </c>
      <c r="L372">
        <f>COUNTIF(A:A,bron[[#This Row],[personeelsnr]])</f>
        <v>2</v>
      </c>
    </row>
    <row r="373" spans="1:12" hidden="1" x14ac:dyDescent="0.25">
      <c r="A373">
        <v>9999</v>
      </c>
      <c r="B373" t="e">
        <f>VLOOKUP(bron[[#This Row],[personeelsnr]],[1]Blad1!$A:$H,2,FALSE)</f>
        <v>#N/A</v>
      </c>
      <c r="C373" t="e">
        <f>VLOOKUP(bron[[#This Row],[personeelsnr]],[1]Blad1!$A:$H,3,FALSE)</f>
        <v>#N/A</v>
      </c>
      <c r="D373" t="e">
        <f>VLOOKUP(bron[[#This Row],[personeelsnr]],[1]Blad1!$A:$H,4,FALSE)</f>
        <v>#N/A</v>
      </c>
      <c r="E373" s="2" t="s">
        <v>221</v>
      </c>
      <c r="F373" s="6">
        <v>45554</v>
      </c>
      <c r="G373" s="5" t="s">
        <v>650</v>
      </c>
      <c r="H373" t="s">
        <v>171</v>
      </c>
      <c r="I373"/>
      <c r="J373" t="e">
        <f>VLOOKUP(bron[[#This Row],[voertuig]],Voertuigen!A:C,3,FALSE)</f>
        <v>#N/A</v>
      </c>
      <c r="K373" t="e">
        <f>VLOOKUP(bron[[#This Row],[voertuig]],Voertuigen!A:C,2,FALSE)</f>
        <v>#N/A</v>
      </c>
      <c r="L373">
        <f>COUNTIF(A:A,bron[[#This Row],[personeelsnr]])</f>
        <v>59</v>
      </c>
    </row>
    <row r="374" spans="1:12" hidden="1" x14ac:dyDescent="0.25">
      <c r="A374">
        <v>40486</v>
      </c>
      <c r="B374" t="str">
        <f>VLOOKUP(bron[[#This Row],[personeelsnr]],[1]Blad1!$A:$H,2,FALSE)</f>
        <v>De Souza Marcos Eduardo</v>
      </c>
      <c r="C374" t="str">
        <f>VLOOKUP(bron[[#This Row],[personeelsnr]],[1]Blad1!$A:$H,3,FALSE)</f>
        <v>De Souza</v>
      </c>
      <c r="D374" t="str">
        <f>VLOOKUP(bron[[#This Row],[personeelsnr]],[1]Blad1!$A:$H,4,FALSE)</f>
        <v>Marcos Eduardo</v>
      </c>
      <c r="E374" s="2" t="str">
        <f>VLOOKUP(bron[[#This Row],[personeelsnr]],[1]Blad1!$A:$H,8,FALSE)</f>
        <v>Rotty Christoff</v>
      </c>
      <c r="F374" s="6">
        <v>45556</v>
      </c>
      <c r="G374" s="5" t="s">
        <v>651</v>
      </c>
      <c r="H374" t="s">
        <v>652</v>
      </c>
      <c r="I374"/>
      <c r="J374" t="e">
        <f>VLOOKUP(bron[[#This Row],[voertuig]],Voertuigen!A:C,3,FALSE)</f>
        <v>#N/A</v>
      </c>
      <c r="K374" t="e">
        <f>VLOOKUP(bron[[#This Row],[voertuig]],Voertuigen!A:C,2,FALSE)</f>
        <v>#N/A</v>
      </c>
      <c r="L374">
        <f>COUNTIF(A:A,bron[[#This Row],[personeelsnr]])</f>
        <v>1</v>
      </c>
    </row>
    <row r="375" spans="1:12" hidden="1" x14ac:dyDescent="0.25">
      <c r="A375">
        <v>34328</v>
      </c>
      <c r="B375" t="str">
        <f>VLOOKUP(bron[[#This Row],[personeelsnr]],[1]Blad1!$A:$H,2,FALSE)</f>
        <v>Kerremans Jürgen</v>
      </c>
      <c r="C375" t="str">
        <f>VLOOKUP(bron[[#This Row],[personeelsnr]],[1]Blad1!$A:$H,3,FALSE)</f>
        <v>Kerremans</v>
      </c>
      <c r="D375" t="str">
        <f>VLOOKUP(bron[[#This Row],[personeelsnr]],[1]Blad1!$A:$H,4,FALSE)</f>
        <v>Jürgen</v>
      </c>
      <c r="E375" s="2" t="str">
        <f>VLOOKUP(bron[[#This Row],[personeelsnr]],[1]Blad1!$A:$H,8,FALSE)</f>
        <v>De Rick Kenneth</v>
      </c>
      <c r="F375" s="6">
        <v>45557</v>
      </c>
      <c r="G375" s="5" t="s">
        <v>653</v>
      </c>
      <c r="H375" t="s">
        <v>13</v>
      </c>
      <c r="I375"/>
      <c r="J375" t="e">
        <f>VLOOKUP(bron[[#This Row],[voertuig]],Voertuigen!A:C,3,FALSE)</f>
        <v>#N/A</v>
      </c>
      <c r="K375" t="e">
        <f>VLOOKUP(bron[[#This Row],[voertuig]],Voertuigen!A:C,2,FALSE)</f>
        <v>#N/A</v>
      </c>
      <c r="L375">
        <f>COUNTIF(A:A,bron[[#This Row],[personeelsnr]])</f>
        <v>4</v>
      </c>
    </row>
    <row r="376" spans="1:12" hidden="1" x14ac:dyDescent="0.25">
      <c r="A376">
        <v>39581</v>
      </c>
      <c r="B376" t="str">
        <f>VLOOKUP(bron[[#This Row],[personeelsnr]],[1]Blad1!$A:$H,2,FALSE)</f>
        <v>Vandenhaute Linus</v>
      </c>
      <c r="C376" t="str">
        <f>VLOOKUP(bron[[#This Row],[personeelsnr]],[1]Blad1!$A:$H,3,FALSE)</f>
        <v>Vandenhaute</v>
      </c>
      <c r="D376" t="str">
        <f>VLOOKUP(bron[[#This Row],[personeelsnr]],[1]Blad1!$A:$H,4,FALSE)</f>
        <v>Linus</v>
      </c>
      <c r="E376" s="2" t="str">
        <f>VLOOKUP(bron[[#This Row],[personeelsnr]],[1]Blad1!$A:$H,8,FALSE)</f>
        <v>Dewulf Els</v>
      </c>
      <c r="F376" s="6">
        <v>45558</v>
      </c>
      <c r="G376" s="5" t="s">
        <v>654</v>
      </c>
      <c r="H376" t="s">
        <v>8</v>
      </c>
      <c r="I376"/>
      <c r="J376" t="e">
        <f>VLOOKUP(bron[[#This Row],[voertuig]],Voertuigen!A:C,3,FALSE)</f>
        <v>#N/A</v>
      </c>
      <c r="K376" t="e">
        <f>VLOOKUP(bron[[#This Row],[voertuig]],Voertuigen!A:C,2,FALSE)</f>
        <v>#N/A</v>
      </c>
      <c r="L376">
        <f>COUNTIF(A:A,bron[[#This Row],[personeelsnr]])</f>
        <v>5</v>
      </c>
    </row>
    <row r="377" spans="1:12" hidden="1" x14ac:dyDescent="0.25">
      <c r="A377">
        <v>26137</v>
      </c>
      <c r="B377" t="str">
        <f>VLOOKUP(bron[[#This Row],[personeelsnr]],[1]Blad1!$A:$H,2,FALSE)</f>
        <v>Hublau Roland</v>
      </c>
      <c r="C377" t="str">
        <f>VLOOKUP(bron[[#This Row],[personeelsnr]],[1]Blad1!$A:$H,3,FALSE)</f>
        <v>Hublau</v>
      </c>
      <c r="D377" t="str">
        <f>VLOOKUP(bron[[#This Row],[personeelsnr]],[1]Blad1!$A:$H,4,FALSE)</f>
        <v>Roland</v>
      </c>
      <c r="E377" s="2" t="str">
        <f>VLOOKUP(bron[[#This Row],[personeelsnr]],[1]Blad1!$A:$H,8,FALSE)</f>
        <v>Storm Steven</v>
      </c>
      <c r="F377" s="6">
        <v>45558</v>
      </c>
      <c r="G377" s="5" t="s">
        <v>655</v>
      </c>
      <c r="H377" t="s">
        <v>8</v>
      </c>
      <c r="I377"/>
      <c r="J377" t="e">
        <f>VLOOKUP(bron[[#This Row],[voertuig]],Voertuigen!A:C,3,FALSE)</f>
        <v>#N/A</v>
      </c>
      <c r="K377" t="e">
        <f>VLOOKUP(bron[[#This Row],[voertuig]],Voertuigen!A:C,2,FALSE)</f>
        <v>#N/A</v>
      </c>
      <c r="L377">
        <f>COUNTIF(A:A,bron[[#This Row],[personeelsnr]])</f>
        <v>4</v>
      </c>
    </row>
    <row r="378" spans="1:12" hidden="1" x14ac:dyDescent="0.25">
      <c r="A378">
        <v>36624</v>
      </c>
      <c r="B378" t="str">
        <f>VLOOKUP(bron[[#This Row],[personeelsnr]],[1]Blad1!$A:$H,2,FALSE)</f>
        <v>De Meulenaere Kurt</v>
      </c>
      <c r="C378" t="str">
        <f>VLOOKUP(bron[[#This Row],[personeelsnr]],[1]Blad1!$A:$H,3,FALSE)</f>
        <v>De Meulenaere</v>
      </c>
      <c r="D378" t="str">
        <f>VLOOKUP(bron[[#This Row],[personeelsnr]],[1]Blad1!$A:$H,4,FALSE)</f>
        <v>Kurt</v>
      </c>
      <c r="E378" s="2" t="str">
        <f>VLOOKUP(bron[[#This Row],[personeelsnr]],[1]Blad1!$A:$H,8,FALSE)</f>
        <v>De Clercq Dominique</v>
      </c>
      <c r="F378" s="6">
        <v>45559</v>
      </c>
      <c r="G378" s="5" t="s">
        <v>656</v>
      </c>
      <c r="H378" t="s">
        <v>17</v>
      </c>
      <c r="I378"/>
      <c r="J378" t="e">
        <f>VLOOKUP(bron[[#This Row],[voertuig]],Voertuigen!A:C,3,FALSE)</f>
        <v>#N/A</v>
      </c>
      <c r="K378" t="e">
        <f>VLOOKUP(bron[[#This Row],[voertuig]],Voertuigen!A:C,2,FALSE)</f>
        <v>#N/A</v>
      </c>
      <c r="L378">
        <f>COUNTIF(A:A,bron[[#This Row],[personeelsnr]])</f>
        <v>3</v>
      </c>
    </row>
    <row r="379" spans="1:12" hidden="1" x14ac:dyDescent="0.25">
      <c r="A379">
        <v>36428</v>
      </c>
      <c r="B379" t="str">
        <f>VLOOKUP(bron[[#This Row],[personeelsnr]],[1]Blad1!$A:$H,2,FALSE)</f>
        <v>Abdi Shaiye Rashid</v>
      </c>
      <c r="C379" t="str">
        <f>VLOOKUP(bron[[#This Row],[personeelsnr]],[1]Blad1!$A:$H,3,FALSE)</f>
        <v>Abdi Shaiye</v>
      </c>
      <c r="D379" t="str">
        <f>VLOOKUP(bron[[#This Row],[personeelsnr]],[1]Blad1!$A:$H,4,FALSE)</f>
        <v>Rashid</v>
      </c>
      <c r="E379" s="2" t="str">
        <f>VLOOKUP(bron[[#This Row],[personeelsnr]],[1]Blad1!$A:$H,8,FALSE)</f>
        <v>Van De Velde Lucie</v>
      </c>
      <c r="F379" s="6">
        <v>45559</v>
      </c>
      <c r="G379" s="5" t="s">
        <v>657</v>
      </c>
      <c r="H379" t="s">
        <v>76</v>
      </c>
      <c r="I379"/>
      <c r="J379" t="e">
        <f>VLOOKUP(bron[[#This Row],[voertuig]],Voertuigen!A:C,3,FALSE)</f>
        <v>#N/A</v>
      </c>
      <c r="K379" t="e">
        <f>VLOOKUP(bron[[#This Row],[voertuig]],Voertuigen!A:C,2,FALSE)</f>
        <v>#N/A</v>
      </c>
      <c r="L379">
        <f>COUNTIF(A:A,bron[[#This Row],[personeelsnr]])</f>
        <v>6</v>
      </c>
    </row>
    <row r="380" spans="1:12" hidden="1" x14ac:dyDescent="0.25">
      <c r="A380">
        <v>40478</v>
      </c>
      <c r="B380" t="str">
        <f>VLOOKUP(bron[[#This Row],[personeelsnr]],[1]Blad1!$A:$H,2,FALSE)</f>
        <v>Hashimi Ali Mir</v>
      </c>
      <c r="C380" t="str">
        <f>VLOOKUP(bron[[#This Row],[personeelsnr]],[1]Blad1!$A:$H,3,FALSE)</f>
        <v>Hashimi</v>
      </c>
      <c r="D380" t="str">
        <f>VLOOKUP(bron[[#This Row],[personeelsnr]],[1]Blad1!$A:$H,4,FALSE)</f>
        <v>Ali Mir</v>
      </c>
      <c r="E380" s="2" t="str">
        <f>VLOOKUP(bron[[#This Row],[personeelsnr]],[1]Blad1!$A:$H,8,FALSE)</f>
        <v>Van Der Beken Bart</v>
      </c>
      <c r="F380" s="6">
        <v>45560</v>
      </c>
      <c r="G380" s="5" t="s">
        <v>658</v>
      </c>
      <c r="H380" t="s">
        <v>30</v>
      </c>
      <c r="I380"/>
      <c r="J380" t="e">
        <f>VLOOKUP(bron[[#This Row],[voertuig]],Voertuigen!A:C,3,FALSE)</f>
        <v>#N/A</v>
      </c>
      <c r="K380" t="e">
        <f>VLOOKUP(bron[[#This Row],[voertuig]],Voertuigen!A:C,2,FALSE)</f>
        <v>#N/A</v>
      </c>
      <c r="L380">
        <f>COUNTIF(A:A,bron[[#This Row],[personeelsnr]])</f>
        <v>4</v>
      </c>
    </row>
    <row r="381" spans="1:12" hidden="1" x14ac:dyDescent="0.25">
      <c r="A381">
        <v>38346</v>
      </c>
      <c r="B381" t="e">
        <f>VLOOKUP(bron[[#This Row],[personeelsnr]],[1]Blad1!$A:$H,2,FALSE)</f>
        <v>#N/A</v>
      </c>
      <c r="C381" t="e">
        <f>VLOOKUP(bron[[#This Row],[personeelsnr]],[1]Blad1!$A:$H,3,FALSE)</f>
        <v>#N/A</v>
      </c>
      <c r="D381" t="e">
        <f>VLOOKUP(bron[[#This Row],[personeelsnr]],[1]Blad1!$A:$H,4,FALSE)</f>
        <v>#N/A</v>
      </c>
      <c r="E381" s="2" t="s">
        <v>221</v>
      </c>
      <c r="F381" s="6">
        <v>45560</v>
      </c>
      <c r="G381" s="5" t="s">
        <v>659</v>
      </c>
      <c r="H381" t="s">
        <v>660</v>
      </c>
      <c r="I381"/>
      <c r="J381" t="e">
        <f>VLOOKUP(bron[[#This Row],[voertuig]],Voertuigen!A:C,3,FALSE)</f>
        <v>#N/A</v>
      </c>
      <c r="K381" t="e">
        <f>VLOOKUP(bron[[#This Row],[voertuig]],Voertuigen!A:C,2,FALSE)</f>
        <v>#N/A</v>
      </c>
      <c r="L381">
        <f>COUNTIF(A:A,bron[[#This Row],[personeelsnr]])</f>
        <v>3</v>
      </c>
    </row>
    <row r="382" spans="1:12" hidden="1" x14ac:dyDescent="0.25">
      <c r="A382">
        <v>9999</v>
      </c>
      <c r="B382" t="e">
        <f>VLOOKUP(bron[[#This Row],[personeelsnr]],[1]Blad1!$A:$H,2,FALSE)</f>
        <v>#N/A</v>
      </c>
      <c r="C382" t="e">
        <f>VLOOKUP(bron[[#This Row],[personeelsnr]],[1]Blad1!$A:$H,3,FALSE)</f>
        <v>#N/A</v>
      </c>
      <c r="D382" t="e">
        <f>VLOOKUP(bron[[#This Row],[personeelsnr]],[1]Blad1!$A:$H,4,FALSE)</f>
        <v>#N/A</v>
      </c>
      <c r="E382" s="2" t="s">
        <v>221</v>
      </c>
      <c r="F382" s="6">
        <v>45561</v>
      </c>
      <c r="G382" s="5" t="s">
        <v>661</v>
      </c>
      <c r="H382" t="s">
        <v>8</v>
      </c>
      <c r="I382"/>
      <c r="J382" t="e">
        <f>VLOOKUP(bron[[#This Row],[voertuig]],Voertuigen!A:C,3,FALSE)</f>
        <v>#N/A</v>
      </c>
      <c r="K382" t="e">
        <f>VLOOKUP(bron[[#This Row],[voertuig]],Voertuigen!A:C,2,FALSE)</f>
        <v>#N/A</v>
      </c>
      <c r="L382">
        <f>COUNTIF(A:A,bron[[#This Row],[personeelsnr]])</f>
        <v>59</v>
      </c>
    </row>
    <row r="383" spans="1:12" hidden="1" x14ac:dyDescent="0.25">
      <c r="A383">
        <v>40006</v>
      </c>
      <c r="B383" t="str">
        <f>VLOOKUP(bron[[#This Row],[personeelsnr]],[1]Blad1!$A:$H,2,FALSE)</f>
        <v>De Ridder Benjamin</v>
      </c>
      <c r="C383" t="str">
        <f>VLOOKUP(bron[[#This Row],[personeelsnr]],[1]Blad1!$A:$H,3,FALSE)</f>
        <v>De Ridder</v>
      </c>
      <c r="D383" t="str">
        <f>VLOOKUP(bron[[#This Row],[personeelsnr]],[1]Blad1!$A:$H,4,FALSE)</f>
        <v>Benjamin</v>
      </c>
      <c r="E383" s="2" t="str">
        <f>VLOOKUP(bron[[#This Row],[personeelsnr]],[1]Blad1!$A:$H,8,FALSE)</f>
        <v>Rotty Christoff</v>
      </c>
      <c r="F383" s="6">
        <v>45562</v>
      </c>
      <c r="G383" s="5" t="s">
        <v>662</v>
      </c>
      <c r="H383" t="s">
        <v>114</v>
      </c>
      <c r="I383"/>
      <c r="J383" t="e">
        <f>VLOOKUP(bron[[#This Row],[voertuig]],Voertuigen!A:C,3,FALSE)</f>
        <v>#N/A</v>
      </c>
      <c r="K383" t="e">
        <f>VLOOKUP(bron[[#This Row],[voertuig]],Voertuigen!A:C,2,FALSE)</f>
        <v>#N/A</v>
      </c>
      <c r="L383">
        <f>COUNTIF(A:A,bron[[#This Row],[personeelsnr]])</f>
        <v>1</v>
      </c>
    </row>
    <row r="384" spans="1:12" hidden="1" x14ac:dyDescent="0.25">
      <c r="A384">
        <v>35055</v>
      </c>
      <c r="B384" t="str">
        <f>VLOOKUP(bron[[#This Row],[personeelsnr]],[1]Blad1!$A:$H,2,FALSE)</f>
        <v>Kocabas Abdülkadir</v>
      </c>
      <c r="C384" t="str">
        <f>VLOOKUP(bron[[#This Row],[personeelsnr]],[1]Blad1!$A:$H,3,FALSE)</f>
        <v>Kocabas</v>
      </c>
      <c r="D384" t="str">
        <f>VLOOKUP(bron[[#This Row],[personeelsnr]],[1]Blad1!$A:$H,4,FALSE)</f>
        <v>Abdülkadir</v>
      </c>
      <c r="E384" s="2" t="str">
        <f>VLOOKUP(bron[[#This Row],[personeelsnr]],[1]Blad1!$A:$H,8,FALSE)</f>
        <v>Vanhoe Els</v>
      </c>
      <c r="F384" s="6">
        <v>45562</v>
      </c>
      <c r="G384" s="5" t="s">
        <v>663</v>
      </c>
      <c r="H384" t="s">
        <v>367</v>
      </c>
      <c r="I384"/>
      <c r="J384" t="e">
        <f>VLOOKUP(bron[[#This Row],[voertuig]],Voertuigen!A:C,3,FALSE)</f>
        <v>#N/A</v>
      </c>
      <c r="K384" t="e">
        <f>VLOOKUP(bron[[#This Row],[voertuig]],Voertuigen!A:C,2,FALSE)</f>
        <v>#N/A</v>
      </c>
      <c r="L384">
        <f>COUNTIF(A:A,bron[[#This Row],[personeelsnr]])</f>
        <v>2</v>
      </c>
    </row>
    <row r="385" spans="1:12" hidden="1" x14ac:dyDescent="0.25">
      <c r="A385">
        <v>8391</v>
      </c>
      <c r="B385" t="str">
        <f>VLOOKUP(bron[[#This Row],[personeelsnr]],[1]Blad1!$A:$H,2,FALSE)</f>
        <v>Lucq Joeri</v>
      </c>
      <c r="C385" t="str">
        <f>VLOOKUP(bron[[#This Row],[personeelsnr]],[1]Blad1!$A:$H,3,FALSE)</f>
        <v>Lucq</v>
      </c>
      <c r="D385" t="str">
        <f>VLOOKUP(bron[[#This Row],[personeelsnr]],[1]Blad1!$A:$H,4,FALSE)</f>
        <v>Joeri</v>
      </c>
      <c r="E385" s="2" t="str">
        <f>VLOOKUP(bron[[#This Row],[personeelsnr]],[1]Blad1!$A:$H,8,FALSE)</f>
        <v>Vanhoe Els</v>
      </c>
      <c r="F385" s="6">
        <v>45563</v>
      </c>
      <c r="G385" s="5" t="s">
        <v>664</v>
      </c>
      <c r="H385" t="s">
        <v>14</v>
      </c>
      <c r="I385"/>
      <c r="J385" t="e">
        <f>VLOOKUP(bron[[#This Row],[voertuig]],Voertuigen!A:C,3,FALSE)</f>
        <v>#N/A</v>
      </c>
      <c r="K385" t="e">
        <f>VLOOKUP(bron[[#This Row],[voertuig]],Voertuigen!A:C,2,FALSE)</f>
        <v>#N/A</v>
      </c>
      <c r="L385">
        <f>COUNTIF(A:A,bron[[#This Row],[personeelsnr]])</f>
        <v>1</v>
      </c>
    </row>
    <row r="386" spans="1:12" hidden="1" x14ac:dyDescent="0.25">
      <c r="A386">
        <v>40761</v>
      </c>
      <c r="B386" t="str">
        <f>VLOOKUP(bron[[#This Row],[personeelsnr]],[1]Blad1!$A:$H,2,FALSE)</f>
        <v>De Vijlder Wim</v>
      </c>
      <c r="C386" t="str">
        <f>VLOOKUP(bron[[#This Row],[personeelsnr]],[1]Blad1!$A:$H,3,FALSE)</f>
        <v>De Vijlder</v>
      </c>
      <c r="D386" t="str">
        <f>VLOOKUP(bron[[#This Row],[personeelsnr]],[1]Blad1!$A:$H,4,FALSE)</f>
        <v>Wim</v>
      </c>
      <c r="E386" s="2" t="str">
        <f>VLOOKUP(bron[[#This Row],[personeelsnr]],[1]Blad1!$A:$H,8,FALSE)</f>
        <v>De Rick Kenneth</v>
      </c>
      <c r="F386" s="6">
        <v>45563</v>
      </c>
      <c r="G386" s="5" t="s">
        <v>665</v>
      </c>
      <c r="H386" t="s">
        <v>8</v>
      </c>
      <c r="I386"/>
      <c r="J386" t="e">
        <f>VLOOKUP(bron[[#This Row],[voertuig]],Voertuigen!A:C,3,FALSE)</f>
        <v>#N/A</v>
      </c>
      <c r="K386" t="e">
        <f>VLOOKUP(bron[[#This Row],[voertuig]],Voertuigen!A:C,2,FALSE)</f>
        <v>#N/A</v>
      </c>
      <c r="L386">
        <f>COUNTIF(A:A,bron[[#This Row],[personeelsnr]])</f>
        <v>1</v>
      </c>
    </row>
    <row r="387" spans="1:12" hidden="1" x14ac:dyDescent="0.25">
      <c r="A387">
        <v>20404</v>
      </c>
      <c r="B387" t="str">
        <f>VLOOKUP(bron[[#This Row],[personeelsnr]],[1]Blad1!$A:$H,2,FALSE)</f>
        <v>Vranken Kenneth</v>
      </c>
      <c r="C387" t="str">
        <f>VLOOKUP(bron[[#This Row],[personeelsnr]],[1]Blad1!$A:$H,3,FALSE)</f>
        <v>Vranken</v>
      </c>
      <c r="D387" t="str">
        <f>VLOOKUP(bron[[#This Row],[personeelsnr]],[1]Blad1!$A:$H,4,FALSE)</f>
        <v>Kenneth</v>
      </c>
      <c r="E387" s="2" t="str">
        <f>VLOOKUP(bron[[#This Row],[personeelsnr]],[1]Blad1!$A:$H,8,FALSE)</f>
        <v>Rotty Christoff</v>
      </c>
      <c r="F387" s="6">
        <v>45567</v>
      </c>
      <c r="G387" s="5" t="s">
        <v>666</v>
      </c>
      <c r="H387" t="s">
        <v>667</v>
      </c>
      <c r="I387"/>
      <c r="J387" t="e">
        <f>VLOOKUP(bron[[#This Row],[voertuig]],Voertuigen!A:C,3,FALSE)</f>
        <v>#N/A</v>
      </c>
      <c r="K387" t="e">
        <f>VLOOKUP(bron[[#This Row],[voertuig]],Voertuigen!A:C,2,FALSE)</f>
        <v>#N/A</v>
      </c>
      <c r="L387">
        <f>COUNTIF(A:A,bron[[#This Row],[personeelsnr]])</f>
        <v>2</v>
      </c>
    </row>
    <row r="388" spans="1:12" hidden="1" x14ac:dyDescent="0.25">
      <c r="A388">
        <v>34325</v>
      </c>
      <c r="B388" t="str">
        <f>VLOOKUP(bron[[#This Row],[personeelsnr]],[1]Blad1!$A:$H,2,FALSE)</f>
        <v>Eid Mathyn</v>
      </c>
      <c r="C388" t="str">
        <f>VLOOKUP(bron[[#This Row],[personeelsnr]],[1]Blad1!$A:$H,3,FALSE)</f>
        <v>Eid</v>
      </c>
      <c r="D388" t="str">
        <f>VLOOKUP(bron[[#This Row],[personeelsnr]],[1]Blad1!$A:$H,4,FALSE)</f>
        <v>Mathyn</v>
      </c>
      <c r="E388" s="2" t="str">
        <f>VLOOKUP(bron[[#This Row],[personeelsnr]],[1]Blad1!$A:$H,8,FALSE)</f>
        <v>Storm Steven</v>
      </c>
      <c r="F388" s="6">
        <v>45568</v>
      </c>
      <c r="G388" s="5" t="s">
        <v>668</v>
      </c>
      <c r="H388" t="s">
        <v>34</v>
      </c>
      <c r="I388"/>
      <c r="J388" t="e">
        <f>VLOOKUP(bron[[#This Row],[voertuig]],Voertuigen!A:C,3,FALSE)</f>
        <v>#N/A</v>
      </c>
      <c r="K388" t="e">
        <f>VLOOKUP(bron[[#This Row],[voertuig]],Voertuigen!A:C,2,FALSE)</f>
        <v>#N/A</v>
      </c>
      <c r="L388">
        <f>COUNTIF(A:A,bron[[#This Row],[personeelsnr]])</f>
        <v>5</v>
      </c>
    </row>
    <row r="389" spans="1:12" hidden="1" x14ac:dyDescent="0.25">
      <c r="A389">
        <v>34286</v>
      </c>
      <c r="B389" t="str">
        <f>VLOOKUP(bron[[#This Row],[personeelsnr]],[1]Blad1!$A:$H,2,FALSE)</f>
        <v>Ghani Mozamil</v>
      </c>
      <c r="C389" t="str">
        <f>VLOOKUP(bron[[#This Row],[personeelsnr]],[1]Blad1!$A:$H,3,FALSE)</f>
        <v>Ghani</v>
      </c>
      <c r="D389" t="str">
        <f>VLOOKUP(bron[[#This Row],[personeelsnr]],[1]Blad1!$A:$H,4,FALSE)</f>
        <v>Mozamil</v>
      </c>
      <c r="E389" s="2" t="str">
        <f>VLOOKUP(bron[[#This Row],[personeelsnr]],[1]Blad1!$A:$H,8,FALSE)</f>
        <v>Storm Steven</v>
      </c>
      <c r="F389" s="6">
        <v>45569</v>
      </c>
      <c r="G389" s="5" t="s">
        <v>669</v>
      </c>
      <c r="H389" t="s">
        <v>48</v>
      </c>
      <c r="I389"/>
      <c r="J389" t="e">
        <f>VLOOKUP(bron[[#This Row],[voertuig]],Voertuigen!A:C,3,FALSE)</f>
        <v>#N/A</v>
      </c>
      <c r="K389" t="e">
        <f>VLOOKUP(bron[[#This Row],[voertuig]],Voertuigen!A:C,2,FALSE)</f>
        <v>#N/A</v>
      </c>
      <c r="L389">
        <f>COUNTIF(A:A,bron[[#This Row],[personeelsnr]])</f>
        <v>2</v>
      </c>
    </row>
    <row r="390" spans="1:12" hidden="1" x14ac:dyDescent="0.25">
      <c r="A390">
        <v>26137</v>
      </c>
      <c r="B390" t="str">
        <f>VLOOKUP(bron[[#This Row],[personeelsnr]],[1]Blad1!$A:$H,2,FALSE)</f>
        <v>Hublau Roland</v>
      </c>
      <c r="C390" t="str">
        <f>VLOOKUP(bron[[#This Row],[personeelsnr]],[1]Blad1!$A:$H,3,FALSE)</f>
        <v>Hublau</v>
      </c>
      <c r="D390" t="str">
        <f>VLOOKUP(bron[[#This Row],[personeelsnr]],[1]Blad1!$A:$H,4,FALSE)</f>
        <v>Roland</v>
      </c>
      <c r="E390" s="2" t="str">
        <f>VLOOKUP(bron[[#This Row],[personeelsnr]],[1]Blad1!$A:$H,8,FALSE)</f>
        <v>Storm Steven</v>
      </c>
      <c r="F390" s="6">
        <v>45570</v>
      </c>
      <c r="G390" s="5" t="s">
        <v>670</v>
      </c>
      <c r="H390" t="s">
        <v>40</v>
      </c>
      <c r="I390"/>
      <c r="J390" t="e">
        <f>VLOOKUP(bron[[#This Row],[voertuig]],Voertuigen!A:C,3,FALSE)</f>
        <v>#N/A</v>
      </c>
      <c r="K390" t="e">
        <f>VLOOKUP(bron[[#This Row],[voertuig]],Voertuigen!A:C,2,FALSE)</f>
        <v>#N/A</v>
      </c>
      <c r="L390">
        <f>COUNTIF(A:A,bron[[#This Row],[personeelsnr]])</f>
        <v>4</v>
      </c>
    </row>
    <row r="391" spans="1:12" hidden="1" x14ac:dyDescent="0.25">
      <c r="A391">
        <v>37683</v>
      </c>
      <c r="B391" t="str">
        <f>VLOOKUP(bron[[#This Row],[personeelsnr]],[1]Blad1!$A:$H,2,FALSE)</f>
        <v>De Boever Charlotte</v>
      </c>
      <c r="C391" t="str">
        <f>VLOOKUP(bron[[#This Row],[personeelsnr]],[1]Blad1!$A:$H,3,FALSE)</f>
        <v>De Boever</v>
      </c>
      <c r="D391" t="str">
        <f>VLOOKUP(bron[[#This Row],[personeelsnr]],[1]Blad1!$A:$H,4,FALSE)</f>
        <v>Charlotte</v>
      </c>
      <c r="E391" s="2" t="str">
        <f>VLOOKUP(bron[[#This Row],[personeelsnr]],[1]Blad1!$A:$H,8,FALSE)</f>
        <v>Storm Steven</v>
      </c>
      <c r="F391" s="6">
        <v>45572</v>
      </c>
      <c r="G391" s="5" t="s">
        <v>671</v>
      </c>
      <c r="H391" t="s">
        <v>8</v>
      </c>
      <c r="I391"/>
      <c r="J391" t="e">
        <f>VLOOKUP(bron[[#This Row],[voertuig]],Voertuigen!A:C,3,FALSE)</f>
        <v>#N/A</v>
      </c>
      <c r="K391" t="e">
        <f>VLOOKUP(bron[[#This Row],[voertuig]],Voertuigen!A:C,2,FALSE)</f>
        <v>#N/A</v>
      </c>
      <c r="L391">
        <f>COUNTIF(A:A,bron[[#This Row],[personeelsnr]])</f>
        <v>1</v>
      </c>
    </row>
    <row r="392" spans="1:12" hidden="1" x14ac:dyDescent="0.25">
      <c r="A392">
        <v>38529</v>
      </c>
      <c r="B392" t="str">
        <f>VLOOKUP(bron[[#This Row],[personeelsnr]],[1]Blad1!$A:$H,2,FALSE)</f>
        <v>Huyghe Jan</v>
      </c>
      <c r="C392" t="str">
        <f>VLOOKUP(bron[[#This Row],[personeelsnr]],[1]Blad1!$A:$H,3,FALSE)</f>
        <v>Huyghe</v>
      </c>
      <c r="D392" t="str">
        <f>VLOOKUP(bron[[#This Row],[personeelsnr]],[1]Blad1!$A:$H,4,FALSE)</f>
        <v>Jan</v>
      </c>
      <c r="E392" s="2" t="str">
        <f>VLOOKUP(bron[[#This Row],[personeelsnr]],[1]Blad1!$A:$H,8,FALSE)</f>
        <v>Dewulf Els</v>
      </c>
      <c r="F392" s="6">
        <v>45573</v>
      </c>
      <c r="G392" s="5" t="s">
        <v>672</v>
      </c>
      <c r="H392" t="s">
        <v>130</v>
      </c>
      <c r="I392"/>
      <c r="J392" t="e">
        <f>VLOOKUP(bron[[#This Row],[voertuig]],Voertuigen!A:C,3,FALSE)</f>
        <v>#N/A</v>
      </c>
      <c r="K392" t="e">
        <f>VLOOKUP(bron[[#This Row],[voertuig]],Voertuigen!A:C,2,FALSE)</f>
        <v>#N/A</v>
      </c>
      <c r="L392">
        <f>COUNTIF(A:A,bron[[#This Row],[personeelsnr]])</f>
        <v>5</v>
      </c>
    </row>
    <row r="393" spans="1:12" hidden="1" x14ac:dyDescent="0.25">
      <c r="A393">
        <v>39013</v>
      </c>
      <c r="B393" t="str">
        <f>VLOOKUP(bron[[#This Row],[personeelsnr]],[1]Blad1!$A:$H,2,FALSE)</f>
        <v>Asrih Habib</v>
      </c>
      <c r="C393" t="str">
        <f>VLOOKUP(bron[[#This Row],[personeelsnr]],[1]Blad1!$A:$H,3,FALSE)</f>
        <v>Asrih</v>
      </c>
      <c r="D393" t="str">
        <f>VLOOKUP(bron[[#This Row],[personeelsnr]],[1]Blad1!$A:$H,4,FALSE)</f>
        <v>Habib</v>
      </c>
      <c r="E393" s="2" t="str">
        <f>VLOOKUP(bron[[#This Row],[personeelsnr]],[1]Blad1!$A:$H,8,FALSE)</f>
        <v>Dewulf Els</v>
      </c>
      <c r="F393" s="6">
        <v>45573</v>
      </c>
      <c r="G393" s="5" t="s">
        <v>673</v>
      </c>
      <c r="H393" t="s">
        <v>112</v>
      </c>
      <c r="I393"/>
      <c r="J393" t="e">
        <f>VLOOKUP(bron[[#This Row],[voertuig]],Voertuigen!A:C,3,FALSE)</f>
        <v>#N/A</v>
      </c>
      <c r="K393" t="e">
        <f>VLOOKUP(bron[[#This Row],[voertuig]],Voertuigen!A:C,2,FALSE)</f>
        <v>#N/A</v>
      </c>
      <c r="L393">
        <f>COUNTIF(A:A,bron[[#This Row],[personeelsnr]])</f>
        <v>3</v>
      </c>
    </row>
    <row r="394" spans="1:12" hidden="1" x14ac:dyDescent="0.25">
      <c r="A394">
        <v>39673</v>
      </c>
      <c r="B394" t="str">
        <f>VLOOKUP(bron[[#This Row],[personeelsnr]],[1]Blad1!$A:$H,2,FALSE)</f>
        <v>Steurbaut Henri</v>
      </c>
      <c r="C394" t="str">
        <f>VLOOKUP(bron[[#This Row],[personeelsnr]],[1]Blad1!$A:$H,3,FALSE)</f>
        <v>Steurbaut</v>
      </c>
      <c r="D394" t="str">
        <f>VLOOKUP(bron[[#This Row],[personeelsnr]],[1]Blad1!$A:$H,4,FALSE)</f>
        <v>Henri</v>
      </c>
      <c r="E394" s="2" t="str">
        <f>VLOOKUP(bron[[#This Row],[personeelsnr]],[1]Blad1!$A:$H,8,FALSE)</f>
        <v>Vanhoe Els</v>
      </c>
      <c r="F394" s="6">
        <v>45574</v>
      </c>
      <c r="G394" s="5" t="s">
        <v>674</v>
      </c>
      <c r="H394" t="s">
        <v>675</v>
      </c>
      <c r="I394"/>
      <c r="J394" t="e">
        <f>VLOOKUP(bron[[#This Row],[voertuig]],Voertuigen!A:C,3,FALSE)</f>
        <v>#N/A</v>
      </c>
      <c r="K394" t="e">
        <f>VLOOKUP(bron[[#This Row],[voertuig]],Voertuigen!A:C,2,FALSE)</f>
        <v>#N/A</v>
      </c>
      <c r="L394">
        <f>COUNTIF(A:A,bron[[#This Row],[personeelsnr]])</f>
        <v>5</v>
      </c>
    </row>
    <row r="395" spans="1:12" hidden="1" x14ac:dyDescent="0.25">
      <c r="A395">
        <v>26266</v>
      </c>
      <c r="B395" t="str">
        <f>VLOOKUP(bron[[#This Row],[personeelsnr]],[1]Blad1!$A:$H,2,FALSE)</f>
        <v>Gök Murat</v>
      </c>
      <c r="C395" t="str">
        <f>VLOOKUP(bron[[#This Row],[personeelsnr]],[1]Blad1!$A:$H,3,FALSE)</f>
        <v>Gök</v>
      </c>
      <c r="D395" t="str">
        <f>VLOOKUP(bron[[#This Row],[personeelsnr]],[1]Blad1!$A:$H,4,FALSE)</f>
        <v>Murat</v>
      </c>
      <c r="E395" s="2" t="str">
        <f>VLOOKUP(bron[[#This Row],[personeelsnr]],[1]Blad1!$A:$H,8,FALSE)</f>
        <v>Vanhoe Els</v>
      </c>
      <c r="F395" s="6">
        <v>45574</v>
      </c>
      <c r="G395" s="5" t="s">
        <v>676</v>
      </c>
      <c r="H395" t="s">
        <v>76</v>
      </c>
      <c r="I395"/>
      <c r="J395" t="e">
        <f>VLOOKUP(bron[[#This Row],[voertuig]],Voertuigen!A:C,3,FALSE)</f>
        <v>#N/A</v>
      </c>
      <c r="K395" t="e">
        <f>VLOOKUP(bron[[#This Row],[voertuig]],Voertuigen!A:C,2,FALSE)</f>
        <v>#N/A</v>
      </c>
      <c r="L395">
        <f>COUNTIF(A:A,bron[[#This Row],[personeelsnr]])</f>
        <v>1</v>
      </c>
    </row>
    <row r="396" spans="1:12" hidden="1" x14ac:dyDescent="0.25">
      <c r="A396">
        <v>36626</v>
      </c>
      <c r="B396" t="str">
        <f>VLOOKUP(bron[[#This Row],[personeelsnr]],[1]Blad1!$A:$H,2,FALSE)</f>
        <v>Kartal Kadir</v>
      </c>
      <c r="C396" t="str">
        <f>VLOOKUP(bron[[#This Row],[personeelsnr]],[1]Blad1!$A:$H,3,FALSE)</f>
        <v>Kartal</v>
      </c>
      <c r="D396" t="str">
        <f>VLOOKUP(bron[[#This Row],[personeelsnr]],[1]Blad1!$A:$H,4,FALSE)</f>
        <v>Kadir</v>
      </c>
      <c r="E396" s="2" t="str">
        <f>VLOOKUP(bron[[#This Row],[personeelsnr]],[1]Blad1!$A:$H,8,FALSE)</f>
        <v>Dewulf Els</v>
      </c>
      <c r="F396" s="6">
        <v>45574</v>
      </c>
      <c r="G396" s="5" t="s">
        <v>677</v>
      </c>
      <c r="H396" t="s">
        <v>25</v>
      </c>
      <c r="I396"/>
      <c r="J396" t="e">
        <f>VLOOKUP(bron[[#This Row],[voertuig]],Voertuigen!A:C,3,FALSE)</f>
        <v>#N/A</v>
      </c>
      <c r="K396" t="e">
        <f>VLOOKUP(bron[[#This Row],[voertuig]],Voertuigen!A:C,2,FALSE)</f>
        <v>#N/A</v>
      </c>
      <c r="L396">
        <f>COUNTIF(A:A,bron[[#This Row],[personeelsnr]])</f>
        <v>10</v>
      </c>
    </row>
    <row r="397" spans="1:12" hidden="1" x14ac:dyDescent="0.25">
      <c r="A397">
        <v>27153</v>
      </c>
      <c r="B397" t="str">
        <f>VLOOKUP(bron[[#This Row],[personeelsnr]],[1]Blad1!$A:$H,2,FALSE)</f>
        <v>Oben Thibaud</v>
      </c>
      <c r="C397" t="str">
        <f>VLOOKUP(bron[[#This Row],[personeelsnr]],[1]Blad1!$A:$H,3,FALSE)</f>
        <v>Oben</v>
      </c>
      <c r="D397" t="str">
        <f>VLOOKUP(bron[[#This Row],[personeelsnr]],[1]Blad1!$A:$H,4,FALSE)</f>
        <v>Thibaud</v>
      </c>
      <c r="E397" s="2" t="str">
        <f>VLOOKUP(bron[[#This Row],[personeelsnr]],[1]Blad1!$A:$H,8,FALSE)</f>
        <v>Rotty Christoff</v>
      </c>
      <c r="F397" s="6">
        <v>45575</v>
      </c>
      <c r="G397" s="5" t="s">
        <v>678</v>
      </c>
      <c r="H397" t="s">
        <v>19</v>
      </c>
      <c r="I397"/>
      <c r="J397" t="e">
        <f>VLOOKUP(bron[[#This Row],[voertuig]],Voertuigen!A:C,3,FALSE)</f>
        <v>#N/A</v>
      </c>
      <c r="K397" t="e">
        <f>VLOOKUP(bron[[#This Row],[voertuig]],Voertuigen!A:C,2,FALSE)</f>
        <v>#N/A</v>
      </c>
      <c r="L397">
        <f>COUNTIF(A:A,bron[[#This Row],[personeelsnr]])</f>
        <v>3</v>
      </c>
    </row>
    <row r="398" spans="1:12" hidden="1" x14ac:dyDescent="0.25">
      <c r="A398">
        <v>9999</v>
      </c>
      <c r="B398" t="e">
        <f>VLOOKUP(bron[[#This Row],[personeelsnr]],[1]Blad1!$A:$H,2,FALSE)</f>
        <v>#N/A</v>
      </c>
      <c r="C398" t="e">
        <f>VLOOKUP(bron[[#This Row],[personeelsnr]],[1]Blad1!$A:$H,3,FALSE)</f>
        <v>#N/A</v>
      </c>
      <c r="D398" t="e">
        <f>VLOOKUP(bron[[#This Row],[personeelsnr]],[1]Blad1!$A:$H,4,FALSE)</f>
        <v>#N/A</v>
      </c>
      <c r="E398" s="2" t="s">
        <v>221</v>
      </c>
      <c r="F398" s="6">
        <v>45576</v>
      </c>
      <c r="G398" s="5" t="s">
        <v>679</v>
      </c>
      <c r="H398" t="s">
        <v>9</v>
      </c>
      <c r="I398"/>
      <c r="J398" t="e">
        <f>VLOOKUP(bron[[#This Row],[voertuig]],Voertuigen!A:C,3,FALSE)</f>
        <v>#N/A</v>
      </c>
      <c r="K398" t="e">
        <f>VLOOKUP(bron[[#This Row],[voertuig]],Voertuigen!A:C,2,FALSE)</f>
        <v>#N/A</v>
      </c>
      <c r="L398">
        <f>COUNTIF(A:A,bron[[#This Row],[personeelsnr]])</f>
        <v>59</v>
      </c>
    </row>
    <row r="399" spans="1:12" hidden="1" x14ac:dyDescent="0.25">
      <c r="A399">
        <v>38551</v>
      </c>
      <c r="B399" t="str">
        <f>VLOOKUP(bron[[#This Row],[personeelsnr]],[1]Blad1!$A:$H,2,FALSE)</f>
        <v>Alassad Ahmad</v>
      </c>
      <c r="C399" t="str">
        <f>VLOOKUP(bron[[#This Row],[personeelsnr]],[1]Blad1!$A:$H,3,FALSE)</f>
        <v>Alassad</v>
      </c>
      <c r="D399" t="str">
        <f>VLOOKUP(bron[[#This Row],[personeelsnr]],[1]Blad1!$A:$H,4,FALSE)</f>
        <v>Ahmad</v>
      </c>
      <c r="E399" s="2" t="str">
        <f>VLOOKUP(bron[[#This Row],[personeelsnr]],[1]Blad1!$A:$H,8,FALSE)</f>
        <v>Van Der Beken Bart</v>
      </c>
      <c r="F399" s="6">
        <v>45577</v>
      </c>
      <c r="G399" s="5" t="s">
        <v>680</v>
      </c>
      <c r="H399" t="s">
        <v>153</v>
      </c>
      <c r="I399"/>
      <c r="J399" t="e">
        <f>VLOOKUP(bron[[#This Row],[voertuig]],Voertuigen!A:C,3,FALSE)</f>
        <v>#N/A</v>
      </c>
      <c r="K399" t="e">
        <f>VLOOKUP(bron[[#This Row],[voertuig]],Voertuigen!A:C,2,FALSE)</f>
        <v>#N/A</v>
      </c>
      <c r="L399">
        <f>COUNTIF(A:A,bron[[#This Row],[personeelsnr]])</f>
        <v>1</v>
      </c>
    </row>
    <row r="400" spans="1:12" hidden="1" x14ac:dyDescent="0.25">
      <c r="A400">
        <v>39532</v>
      </c>
      <c r="B400" t="str">
        <f>VLOOKUP(bron[[#This Row],[personeelsnr]],[1]Blad1!$A:$H,2,FALSE)</f>
        <v>Sahin Orhan</v>
      </c>
      <c r="C400" t="str">
        <f>VLOOKUP(bron[[#This Row],[personeelsnr]],[1]Blad1!$A:$H,3,FALSE)</f>
        <v>Sahin</v>
      </c>
      <c r="D400" t="str">
        <f>VLOOKUP(bron[[#This Row],[personeelsnr]],[1]Blad1!$A:$H,4,FALSE)</f>
        <v>Orhan</v>
      </c>
      <c r="E400" s="2" t="str">
        <f>VLOOKUP(bron[[#This Row],[personeelsnr]],[1]Blad1!$A:$H,8,FALSE)</f>
        <v>Rotty Christoff</v>
      </c>
      <c r="F400" s="6">
        <v>45578</v>
      </c>
      <c r="G400" s="5" t="s">
        <v>681</v>
      </c>
      <c r="H400" t="s">
        <v>10</v>
      </c>
      <c r="I400"/>
      <c r="J400" t="e">
        <f>VLOOKUP(bron[[#This Row],[voertuig]],Voertuigen!A:C,3,FALSE)</f>
        <v>#N/A</v>
      </c>
      <c r="K400" t="e">
        <f>VLOOKUP(bron[[#This Row],[voertuig]],Voertuigen!A:C,2,FALSE)</f>
        <v>#N/A</v>
      </c>
      <c r="L400">
        <f>COUNTIF(A:A,bron[[#This Row],[personeelsnr]])</f>
        <v>7</v>
      </c>
    </row>
    <row r="401" spans="1:12" hidden="1" x14ac:dyDescent="0.25">
      <c r="A401">
        <v>5718</v>
      </c>
      <c r="B401" t="str">
        <f>VLOOKUP(bron[[#This Row],[personeelsnr]],[1]Blad1!$A:$H,2,FALSE)</f>
        <v>Dejonckheere Inge</v>
      </c>
      <c r="C401" t="str">
        <f>VLOOKUP(bron[[#This Row],[personeelsnr]],[1]Blad1!$A:$H,3,FALSE)</f>
        <v>Dejonckheere</v>
      </c>
      <c r="D401" t="str">
        <f>VLOOKUP(bron[[#This Row],[personeelsnr]],[1]Blad1!$A:$H,4,FALSE)</f>
        <v>Inge</v>
      </c>
      <c r="E401" s="2" t="str">
        <f>VLOOKUP(bron[[#This Row],[personeelsnr]],[1]Blad1!$A:$H,8,FALSE)</f>
        <v>De Rick Kenneth</v>
      </c>
      <c r="F401" s="6">
        <v>45579</v>
      </c>
      <c r="G401" s="5" t="s">
        <v>682</v>
      </c>
      <c r="H401" t="s">
        <v>8</v>
      </c>
      <c r="I401"/>
      <c r="J401" t="e">
        <f>VLOOKUP(bron[[#This Row],[voertuig]],Voertuigen!A:C,3,FALSE)</f>
        <v>#N/A</v>
      </c>
      <c r="K401" t="e">
        <f>VLOOKUP(bron[[#This Row],[voertuig]],Voertuigen!A:C,2,FALSE)</f>
        <v>#N/A</v>
      </c>
      <c r="L401">
        <f>COUNTIF(A:A,bron[[#This Row],[personeelsnr]])</f>
        <v>2</v>
      </c>
    </row>
    <row r="402" spans="1:12" hidden="1" x14ac:dyDescent="0.25">
      <c r="A402">
        <v>40608</v>
      </c>
      <c r="B402" t="str">
        <f>VLOOKUP(bron[[#This Row],[personeelsnr]],[1]Blad1!$A:$H,2,FALSE)</f>
        <v>Kurti Domeniko</v>
      </c>
      <c r="C402" t="str">
        <f>VLOOKUP(bron[[#This Row],[personeelsnr]],[1]Blad1!$A:$H,3,FALSE)</f>
        <v>Kurti</v>
      </c>
      <c r="D402" t="str">
        <f>VLOOKUP(bron[[#This Row],[personeelsnr]],[1]Blad1!$A:$H,4,FALSE)</f>
        <v>Domeniko</v>
      </c>
      <c r="E402" s="2" t="str">
        <f>VLOOKUP(bron[[#This Row],[personeelsnr]],[1]Blad1!$A:$H,8,FALSE)</f>
        <v>Van De Velde Lucie</v>
      </c>
      <c r="F402" s="6">
        <v>45579</v>
      </c>
      <c r="G402" s="5" t="s">
        <v>683</v>
      </c>
      <c r="H402" t="s">
        <v>73</v>
      </c>
      <c r="I402"/>
      <c r="J402" t="e">
        <f>VLOOKUP(bron[[#This Row],[voertuig]],Voertuigen!A:C,3,FALSE)</f>
        <v>#N/A</v>
      </c>
      <c r="K402" t="e">
        <f>VLOOKUP(bron[[#This Row],[voertuig]],Voertuigen!A:C,2,FALSE)</f>
        <v>#N/A</v>
      </c>
      <c r="L402">
        <f>COUNTIF(A:A,bron[[#This Row],[personeelsnr]])</f>
        <v>1</v>
      </c>
    </row>
    <row r="403" spans="1:12" hidden="1" x14ac:dyDescent="0.25">
      <c r="A403">
        <v>6310</v>
      </c>
      <c r="B403" t="e">
        <f>VLOOKUP(bron[[#This Row],[personeelsnr]],[1]Blad1!$A:$H,2,FALSE)</f>
        <v>#N/A</v>
      </c>
      <c r="C403" t="e">
        <f>VLOOKUP(bron[[#This Row],[personeelsnr]],[1]Blad1!$A:$H,3,FALSE)</f>
        <v>#N/A</v>
      </c>
      <c r="D403" t="e">
        <f>VLOOKUP(bron[[#This Row],[personeelsnr]],[1]Blad1!$A:$H,4,FALSE)</f>
        <v>#N/A</v>
      </c>
      <c r="E403" s="2" t="s">
        <v>221</v>
      </c>
      <c r="F403" s="6">
        <v>45579</v>
      </c>
      <c r="G403" s="5" t="s">
        <v>684</v>
      </c>
      <c r="H403" t="s">
        <v>76</v>
      </c>
      <c r="I403"/>
      <c r="J403" t="e">
        <f>VLOOKUP(bron[[#This Row],[voertuig]],Voertuigen!A:C,3,FALSE)</f>
        <v>#N/A</v>
      </c>
      <c r="K403" t="e">
        <f>VLOOKUP(bron[[#This Row],[voertuig]],Voertuigen!A:C,2,FALSE)</f>
        <v>#N/A</v>
      </c>
      <c r="L403">
        <f>COUNTIF(A:A,bron[[#This Row],[personeelsnr]])</f>
        <v>3</v>
      </c>
    </row>
    <row r="404" spans="1:12" hidden="1" x14ac:dyDescent="0.25">
      <c r="A404">
        <v>33965</v>
      </c>
      <c r="B404" t="e">
        <f>VLOOKUP(bron[[#This Row],[personeelsnr]],[1]Blad1!$A:$H,2,FALSE)</f>
        <v>#N/A</v>
      </c>
      <c r="C404" t="e">
        <f>VLOOKUP(bron[[#This Row],[personeelsnr]],[1]Blad1!$A:$H,3,FALSE)</f>
        <v>#N/A</v>
      </c>
      <c r="D404" t="e">
        <f>VLOOKUP(bron[[#This Row],[personeelsnr]],[1]Blad1!$A:$H,4,FALSE)</f>
        <v>#N/A</v>
      </c>
      <c r="E404" s="2" t="s">
        <v>221</v>
      </c>
      <c r="F404" s="6">
        <v>45579</v>
      </c>
      <c r="G404" s="5" t="s">
        <v>685</v>
      </c>
      <c r="H404" t="s">
        <v>7</v>
      </c>
      <c r="I404"/>
      <c r="J404" t="e">
        <f>VLOOKUP(bron[[#This Row],[voertuig]],Voertuigen!A:C,3,FALSE)</f>
        <v>#N/A</v>
      </c>
      <c r="K404" t="e">
        <f>VLOOKUP(bron[[#This Row],[voertuig]],Voertuigen!A:C,2,FALSE)</f>
        <v>#N/A</v>
      </c>
      <c r="L404">
        <f>COUNTIF(A:A,bron[[#This Row],[personeelsnr]])</f>
        <v>10</v>
      </c>
    </row>
    <row r="405" spans="1:12" hidden="1" x14ac:dyDescent="0.25">
      <c r="A405">
        <v>39779</v>
      </c>
      <c r="B405" t="str">
        <f>VLOOKUP(bron[[#This Row],[personeelsnr]],[1]Blad1!$A:$H,2,FALSE)</f>
        <v>Avci Muhammet Abdullah</v>
      </c>
      <c r="C405" t="str">
        <f>VLOOKUP(bron[[#This Row],[personeelsnr]],[1]Blad1!$A:$H,3,FALSE)</f>
        <v>Avci</v>
      </c>
      <c r="D405" t="str">
        <f>VLOOKUP(bron[[#This Row],[personeelsnr]],[1]Blad1!$A:$H,4,FALSE)</f>
        <v>Muhammet Abdullah</v>
      </c>
      <c r="E405" s="2" t="str">
        <f>VLOOKUP(bron[[#This Row],[personeelsnr]],[1]Blad1!$A:$H,8,FALSE)</f>
        <v>Van Der Beken Bart</v>
      </c>
      <c r="F405" s="6">
        <v>45579</v>
      </c>
      <c r="G405" s="5" t="s">
        <v>686</v>
      </c>
      <c r="H405" t="s">
        <v>11</v>
      </c>
      <c r="I405"/>
      <c r="J405" t="e">
        <f>VLOOKUP(bron[[#This Row],[voertuig]],Voertuigen!A:C,3,FALSE)</f>
        <v>#N/A</v>
      </c>
      <c r="K405" t="e">
        <f>VLOOKUP(bron[[#This Row],[voertuig]],Voertuigen!A:C,2,FALSE)</f>
        <v>#N/A</v>
      </c>
      <c r="L405">
        <f>COUNTIF(A:A,bron[[#This Row],[personeelsnr]])</f>
        <v>7</v>
      </c>
    </row>
    <row r="406" spans="1:12" hidden="1" x14ac:dyDescent="0.25">
      <c r="A406">
        <v>36569</v>
      </c>
      <c r="B406" t="e">
        <f>VLOOKUP(bron[[#This Row],[personeelsnr]],[1]Blad1!$A:$H,2,FALSE)</f>
        <v>#N/A</v>
      </c>
      <c r="C406" t="e">
        <f>VLOOKUP(bron[[#This Row],[personeelsnr]],[1]Blad1!$A:$H,3,FALSE)</f>
        <v>#N/A</v>
      </c>
      <c r="D406" t="e">
        <f>VLOOKUP(bron[[#This Row],[personeelsnr]],[1]Blad1!$A:$H,4,FALSE)</f>
        <v>#N/A</v>
      </c>
      <c r="E406" s="2" t="s">
        <v>221</v>
      </c>
      <c r="F406" s="6">
        <v>45580</v>
      </c>
      <c r="G406" s="5" t="s">
        <v>687</v>
      </c>
      <c r="H406" t="s">
        <v>8</v>
      </c>
      <c r="I406"/>
      <c r="J406" t="e">
        <f>VLOOKUP(bron[[#This Row],[voertuig]],Voertuigen!A:C,3,FALSE)</f>
        <v>#N/A</v>
      </c>
      <c r="K406" t="e">
        <f>VLOOKUP(bron[[#This Row],[voertuig]],Voertuigen!A:C,2,FALSE)</f>
        <v>#N/A</v>
      </c>
      <c r="L406">
        <f>COUNTIF(A:A,bron[[#This Row],[personeelsnr]])</f>
        <v>6</v>
      </c>
    </row>
    <row r="407" spans="1:12" hidden="1" x14ac:dyDescent="0.25">
      <c r="A407">
        <v>9999</v>
      </c>
      <c r="B407" t="e">
        <f>VLOOKUP(bron[[#This Row],[personeelsnr]],[1]Blad1!$A:$H,2,FALSE)</f>
        <v>#N/A</v>
      </c>
      <c r="C407" t="e">
        <f>VLOOKUP(bron[[#This Row],[personeelsnr]],[1]Blad1!$A:$H,3,FALSE)</f>
        <v>#N/A</v>
      </c>
      <c r="D407" t="e">
        <f>VLOOKUP(bron[[#This Row],[personeelsnr]],[1]Blad1!$A:$H,4,FALSE)</f>
        <v>#N/A</v>
      </c>
      <c r="E407" s="2" t="s">
        <v>221</v>
      </c>
      <c r="F407" s="6">
        <v>45582</v>
      </c>
      <c r="G407" s="5" t="s">
        <v>688</v>
      </c>
      <c r="H407" t="s">
        <v>27</v>
      </c>
      <c r="I407"/>
      <c r="J407" t="e">
        <f>VLOOKUP(bron[[#This Row],[voertuig]],Voertuigen!A:C,3,FALSE)</f>
        <v>#N/A</v>
      </c>
      <c r="K407" t="e">
        <f>VLOOKUP(bron[[#This Row],[voertuig]],Voertuigen!A:C,2,FALSE)</f>
        <v>#N/A</v>
      </c>
      <c r="L407">
        <f>COUNTIF(A:A,bron[[#This Row],[personeelsnr]])</f>
        <v>59</v>
      </c>
    </row>
    <row r="408" spans="1:12" hidden="1" x14ac:dyDescent="0.25">
      <c r="A408">
        <v>23918</v>
      </c>
      <c r="B408" t="str">
        <f>VLOOKUP(bron[[#This Row],[personeelsnr]],[1]Blad1!$A:$H,2,FALSE)</f>
        <v>D'Haeyere Bernard</v>
      </c>
      <c r="C408" t="str">
        <f>VLOOKUP(bron[[#This Row],[personeelsnr]],[1]Blad1!$A:$H,3,FALSE)</f>
        <v>D'Haeyere</v>
      </c>
      <c r="D408" t="str">
        <f>VLOOKUP(bron[[#This Row],[personeelsnr]],[1]Blad1!$A:$H,4,FALSE)</f>
        <v>Bernard</v>
      </c>
      <c r="E408" s="2" t="str">
        <f>VLOOKUP(bron[[#This Row],[personeelsnr]],[1]Blad1!$A:$H,8,FALSE)</f>
        <v>Vanhoe Els</v>
      </c>
      <c r="F408" s="6">
        <v>45583</v>
      </c>
      <c r="G408" s="5" t="s">
        <v>689</v>
      </c>
      <c r="H408" t="s">
        <v>29</v>
      </c>
      <c r="I408"/>
      <c r="J408" t="e">
        <f>VLOOKUP(bron[[#This Row],[voertuig]],Voertuigen!A:C,3,FALSE)</f>
        <v>#N/A</v>
      </c>
      <c r="K408" t="e">
        <f>VLOOKUP(bron[[#This Row],[voertuig]],Voertuigen!A:C,2,FALSE)</f>
        <v>#N/A</v>
      </c>
      <c r="L408">
        <f>COUNTIF(A:A,bron[[#This Row],[personeelsnr]])</f>
        <v>3</v>
      </c>
    </row>
    <row r="409" spans="1:12" hidden="1" x14ac:dyDescent="0.25">
      <c r="A409">
        <v>37662</v>
      </c>
      <c r="B409" t="str">
        <f>VLOOKUP(bron[[#This Row],[personeelsnr]],[1]Blad1!$A:$H,2,FALSE)</f>
        <v>Van den Meerssche Steven</v>
      </c>
      <c r="C409" t="str">
        <f>VLOOKUP(bron[[#This Row],[personeelsnr]],[1]Blad1!$A:$H,3,FALSE)</f>
        <v>Van den Meerssche</v>
      </c>
      <c r="D409" t="str">
        <f>VLOOKUP(bron[[#This Row],[personeelsnr]],[1]Blad1!$A:$H,4,FALSE)</f>
        <v>Steven</v>
      </c>
      <c r="E409" s="2" t="str">
        <f>VLOOKUP(bron[[#This Row],[personeelsnr]],[1]Blad1!$A:$H,8,FALSE)</f>
        <v>Van Der Beken Bart</v>
      </c>
      <c r="F409" s="6">
        <v>45584</v>
      </c>
      <c r="G409" s="5" t="s">
        <v>690</v>
      </c>
      <c r="H409" t="s">
        <v>29</v>
      </c>
      <c r="I409"/>
      <c r="J409" t="e">
        <f>VLOOKUP(bron[[#This Row],[voertuig]],Voertuigen!A:C,3,FALSE)</f>
        <v>#N/A</v>
      </c>
      <c r="K409" t="e">
        <f>VLOOKUP(bron[[#This Row],[voertuig]],Voertuigen!A:C,2,FALSE)</f>
        <v>#N/A</v>
      </c>
      <c r="L409">
        <f>COUNTIF(A:A,bron[[#This Row],[personeelsnr]])</f>
        <v>9</v>
      </c>
    </row>
    <row r="410" spans="1:12" hidden="1" x14ac:dyDescent="0.25">
      <c r="A410">
        <v>39779</v>
      </c>
      <c r="B410" t="str">
        <f>VLOOKUP(bron[[#This Row],[personeelsnr]],[1]Blad1!$A:$H,2,FALSE)</f>
        <v>Avci Muhammet Abdullah</v>
      </c>
      <c r="C410" t="str">
        <f>VLOOKUP(bron[[#This Row],[personeelsnr]],[1]Blad1!$A:$H,3,FALSE)</f>
        <v>Avci</v>
      </c>
      <c r="D410" t="str">
        <f>VLOOKUP(bron[[#This Row],[personeelsnr]],[1]Blad1!$A:$H,4,FALSE)</f>
        <v>Muhammet Abdullah</v>
      </c>
      <c r="E410" s="2" t="str">
        <f>VLOOKUP(bron[[#This Row],[personeelsnr]],[1]Blad1!$A:$H,8,FALSE)</f>
        <v>Van Der Beken Bart</v>
      </c>
      <c r="F410" s="6">
        <v>45584</v>
      </c>
      <c r="G410" s="5" t="s">
        <v>691</v>
      </c>
      <c r="H410" t="s">
        <v>12</v>
      </c>
      <c r="I410"/>
      <c r="J410" t="e">
        <f>VLOOKUP(bron[[#This Row],[voertuig]],Voertuigen!A:C,3,FALSE)</f>
        <v>#N/A</v>
      </c>
      <c r="K410" t="e">
        <f>VLOOKUP(bron[[#This Row],[voertuig]],Voertuigen!A:C,2,FALSE)</f>
        <v>#N/A</v>
      </c>
      <c r="L410">
        <f>COUNTIF(A:A,bron[[#This Row],[personeelsnr]])</f>
        <v>7</v>
      </c>
    </row>
    <row r="411" spans="1:12" hidden="1" x14ac:dyDescent="0.25">
      <c r="A411">
        <v>33986</v>
      </c>
      <c r="B411" t="str">
        <f>VLOOKUP(bron[[#This Row],[personeelsnr]],[1]Blad1!$A:$H,2,FALSE)</f>
        <v>Göktas Muharrem</v>
      </c>
      <c r="C411" t="str">
        <f>VLOOKUP(bron[[#This Row],[personeelsnr]],[1]Blad1!$A:$H,3,FALSE)</f>
        <v>Göktas</v>
      </c>
      <c r="D411" t="str">
        <f>VLOOKUP(bron[[#This Row],[personeelsnr]],[1]Blad1!$A:$H,4,FALSE)</f>
        <v>Muharrem</v>
      </c>
      <c r="E411" s="2" t="str">
        <f>VLOOKUP(bron[[#This Row],[personeelsnr]],[1]Blad1!$A:$H,8,FALSE)</f>
        <v>De Rick Kenneth</v>
      </c>
      <c r="F411" s="6">
        <v>45586</v>
      </c>
      <c r="G411" s="5" t="s">
        <v>692</v>
      </c>
      <c r="H411" t="s">
        <v>8</v>
      </c>
      <c r="I411"/>
      <c r="J411" t="e">
        <f>VLOOKUP(bron[[#This Row],[voertuig]],Voertuigen!A:C,3,FALSE)</f>
        <v>#N/A</v>
      </c>
      <c r="K411" t="e">
        <f>VLOOKUP(bron[[#This Row],[voertuig]],Voertuigen!A:C,2,FALSE)</f>
        <v>#N/A</v>
      </c>
      <c r="L411">
        <f>COUNTIF(A:A,bron[[#This Row],[personeelsnr]])</f>
        <v>4</v>
      </c>
    </row>
    <row r="412" spans="1:12" hidden="1" x14ac:dyDescent="0.25">
      <c r="A412">
        <v>6310</v>
      </c>
      <c r="B412" t="e">
        <f>VLOOKUP(bron[[#This Row],[personeelsnr]],[1]Blad1!$A:$H,2,FALSE)</f>
        <v>#N/A</v>
      </c>
      <c r="C412" t="e">
        <f>VLOOKUP(bron[[#This Row],[personeelsnr]],[1]Blad1!$A:$H,3,FALSE)</f>
        <v>#N/A</v>
      </c>
      <c r="D412" t="e">
        <f>VLOOKUP(bron[[#This Row],[personeelsnr]],[1]Blad1!$A:$H,4,FALSE)</f>
        <v>#N/A</v>
      </c>
      <c r="E412" s="2" t="s">
        <v>221</v>
      </c>
      <c r="F412" s="6">
        <v>45586</v>
      </c>
      <c r="G412" s="5" t="s">
        <v>693</v>
      </c>
      <c r="H412" t="s">
        <v>41</v>
      </c>
      <c r="I412"/>
      <c r="J412" t="e">
        <f>VLOOKUP(bron[[#This Row],[voertuig]],Voertuigen!A:C,3,FALSE)</f>
        <v>#N/A</v>
      </c>
      <c r="K412" t="e">
        <f>VLOOKUP(bron[[#This Row],[voertuig]],Voertuigen!A:C,2,FALSE)</f>
        <v>#N/A</v>
      </c>
      <c r="L412">
        <f>COUNTIF(A:A,bron[[#This Row],[personeelsnr]])</f>
        <v>3</v>
      </c>
    </row>
    <row r="413" spans="1:12" hidden="1" x14ac:dyDescent="0.25">
      <c r="A413">
        <v>39929</v>
      </c>
      <c r="B413" t="str">
        <f>VLOOKUP(bron[[#This Row],[personeelsnr]],[1]Blad1!$A:$H,2,FALSE)</f>
        <v>Staneva Mariyana</v>
      </c>
      <c r="C413" t="str">
        <f>VLOOKUP(bron[[#This Row],[personeelsnr]],[1]Blad1!$A:$H,3,FALSE)</f>
        <v>Staneva</v>
      </c>
      <c r="D413" t="str">
        <f>VLOOKUP(bron[[#This Row],[personeelsnr]],[1]Blad1!$A:$H,4,FALSE)</f>
        <v>Mariyana</v>
      </c>
      <c r="E413" s="2" t="str">
        <f>VLOOKUP(bron[[#This Row],[personeelsnr]],[1]Blad1!$A:$H,8,FALSE)</f>
        <v>Rotty Christoff</v>
      </c>
      <c r="F413" s="6">
        <v>45587</v>
      </c>
      <c r="G413" s="5" t="s">
        <v>694</v>
      </c>
      <c r="H413" t="s">
        <v>12</v>
      </c>
      <c r="I413"/>
      <c r="J413" t="e">
        <f>VLOOKUP(bron[[#This Row],[voertuig]],Voertuigen!A:C,3,FALSE)</f>
        <v>#N/A</v>
      </c>
      <c r="K413" t="e">
        <f>VLOOKUP(bron[[#This Row],[voertuig]],Voertuigen!A:C,2,FALSE)</f>
        <v>#N/A</v>
      </c>
      <c r="L413">
        <f>COUNTIF(A:A,bron[[#This Row],[personeelsnr]])</f>
        <v>9</v>
      </c>
    </row>
    <row r="414" spans="1:12" hidden="1" x14ac:dyDescent="0.25">
      <c r="A414">
        <v>32387</v>
      </c>
      <c r="B414" t="str">
        <f>VLOOKUP(bron[[#This Row],[personeelsnr]],[1]Blad1!$A:$H,2,FALSE)</f>
        <v>Meersman Herman</v>
      </c>
      <c r="C414" t="str">
        <f>VLOOKUP(bron[[#This Row],[personeelsnr]],[1]Blad1!$A:$H,3,FALSE)</f>
        <v>Meersman</v>
      </c>
      <c r="D414" t="str">
        <f>VLOOKUP(bron[[#This Row],[personeelsnr]],[1]Blad1!$A:$H,4,FALSE)</f>
        <v>Herman</v>
      </c>
      <c r="E414" s="2" t="str">
        <f>VLOOKUP(bron[[#This Row],[personeelsnr]],[1]Blad1!$A:$H,8,FALSE)</f>
        <v>Storm Steven</v>
      </c>
      <c r="F414" s="6">
        <v>45587</v>
      </c>
      <c r="G414" s="5" t="s">
        <v>695</v>
      </c>
      <c r="H414" t="s">
        <v>696</v>
      </c>
      <c r="I414"/>
      <c r="J414" t="e">
        <f>VLOOKUP(bron[[#This Row],[voertuig]],Voertuigen!A:C,3,FALSE)</f>
        <v>#N/A</v>
      </c>
      <c r="K414" t="e">
        <f>VLOOKUP(bron[[#This Row],[voertuig]],Voertuigen!A:C,2,FALSE)</f>
        <v>#N/A</v>
      </c>
      <c r="L414">
        <f>COUNTIF(A:A,bron[[#This Row],[personeelsnr]])</f>
        <v>4</v>
      </c>
    </row>
    <row r="415" spans="1:12" hidden="1" x14ac:dyDescent="0.25">
      <c r="A415">
        <v>5718</v>
      </c>
      <c r="B415" t="str">
        <f>VLOOKUP(bron[[#This Row],[personeelsnr]],[1]Blad1!$A:$H,2,FALSE)</f>
        <v>Dejonckheere Inge</v>
      </c>
      <c r="C415" t="str">
        <f>VLOOKUP(bron[[#This Row],[personeelsnr]],[1]Blad1!$A:$H,3,FALSE)</f>
        <v>Dejonckheere</v>
      </c>
      <c r="D415" t="str">
        <f>VLOOKUP(bron[[#This Row],[personeelsnr]],[1]Blad1!$A:$H,4,FALSE)</f>
        <v>Inge</v>
      </c>
      <c r="E415" s="2" t="str">
        <f>VLOOKUP(bron[[#This Row],[personeelsnr]],[1]Blad1!$A:$H,8,FALSE)</f>
        <v>De Rick Kenneth</v>
      </c>
      <c r="F415" s="6">
        <v>45588</v>
      </c>
      <c r="G415" s="5" t="s">
        <v>697</v>
      </c>
      <c r="H415" t="s">
        <v>29</v>
      </c>
      <c r="I415"/>
      <c r="J415" t="e">
        <f>VLOOKUP(bron[[#This Row],[voertuig]],Voertuigen!A:C,3,FALSE)</f>
        <v>#N/A</v>
      </c>
      <c r="K415" t="e">
        <f>VLOOKUP(bron[[#This Row],[voertuig]],Voertuigen!A:C,2,FALSE)</f>
        <v>#N/A</v>
      </c>
      <c r="L415">
        <f>COUNTIF(A:A,bron[[#This Row],[personeelsnr]])</f>
        <v>2</v>
      </c>
    </row>
    <row r="416" spans="1:12" hidden="1" x14ac:dyDescent="0.25">
      <c r="A416">
        <v>35598</v>
      </c>
      <c r="B416" t="str">
        <f>VLOOKUP(bron[[#This Row],[personeelsnr]],[1]Blad1!$A:$H,2,FALSE)</f>
        <v>Braeckman Wouter</v>
      </c>
      <c r="C416" t="str">
        <f>VLOOKUP(bron[[#This Row],[personeelsnr]],[1]Blad1!$A:$H,3,FALSE)</f>
        <v>Braeckman</v>
      </c>
      <c r="D416" t="str">
        <f>VLOOKUP(bron[[#This Row],[personeelsnr]],[1]Blad1!$A:$H,4,FALSE)</f>
        <v>Wouter</v>
      </c>
      <c r="E416" s="2" t="str">
        <f>VLOOKUP(bron[[#This Row],[personeelsnr]],[1]Blad1!$A:$H,8,FALSE)</f>
        <v>De Clercq Dominique</v>
      </c>
      <c r="F416" s="6">
        <v>45588</v>
      </c>
      <c r="G416" s="5" t="s">
        <v>698</v>
      </c>
      <c r="H416" t="s">
        <v>8</v>
      </c>
      <c r="I416"/>
      <c r="J416" t="e">
        <f>VLOOKUP(bron[[#This Row],[voertuig]],Voertuigen!A:C,3,FALSE)</f>
        <v>#N/A</v>
      </c>
      <c r="K416" t="e">
        <f>VLOOKUP(bron[[#This Row],[voertuig]],Voertuigen!A:C,2,FALSE)</f>
        <v>#N/A</v>
      </c>
      <c r="L416">
        <f>COUNTIF(A:A,bron[[#This Row],[personeelsnr]])</f>
        <v>1</v>
      </c>
    </row>
    <row r="417" spans="1:12" hidden="1" x14ac:dyDescent="0.25">
      <c r="A417">
        <v>40222</v>
      </c>
      <c r="B417" t="str">
        <f>VLOOKUP(bron[[#This Row],[personeelsnr]],[1]Blad1!$A:$H,2,FALSE)</f>
        <v>Van Iterson Sharon</v>
      </c>
      <c r="C417" t="str">
        <f>VLOOKUP(bron[[#This Row],[personeelsnr]],[1]Blad1!$A:$H,3,FALSE)</f>
        <v>Van Iterson</v>
      </c>
      <c r="D417" t="str">
        <f>VLOOKUP(bron[[#This Row],[personeelsnr]],[1]Blad1!$A:$H,4,FALSE)</f>
        <v>Sharon</v>
      </c>
      <c r="E417" s="2" t="str">
        <f>VLOOKUP(bron[[#This Row],[personeelsnr]],[1]Blad1!$A:$H,8,FALSE)</f>
        <v>De Clercq Dominique</v>
      </c>
      <c r="F417" s="6">
        <v>45589</v>
      </c>
      <c r="G417" s="5" t="s">
        <v>699</v>
      </c>
      <c r="H417" t="s">
        <v>171</v>
      </c>
      <c r="I417"/>
      <c r="J417" t="e">
        <f>VLOOKUP(bron[[#This Row],[voertuig]],Voertuigen!A:C,3,FALSE)</f>
        <v>#N/A</v>
      </c>
      <c r="K417" t="e">
        <f>VLOOKUP(bron[[#This Row],[voertuig]],Voertuigen!A:C,2,FALSE)</f>
        <v>#N/A</v>
      </c>
      <c r="L417">
        <f>COUNTIF(A:A,bron[[#This Row],[personeelsnr]])</f>
        <v>2</v>
      </c>
    </row>
    <row r="418" spans="1:12" hidden="1" x14ac:dyDescent="0.25">
      <c r="A418">
        <v>35450</v>
      </c>
      <c r="B418" t="str">
        <f>VLOOKUP(bron[[#This Row],[personeelsnr]],[1]Blad1!$A:$H,2,FALSE)</f>
        <v>Roos Hugo</v>
      </c>
      <c r="C418" t="str">
        <f>VLOOKUP(bron[[#This Row],[personeelsnr]],[1]Blad1!$A:$H,3,FALSE)</f>
        <v>Roos</v>
      </c>
      <c r="D418" t="str">
        <f>VLOOKUP(bron[[#This Row],[personeelsnr]],[1]Blad1!$A:$H,4,FALSE)</f>
        <v>Hugo</v>
      </c>
      <c r="E418" s="2" t="str">
        <f>VLOOKUP(bron[[#This Row],[personeelsnr]],[1]Blad1!$A:$H,8,FALSE)</f>
        <v>Dewulf Els</v>
      </c>
      <c r="F418" s="6">
        <v>45589</v>
      </c>
      <c r="G418" s="5" t="s">
        <v>700</v>
      </c>
      <c r="H418" t="s">
        <v>171</v>
      </c>
      <c r="I418"/>
      <c r="J418" t="e">
        <f>VLOOKUP(bron[[#This Row],[voertuig]],Voertuigen!A:C,3,FALSE)</f>
        <v>#N/A</v>
      </c>
      <c r="K418" t="e">
        <f>VLOOKUP(bron[[#This Row],[voertuig]],Voertuigen!A:C,2,FALSE)</f>
        <v>#N/A</v>
      </c>
      <c r="L418">
        <f>COUNTIF(A:A,bron[[#This Row],[personeelsnr]])</f>
        <v>4</v>
      </c>
    </row>
    <row r="419" spans="1:12" hidden="1" x14ac:dyDescent="0.25">
      <c r="A419">
        <v>40652</v>
      </c>
      <c r="B419" t="str">
        <f>VLOOKUP(bron[[#This Row],[personeelsnr]],[1]Blad1!$A:$H,2,FALSE)</f>
        <v>Van Damme Gilyann</v>
      </c>
      <c r="C419" t="str">
        <f>VLOOKUP(bron[[#This Row],[personeelsnr]],[1]Blad1!$A:$H,3,FALSE)</f>
        <v>Van Damme</v>
      </c>
      <c r="D419" t="str">
        <f>VLOOKUP(bron[[#This Row],[personeelsnr]],[1]Blad1!$A:$H,4,FALSE)</f>
        <v>Gilyann</v>
      </c>
      <c r="E419" s="2" t="str">
        <f>VLOOKUP(bron[[#This Row],[personeelsnr]],[1]Blad1!$A:$H,8,FALSE)</f>
        <v>Vanhoe Els</v>
      </c>
      <c r="F419" s="6">
        <v>45589</v>
      </c>
      <c r="G419" s="5" t="s">
        <v>701</v>
      </c>
      <c r="H419" t="s">
        <v>8</v>
      </c>
      <c r="I419"/>
      <c r="J419" t="e">
        <f>VLOOKUP(bron[[#This Row],[voertuig]],Voertuigen!A:C,3,FALSE)</f>
        <v>#N/A</v>
      </c>
      <c r="K419" t="e">
        <f>VLOOKUP(bron[[#This Row],[voertuig]],Voertuigen!A:C,2,FALSE)</f>
        <v>#N/A</v>
      </c>
      <c r="L419">
        <f>COUNTIF(A:A,bron[[#This Row],[personeelsnr]])</f>
        <v>8</v>
      </c>
    </row>
    <row r="420" spans="1:12" hidden="1" x14ac:dyDescent="0.25">
      <c r="A420">
        <v>37809</v>
      </c>
      <c r="B420" t="str">
        <f>VLOOKUP(bron[[#This Row],[personeelsnr]],[1]Blad1!$A:$H,2,FALSE)</f>
        <v>Sturtewagen Kenny</v>
      </c>
      <c r="C420" t="str">
        <f>VLOOKUP(bron[[#This Row],[personeelsnr]],[1]Blad1!$A:$H,3,FALSE)</f>
        <v>Sturtewagen</v>
      </c>
      <c r="D420" t="str">
        <f>VLOOKUP(bron[[#This Row],[personeelsnr]],[1]Blad1!$A:$H,4,FALSE)</f>
        <v>Kenny</v>
      </c>
      <c r="E420" s="2" t="str">
        <f>VLOOKUP(bron[[#This Row],[personeelsnr]],[1]Blad1!$A:$H,8,FALSE)</f>
        <v>Storm Steven</v>
      </c>
      <c r="F420" s="6">
        <v>45589</v>
      </c>
      <c r="G420" s="5" t="s">
        <v>702</v>
      </c>
      <c r="H420" t="s">
        <v>150</v>
      </c>
      <c r="I420"/>
      <c r="J420" t="e">
        <f>VLOOKUP(bron[[#This Row],[voertuig]],Voertuigen!A:C,3,FALSE)</f>
        <v>#N/A</v>
      </c>
      <c r="K420" t="e">
        <f>VLOOKUP(bron[[#This Row],[voertuig]],Voertuigen!A:C,2,FALSE)</f>
        <v>#N/A</v>
      </c>
      <c r="L420">
        <f>COUNTIF(A:A,bron[[#This Row],[personeelsnr]])</f>
        <v>3</v>
      </c>
    </row>
    <row r="421" spans="1:12" hidden="1" x14ac:dyDescent="0.25">
      <c r="A421">
        <v>30623</v>
      </c>
      <c r="B421" t="str">
        <f>VLOOKUP(bron[[#This Row],[personeelsnr]],[1]Blad1!$A:$H,2,FALSE)</f>
        <v>Gassa Mustafa</v>
      </c>
      <c r="C421" t="str">
        <f>VLOOKUP(bron[[#This Row],[personeelsnr]],[1]Blad1!$A:$H,3,FALSE)</f>
        <v>Gassa</v>
      </c>
      <c r="D421" t="str">
        <f>VLOOKUP(bron[[#This Row],[personeelsnr]],[1]Blad1!$A:$H,4,FALSE)</f>
        <v>Mustafa</v>
      </c>
      <c r="E421" s="2" t="str">
        <f>VLOOKUP(bron[[#This Row],[personeelsnr]],[1]Blad1!$A:$H,8,FALSE)</f>
        <v>De Rick Kenneth</v>
      </c>
      <c r="F421" s="6">
        <v>45590</v>
      </c>
      <c r="G421" s="5" t="s">
        <v>703</v>
      </c>
      <c r="H421" t="s">
        <v>193</v>
      </c>
      <c r="I421"/>
      <c r="J421" t="e">
        <f>VLOOKUP(bron[[#This Row],[voertuig]],Voertuigen!A:C,3,FALSE)</f>
        <v>#N/A</v>
      </c>
      <c r="K421" t="e">
        <f>VLOOKUP(bron[[#This Row],[voertuig]],Voertuigen!A:C,2,FALSE)</f>
        <v>#N/A</v>
      </c>
      <c r="L421">
        <f>COUNTIF(A:A,bron[[#This Row],[personeelsnr]])</f>
        <v>2</v>
      </c>
    </row>
    <row r="422" spans="1:12" hidden="1" x14ac:dyDescent="0.25">
      <c r="A422">
        <v>37809</v>
      </c>
      <c r="B422" t="str">
        <f>VLOOKUP(bron[[#This Row],[personeelsnr]],[1]Blad1!$A:$H,2,FALSE)</f>
        <v>Sturtewagen Kenny</v>
      </c>
      <c r="C422" t="str">
        <f>VLOOKUP(bron[[#This Row],[personeelsnr]],[1]Blad1!$A:$H,3,FALSE)</f>
        <v>Sturtewagen</v>
      </c>
      <c r="D422" t="str">
        <f>VLOOKUP(bron[[#This Row],[personeelsnr]],[1]Blad1!$A:$H,4,FALSE)</f>
        <v>Kenny</v>
      </c>
      <c r="E422" s="2" t="str">
        <f>VLOOKUP(bron[[#This Row],[personeelsnr]],[1]Blad1!$A:$H,8,FALSE)</f>
        <v>Storm Steven</v>
      </c>
      <c r="F422" s="6">
        <v>45590</v>
      </c>
      <c r="G422" s="5" t="s">
        <v>704</v>
      </c>
      <c r="H422" t="s">
        <v>25</v>
      </c>
      <c r="I422"/>
      <c r="J422" t="e">
        <f>VLOOKUP(bron[[#This Row],[voertuig]],Voertuigen!A:C,3,FALSE)</f>
        <v>#N/A</v>
      </c>
      <c r="K422" t="e">
        <f>VLOOKUP(bron[[#This Row],[voertuig]],Voertuigen!A:C,2,FALSE)</f>
        <v>#N/A</v>
      </c>
      <c r="L422">
        <f>COUNTIF(A:A,bron[[#This Row],[personeelsnr]])</f>
        <v>3</v>
      </c>
    </row>
    <row r="423" spans="1:12" hidden="1" x14ac:dyDescent="0.25">
      <c r="A423">
        <v>40859</v>
      </c>
      <c r="B423" t="str">
        <f>VLOOKUP(bron[[#This Row],[personeelsnr]],[1]Blad1!$A:$H,2,FALSE)</f>
        <v>Yagoub Abdelali</v>
      </c>
      <c r="C423" t="str">
        <f>VLOOKUP(bron[[#This Row],[personeelsnr]],[1]Blad1!$A:$H,3,FALSE)</f>
        <v>Yagoub</v>
      </c>
      <c r="D423" t="str">
        <f>VLOOKUP(bron[[#This Row],[personeelsnr]],[1]Blad1!$A:$H,4,FALSE)</f>
        <v>Abdelali</v>
      </c>
      <c r="E423" s="2" t="str">
        <f>VLOOKUP(bron[[#This Row],[personeelsnr]],[1]Blad1!$A:$H,8,FALSE)</f>
        <v>Vanhoe Els</v>
      </c>
      <c r="F423" s="6">
        <v>45591</v>
      </c>
      <c r="G423" s="5" t="s">
        <v>705</v>
      </c>
      <c r="H423" t="s">
        <v>192</v>
      </c>
      <c r="I423"/>
      <c r="J423" t="e">
        <f>VLOOKUP(bron[[#This Row],[voertuig]],Voertuigen!A:C,3,FALSE)</f>
        <v>#N/A</v>
      </c>
      <c r="K423" t="e">
        <f>VLOOKUP(bron[[#This Row],[voertuig]],Voertuigen!A:C,2,FALSE)</f>
        <v>#N/A</v>
      </c>
      <c r="L423">
        <f>COUNTIF(A:A,bron[[#This Row],[personeelsnr]])</f>
        <v>4</v>
      </c>
    </row>
    <row r="424" spans="1:12" hidden="1" x14ac:dyDescent="0.25">
      <c r="A424">
        <v>21892</v>
      </c>
      <c r="B424" t="str">
        <f>VLOOKUP(bron[[#This Row],[personeelsnr]],[1]Blad1!$A:$H,2,FALSE)</f>
        <v>Dierick Steve</v>
      </c>
      <c r="C424" t="str">
        <f>VLOOKUP(bron[[#This Row],[personeelsnr]],[1]Blad1!$A:$H,3,FALSE)</f>
        <v>Dierick</v>
      </c>
      <c r="D424" t="str">
        <f>VLOOKUP(bron[[#This Row],[personeelsnr]],[1]Blad1!$A:$H,4,FALSE)</f>
        <v>Steve</v>
      </c>
      <c r="E424" s="2" t="str">
        <f>VLOOKUP(bron[[#This Row],[personeelsnr]],[1]Blad1!$A:$H,8,FALSE)</f>
        <v>Storm Steven</v>
      </c>
      <c r="F424" s="6">
        <v>45591</v>
      </c>
      <c r="G424" s="5" t="s">
        <v>706</v>
      </c>
      <c r="H424" t="s">
        <v>86</v>
      </c>
      <c r="I424"/>
      <c r="J424" t="e">
        <f>VLOOKUP(bron[[#This Row],[voertuig]],Voertuigen!A:C,3,FALSE)</f>
        <v>#N/A</v>
      </c>
      <c r="K424" t="e">
        <f>VLOOKUP(bron[[#This Row],[voertuig]],Voertuigen!A:C,2,FALSE)</f>
        <v>#N/A</v>
      </c>
      <c r="L424">
        <f>COUNTIF(A:A,bron[[#This Row],[personeelsnr]])</f>
        <v>2</v>
      </c>
    </row>
    <row r="425" spans="1:12" hidden="1" x14ac:dyDescent="0.25">
      <c r="A425">
        <v>12173</v>
      </c>
      <c r="B425" t="str">
        <f>VLOOKUP(bron[[#This Row],[personeelsnr]],[1]Blad1!$A:$H,2,FALSE)</f>
        <v>De Feyter David</v>
      </c>
      <c r="C425" t="str">
        <f>VLOOKUP(bron[[#This Row],[personeelsnr]],[1]Blad1!$A:$H,3,FALSE)</f>
        <v>De Feyter</v>
      </c>
      <c r="D425" t="str">
        <f>VLOOKUP(bron[[#This Row],[personeelsnr]],[1]Blad1!$A:$H,4,FALSE)</f>
        <v>David</v>
      </c>
      <c r="E425" s="2" t="str">
        <f>VLOOKUP(bron[[#This Row],[personeelsnr]],[1]Blad1!$A:$H,8,FALSE)</f>
        <v>Vanhoe Els</v>
      </c>
      <c r="F425" s="6">
        <v>45593</v>
      </c>
      <c r="G425" s="5" t="s">
        <v>707</v>
      </c>
      <c r="H425" t="s">
        <v>108</v>
      </c>
      <c r="I425"/>
      <c r="J425" t="e">
        <f>VLOOKUP(bron[[#This Row],[voertuig]],Voertuigen!A:C,3,FALSE)</f>
        <v>#N/A</v>
      </c>
      <c r="K425" t="e">
        <f>VLOOKUP(bron[[#This Row],[voertuig]],Voertuigen!A:C,2,FALSE)</f>
        <v>#N/A</v>
      </c>
      <c r="L425">
        <f>COUNTIF(A:A,bron[[#This Row],[personeelsnr]])</f>
        <v>1</v>
      </c>
    </row>
    <row r="426" spans="1:12" hidden="1" x14ac:dyDescent="0.25">
      <c r="A426">
        <v>37542</v>
      </c>
      <c r="B426" t="str">
        <f>VLOOKUP(bron[[#This Row],[personeelsnr]],[1]Blad1!$A:$H,2,FALSE)</f>
        <v>De Tandt Hans</v>
      </c>
      <c r="C426" t="str">
        <f>VLOOKUP(bron[[#This Row],[personeelsnr]],[1]Blad1!$A:$H,3,FALSE)</f>
        <v>De Tandt</v>
      </c>
      <c r="D426" t="str">
        <f>VLOOKUP(bron[[#This Row],[personeelsnr]],[1]Blad1!$A:$H,4,FALSE)</f>
        <v>Hans</v>
      </c>
      <c r="E426" s="2" t="str">
        <f>VLOOKUP(bron[[#This Row],[personeelsnr]],[1]Blad1!$A:$H,8,FALSE)</f>
        <v>Van Der Beken Bart</v>
      </c>
      <c r="F426" s="6">
        <v>45593</v>
      </c>
      <c r="G426" s="5" t="s">
        <v>708</v>
      </c>
      <c r="H426" t="s">
        <v>72</v>
      </c>
      <c r="I426"/>
      <c r="J426" t="e">
        <f>VLOOKUP(bron[[#This Row],[voertuig]],Voertuigen!A:C,3,FALSE)</f>
        <v>#N/A</v>
      </c>
      <c r="K426" t="e">
        <f>VLOOKUP(bron[[#This Row],[voertuig]],Voertuigen!A:C,2,FALSE)</f>
        <v>#N/A</v>
      </c>
      <c r="L426">
        <f>COUNTIF(A:A,bron[[#This Row],[personeelsnr]])</f>
        <v>5</v>
      </c>
    </row>
    <row r="427" spans="1:12" hidden="1" x14ac:dyDescent="0.25">
      <c r="A427">
        <v>40278</v>
      </c>
      <c r="B427" t="str">
        <f>VLOOKUP(bron[[#This Row],[personeelsnr]],[1]Blad1!$A:$H,2,FALSE)</f>
        <v>Ates Firat</v>
      </c>
      <c r="C427" t="str">
        <f>VLOOKUP(bron[[#This Row],[personeelsnr]],[1]Blad1!$A:$H,3,FALSE)</f>
        <v>Ates</v>
      </c>
      <c r="D427" t="str">
        <f>VLOOKUP(bron[[#This Row],[personeelsnr]],[1]Blad1!$A:$H,4,FALSE)</f>
        <v>Firat</v>
      </c>
      <c r="E427" s="2" t="str">
        <f>VLOOKUP(bron[[#This Row],[personeelsnr]],[1]Blad1!$A:$H,8,FALSE)</f>
        <v>Rotty Christoff</v>
      </c>
      <c r="F427" s="6">
        <v>45595</v>
      </c>
      <c r="G427" s="5" t="s">
        <v>709</v>
      </c>
      <c r="H427" t="s">
        <v>20</v>
      </c>
      <c r="I427"/>
      <c r="J427" t="e">
        <f>VLOOKUP(bron[[#This Row],[voertuig]],Voertuigen!A:C,3,FALSE)</f>
        <v>#N/A</v>
      </c>
      <c r="K427" t="e">
        <f>VLOOKUP(bron[[#This Row],[voertuig]],Voertuigen!A:C,2,FALSE)</f>
        <v>#N/A</v>
      </c>
      <c r="L427">
        <f>COUNTIF(A:A,bron[[#This Row],[personeelsnr]])</f>
        <v>5</v>
      </c>
    </row>
    <row r="428" spans="1:12" hidden="1" x14ac:dyDescent="0.25">
      <c r="A428">
        <v>29540</v>
      </c>
      <c r="B428" t="str">
        <f>VLOOKUP(bron[[#This Row],[personeelsnr]],[1]Blad1!$A:$H,2,FALSE)</f>
        <v>De Keyzer Jan</v>
      </c>
      <c r="C428" t="str">
        <f>VLOOKUP(bron[[#This Row],[personeelsnr]],[1]Blad1!$A:$H,3,FALSE)</f>
        <v>De Keyzer</v>
      </c>
      <c r="D428" t="str">
        <f>VLOOKUP(bron[[#This Row],[personeelsnr]],[1]Blad1!$A:$H,4,FALSE)</f>
        <v>Jan</v>
      </c>
      <c r="E428" s="2" t="str">
        <f>VLOOKUP(bron[[#This Row],[personeelsnr]],[1]Blad1!$A:$H,8,FALSE)</f>
        <v>Van De Velde Lucie</v>
      </c>
      <c r="F428" s="6">
        <v>45595</v>
      </c>
      <c r="G428" s="5" t="s">
        <v>710</v>
      </c>
      <c r="H428" t="s">
        <v>14</v>
      </c>
      <c r="I428"/>
      <c r="J428" t="e">
        <f>VLOOKUP(bron[[#This Row],[voertuig]],Voertuigen!A:C,3,FALSE)</f>
        <v>#N/A</v>
      </c>
      <c r="K428" t="e">
        <f>VLOOKUP(bron[[#This Row],[voertuig]],Voertuigen!A:C,2,FALSE)</f>
        <v>#N/A</v>
      </c>
      <c r="L428">
        <f>COUNTIF(A:A,bron[[#This Row],[personeelsnr]])</f>
        <v>1</v>
      </c>
    </row>
    <row r="429" spans="1:12" hidden="1" x14ac:dyDescent="0.25">
      <c r="A429">
        <v>30901</v>
      </c>
      <c r="B429" t="str">
        <f>VLOOKUP(bron[[#This Row],[personeelsnr]],[1]Blad1!$A:$H,2,FALSE)</f>
        <v>vanden Bulcke Johan</v>
      </c>
      <c r="C429" t="str">
        <f>VLOOKUP(bron[[#This Row],[personeelsnr]],[1]Blad1!$A:$H,3,FALSE)</f>
        <v>vanden Bulcke</v>
      </c>
      <c r="D429" t="str">
        <f>VLOOKUP(bron[[#This Row],[personeelsnr]],[1]Blad1!$A:$H,4,FALSE)</f>
        <v>Johan</v>
      </c>
      <c r="E429" s="2" t="str">
        <f>VLOOKUP(bron[[#This Row],[personeelsnr]],[1]Blad1!$A:$H,8,FALSE)</f>
        <v>Dewulf Els</v>
      </c>
      <c r="F429" s="6">
        <v>45598</v>
      </c>
      <c r="G429" s="5" t="s">
        <v>711</v>
      </c>
      <c r="H429" t="s">
        <v>153</v>
      </c>
      <c r="I429"/>
      <c r="J429" t="e">
        <f>VLOOKUP(bron[[#This Row],[voertuig]],Voertuigen!A:C,3,FALSE)</f>
        <v>#N/A</v>
      </c>
      <c r="K429" t="e">
        <f>VLOOKUP(bron[[#This Row],[voertuig]],Voertuigen!A:C,2,FALSE)</f>
        <v>#N/A</v>
      </c>
      <c r="L429">
        <f>COUNTIF(A:A,bron[[#This Row],[personeelsnr]])</f>
        <v>2</v>
      </c>
    </row>
    <row r="430" spans="1:12" hidden="1" x14ac:dyDescent="0.25">
      <c r="A430">
        <v>9999</v>
      </c>
      <c r="B430" t="e">
        <f>VLOOKUP(bron[[#This Row],[personeelsnr]],[1]Blad1!$A:$H,2,FALSE)</f>
        <v>#N/A</v>
      </c>
      <c r="C430" t="e">
        <f>VLOOKUP(bron[[#This Row],[personeelsnr]],[1]Blad1!$A:$H,3,FALSE)</f>
        <v>#N/A</v>
      </c>
      <c r="D430" t="e">
        <f>VLOOKUP(bron[[#This Row],[personeelsnr]],[1]Blad1!$A:$H,4,FALSE)</f>
        <v>#N/A</v>
      </c>
      <c r="E430" s="2" t="s">
        <v>221</v>
      </c>
      <c r="F430" s="6">
        <v>45598</v>
      </c>
      <c r="G430" s="5" t="s">
        <v>712</v>
      </c>
      <c r="H430" t="s">
        <v>23</v>
      </c>
      <c r="I430"/>
      <c r="J430" t="e">
        <f>VLOOKUP(bron[[#This Row],[voertuig]],Voertuigen!A:C,3,FALSE)</f>
        <v>#N/A</v>
      </c>
      <c r="K430" t="e">
        <f>VLOOKUP(bron[[#This Row],[voertuig]],Voertuigen!A:C,2,FALSE)</f>
        <v>#N/A</v>
      </c>
      <c r="L430">
        <f>COUNTIF(A:A,bron[[#This Row],[personeelsnr]])</f>
        <v>59</v>
      </c>
    </row>
    <row r="431" spans="1:12" hidden="1" x14ac:dyDescent="0.25">
      <c r="A431">
        <v>39581</v>
      </c>
      <c r="B431" t="str">
        <f>VLOOKUP(bron[[#This Row],[personeelsnr]],[1]Blad1!$A:$H,2,FALSE)</f>
        <v>Vandenhaute Linus</v>
      </c>
      <c r="C431" t="str">
        <f>VLOOKUP(bron[[#This Row],[personeelsnr]],[1]Blad1!$A:$H,3,FALSE)</f>
        <v>Vandenhaute</v>
      </c>
      <c r="D431" t="str">
        <f>VLOOKUP(bron[[#This Row],[personeelsnr]],[1]Blad1!$A:$H,4,FALSE)</f>
        <v>Linus</v>
      </c>
      <c r="E431" s="2" t="str">
        <f>VLOOKUP(bron[[#This Row],[personeelsnr]],[1]Blad1!$A:$H,8,FALSE)</f>
        <v>Dewulf Els</v>
      </c>
      <c r="F431" s="6">
        <v>45600</v>
      </c>
      <c r="G431" s="5" t="s">
        <v>713</v>
      </c>
      <c r="H431" t="s">
        <v>8</v>
      </c>
      <c r="I431"/>
      <c r="J431" t="e">
        <f>VLOOKUP(bron[[#This Row],[voertuig]],Voertuigen!A:C,3,FALSE)</f>
        <v>#N/A</v>
      </c>
      <c r="K431" t="e">
        <f>VLOOKUP(bron[[#This Row],[voertuig]],Voertuigen!A:C,2,FALSE)</f>
        <v>#N/A</v>
      </c>
      <c r="L431">
        <f>COUNTIF(A:A,bron[[#This Row],[personeelsnr]])</f>
        <v>5</v>
      </c>
    </row>
    <row r="432" spans="1:12" hidden="1" x14ac:dyDescent="0.25">
      <c r="A432">
        <v>33488</v>
      </c>
      <c r="B432" t="str">
        <f>VLOOKUP(bron[[#This Row],[personeelsnr]],[1]Blad1!$A:$H,2,FALSE)</f>
        <v>Holub Patrik</v>
      </c>
      <c r="C432" t="str">
        <f>VLOOKUP(bron[[#This Row],[personeelsnr]],[1]Blad1!$A:$H,3,FALSE)</f>
        <v>Holub</v>
      </c>
      <c r="D432" t="str">
        <f>VLOOKUP(bron[[#This Row],[personeelsnr]],[1]Blad1!$A:$H,4,FALSE)</f>
        <v>Patrik</v>
      </c>
      <c r="E432" s="2" t="str">
        <f>VLOOKUP(bron[[#This Row],[personeelsnr]],[1]Blad1!$A:$H,8,FALSE)</f>
        <v>Vanhoe Els</v>
      </c>
      <c r="F432" s="6">
        <v>45600</v>
      </c>
      <c r="G432" s="5" t="s">
        <v>714</v>
      </c>
      <c r="H432" t="s">
        <v>8</v>
      </c>
      <c r="I432"/>
      <c r="J432" t="e">
        <f>VLOOKUP(bron[[#This Row],[voertuig]],Voertuigen!A:C,3,FALSE)</f>
        <v>#N/A</v>
      </c>
      <c r="K432" t="e">
        <f>VLOOKUP(bron[[#This Row],[voertuig]],Voertuigen!A:C,2,FALSE)</f>
        <v>#N/A</v>
      </c>
      <c r="L432">
        <f>COUNTIF(A:A,bron[[#This Row],[personeelsnr]])</f>
        <v>2</v>
      </c>
    </row>
    <row r="433" spans="1:12" hidden="1" x14ac:dyDescent="0.25">
      <c r="A433">
        <v>26102</v>
      </c>
      <c r="B433" t="str">
        <f>VLOOKUP(bron[[#This Row],[personeelsnr]],[1]Blad1!$A:$H,2,FALSE)</f>
        <v>Bral Jessica</v>
      </c>
      <c r="C433" t="str">
        <f>VLOOKUP(bron[[#This Row],[personeelsnr]],[1]Blad1!$A:$H,3,FALSE)</f>
        <v>Bral</v>
      </c>
      <c r="D433" t="str">
        <f>VLOOKUP(bron[[#This Row],[personeelsnr]],[1]Blad1!$A:$H,4,FALSE)</f>
        <v>Jessica</v>
      </c>
      <c r="E433" s="2" t="str">
        <f>VLOOKUP(bron[[#This Row],[personeelsnr]],[1]Blad1!$A:$H,8,FALSE)</f>
        <v>Dewulf Els</v>
      </c>
      <c r="F433" s="6">
        <v>45600</v>
      </c>
      <c r="G433" s="5" t="s">
        <v>715</v>
      </c>
      <c r="H433" t="s">
        <v>8</v>
      </c>
      <c r="I433"/>
      <c r="J433" t="e">
        <f>VLOOKUP(bron[[#This Row],[voertuig]],Voertuigen!A:C,3,FALSE)</f>
        <v>#N/A</v>
      </c>
      <c r="K433" t="e">
        <f>VLOOKUP(bron[[#This Row],[voertuig]],Voertuigen!A:C,2,FALSE)</f>
        <v>#N/A</v>
      </c>
      <c r="L433">
        <f>COUNTIF(A:A,bron[[#This Row],[personeelsnr]])</f>
        <v>1</v>
      </c>
    </row>
    <row r="434" spans="1:12" hidden="1" x14ac:dyDescent="0.25">
      <c r="A434">
        <v>39528</v>
      </c>
      <c r="B434" t="str">
        <f>VLOOKUP(bron[[#This Row],[personeelsnr]],[1]Blad1!$A:$H,2,FALSE)</f>
        <v>Mihaylov Plamen</v>
      </c>
      <c r="C434" t="str">
        <f>VLOOKUP(bron[[#This Row],[personeelsnr]],[1]Blad1!$A:$H,3,FALSE)</f>
        <v>Mihaylov</v>
      </c>
      <c r="D434" t="str">
        <f>VLOOKUP(bron[[#This Row],[personeelsnr]],[1]Blad1!$A:$H,4,FALSE)</f>
        <v>Plamen</v>
      </c>
      <c r="E434" s="2" t="str">
        <f>VLOOKUP(bron[[#This Row],[personeelsnr]],[1]Blad1!$A:$H,8,FALSE)</f>
        <v>Rotty Christoff</v>
      </c>
      <c r="F434" s="6">
        <v>45601</v>
      </c>
      <c r="G434" s="5" t="s">
        <v>716</v>
      </c>
      <c r="H434" t="s">
        <v>8</v>
      </c>
      <c r="I434"/>
      <c r="J434" t="e">
        <f>VLOOKUP(bron[[#This Row],[voertuig]],Voertuigen!A:C,3,FALSE)</f>
        <v>#N/A</v>
      </c>
      <c r="K434" t="e">
        <f>VLOOKUP(bron[[#This Row],[voertuig]],Voertuigen!A:C,2,FALSE)</f>
        <v>#N/A</v>
      </c>
      <c r="L434">
        <f>COUNTIF(A:A,bron[[#This Row],[personeelsnr]])</f>
        <v>4</v>
      </c>
    </row>
    <row r="435" spans="1:12" hidden="1" x14ac:dyDescent="0.25">
      <c r="A435">
        <v>32951</v>
      </c>
      <c r="B435" t="str">
        <f>VLOOKUP(bron[[#This Row],[personeelsnr]],[1]Blad1!$A:$H,2,FALSE)</f>
        <v>De Bruyne Sonia</v>
      </c>
      <c r="C435" t="str">
        <f>VLOOKUP(bron[[#This Row],[personeelsnr]],[1]Blad1!$A:$H,3,FALSE)</f>
        <v>De Bruyne</v>
      </c>
      <c r="D435" t="str">
        <f>VLOOKUP(bron[[#This Row],[personeelsnr]],[1]Blad1!$A:$H,4,FALSE)</f>
        <v>Sonia</v>
      </c>
      <c r="E435" s="2" t="str">
        <f>VLOOKUP(bron[[#This Row],[personeelsnr]],[1]Blad1!$A:$H,8,FALSE)</f>
        <v>Van De Velde Lucie</v>
      </c>
      <c r="F435" s="6">
        <v>45602</v>
      </c>
      <c r="G435" s="5" t="s">
        <v>717</v>
      </c>
      <c r="H435" t="s">
        <v>718</v>
      </c>
      <c r="I435"/>
      <c r="J435" t="e">
        <f>VLOOKUP(bron[[#This Row],[voertuig]],Voertuigen!A:C,3,FALSE)</f>
        <v>#N/A</v>
      </c>
      <c r="K435" t="e">
        <f>VLOOKUP(bron[[#This Row],[voertuig]],Voertuigen!A:C,2,FALSE)</f>
        <v>#N/A</v>
      </c>
      <c r="L435">
        <f>COUNTIF(A:A,bron[[#This Row],[personeelsnr]])</f>
        <v>6</v>
      </c>
    </row>
    <row r="436" spans="1:12" hidden="1" x14ac:dyDescent="0.25">
      <c r="A436">
        <v>30121</v>
      </c>
      <c r="B436" t="str">
        <f>VLOOKUP(bron[[#This Row],[personeelsnr]],[1]Blad1!$A:$H,2,FALSE)</f>
        <v>Simons Andreas</v>
      </c>
      <c r="C436" t="str">
        <f>VLOOKUP(bron[[#This Row],[personeelsnr]],[1]Blad1!$A:$H,3,FALSE)</f>
        <v>Simons</v>
      </c>
      <c r="D436" t="str">
        <f>VLOOKUP(bron[[#This Row],[personeelsnr]],[1]Blad1!$A:$H,4,FALSE)</f>
        <v>Andreas</v>
      </c>
      <c r="E436" s="2" t="str">
        <f>VLOOKUP(bron[[#This Row],[personeelsnr]],[1]Blad1!$A:$H,8,FALSE)</f>
        <v>Rotty Christoff</v>
      </c>
      <c r="F436" s="6">
        <v>45602</v>
      </c>
      <c r="G436" s="5" t="s">
        <v>719</v>
      </c>
      <c r="H436" t="s">
        <v>11</v>
      </c>
      <c r="I436"/>
      <c r="J436" t="e">
        <f>VLOOKUP(bron[[#This Row],[voertuig]],Voertuigen!A:C,3,FALSE)</f>
        <v>#N/A</v>
      </c>
      <c r="K436" t="e">
        <f>VLOOKUP(bron[[#This Row],[voertuig]],Voertuigen!A:C,2,FALSE)</f>
        <v>#N/A</v>
      </c>
      <c r="L436">
        <f>COUNTIF(A:A,bron[[#This Row],[personeelsnr]])</f>
        <v>3</v>
      </c>
    </row>
    <row r="437" spans="1:12" hidden="1" x14ac:dyDescent="0.25">
      <c r="A437">
        <v>33965</v>
      </c>
      <c r="B437" t="e">
        <f>VLOOKUP(bron[[#This Row],[personeelsnr]],[1]Blad1!$A:$H,2,FALSE)</f>
        <v>#N/A</v>
      </c>
      <c r="C437" t="e">
        <f>VLOOKUP(bron[[#This Row],[personeelsnr]],[1]Blad1!$A:$H,3,FALSE)</f>
        <v>#N/A</v>
      </c>
      <c r="D437" t="e">
        <f>VLOOKUP(bron[[#This Row],[personeelsnr]],[1]Blad1!$A:$H,4,FALSE)</f>
        <v>#N/A</v>
      </c>
      <c r="E437" s="2" t="s">
        <v>221</v>
      </c>
      <c r="F437" s="6">
        <v>45603</v>
      </c>
      <c r="G437" s="5" t="s">
        <v>720</v>
      </c>
      <c r="H437" t="s">
        <v>721</v>
      </c>
      <c r="I437"/>
      <c r="J437" t="e">
        <f>VLOOKUP(bron[[#This Row],[voertuig]],Voertuigen!A:C,3,FALSE)</f>
        <v>#N/A</v>
      </c>
      <c r="K437" t="e">
        <f>VLOOKUP(bron[[#This Row],[voertuig]],Voertuigen!A:C,2,FALSE)</f>
        <v>#N/A</v>
      </c>
      <c r="L437">
        <f>COUNTIF(A:A,bron[[#This Row],[personeelsnr]])</f>
        <v>10</v>
      </c>
    </row>
    <row r="438" spans="1:12" hidden="1" x14ac:dyDescent="0.25">
      <c r="A438">
        <v>40223</v>
      </c>
      <c r="B438" t="e">
        <f>VLOOKUP(bron[[#This Row],[personeelsnr]],[1]Blad1!$A:$H,2,FALSE)</f>
        <v>#N/A</v>
      </c>
      <c r="C438" t="e">
        <f>VLOOKUP(bron[[#This Row],[personeelsnr]],[1]Blad1!$A:$H,3,FALSE)</f>
        <v>#N/A</v>
      </c>
      <c r="D438" t="e">
        <f>VLOOKUP(bron[[#This Row],[personeelsnr]],[1]Blad1!$A:$H,4,FALSE)</f>
        <v>#N/A</v>
      </c>
      <c r="E438" s="2" t="s">
        <v>221</v>
      </c>
      <c r="F438" s="6">
        <v>45603</v>
      </c>
      <c r="G438" s="5" t="s">
        <v>722</v>
      </c>
      <c r="H438" t="s">
        <v>155</v>
      </c>
      <c r="I438"/>
      <c r="J438" t="e">
        <f>VLOOKUP(bron[[#This Row],[voertuig]],Voertuigen!A:C,3,FALSE)</f>
        <v>#N/A</v>
      </c>
      <c r="K438" t="e">
        <f>VLOOKUP(bron[[#This Row],[voertuig]],Voertuigen!A:C,2,FALSE)</f>
        <v>#N/A</v>
      </c>
      <c r="L438">
        <f>COUNTIF(A:A,bron[[#This Row],[personeelsnr]])</f>
        <v>8</v>
      </c>
    </row>
    <row r="439" spans="1:12" hidden="1" x14ac:dyDescent="0.25">
      <c r="A439">
        <v>20400</v>
      </c>
      <c r="B439" t="str">
        <f>VLOOKUP(bron[[#This Row],[personeelsnr]],[1]Blad1!$A:$H,2,FALSE)</f>
        <v>Allan Kenneth</v>
      </c>
      <c r="C439" t="str">
        <f>VLOOKUP(bron[[#This Row],[personeelsnr]],[1]Blad1!$A:$H,3,FALSE)</f>
        <v>Allan</v>
      </c>
      <c r="D439" t="str">
        <f>VLOOKUP(bron[[#This Row],[personeelsnr]],[1]Blad1!$A:$H,4,FALSE)</f>
        <v>Kenneth</v>
      </c>
      <c r="E439" s="2" t="str">
        <f>VLOOKUP(bron[[#This Row],[personeelsnr]],[1]Blad1!$A:$H,8,FALSE)</f>
        <v>De Clercq Dominique</v>
      </c>
      <c r="F439" s="6">
        <v>45604</v>
      </c>
      <c r="G439" s="5" t="s">
        <v>723</v>
      </c>
      <c r="H439" t="s">
        <v>8</v>
      </c>
      <c r="I439"/>
      <c r="J439" t="e">
        <f>VLOOKUP(bron[[#This Row],[voertuig]],Voertuigen!A:C,3,FALSE)</f>
        <v>#N/A</v>
      </c>
      <c r="K439" t="e">
        <f>VLOOKUP(bron[[#This Row],[voertuig]],Voertuigen!A:C,2,FALSE)</f>
        <v>#N/A</v>
      </c>
      <c r="L439">
        <f>COUNTIF(A:A,bron[[#This Row],[personeelsnr]])</f>
        <v>1</v>
      </c>
    </row>
    <row r="440" spans="1:12" hidden="1" x14ac:dyDescent="0.25">
      <c r="A440">
        <v>21121</v>
      </c>
      <c r="B440" t="str">
        <f>VLOOKUP(bron[[#This Row],[personeelsnr]],[1]Blad1!$A:$H,2,FALSE)</f>
        <v>Laforce Mike</v>
      </c>
      <c r="C440" t="str">
        <f>VLOOKUP(bron[[#This Row],[personeelsnr]],[1]Blad1!$A:$H,3,FALSE)</f>
        <v>Laforce</v>
      </c>
      <c r="D440" t="str">
        <f>VLOOKUP(bron[[#This Row],[personeelsnr]],[1]Blad1!$A:$H,4,FALSE)</f>
        <v>Mike</v>
      </c>
      <c r="E440" s="2" t="str">
        <f>VLOOKUP(bron[[#This Row],[personeelsnr]],[1]Blad1!$A:$H,8,FALSE)</f>
        <v>De Rick Kenneth</v>
      </c>
      <c r="F440" s="6">
        <v>45604</v>
      </c>
      <c r="G440" s="5" t="s">
        <v>724</v>
      </c>
      <c r="H440" t="s">
        <v>13</v>
      </c>
      <c r="I440"/>
      <c r="J440" t="e">
        <f>VLOOKUP(bron[[#This Row],[voertuig]],Voertuigen!A:C,3,FALSE)</f>
        <v>#N/A</v>
      </c>
      <c r="K440" t="e">
        <f>VLOOKUP(bron[[#This Row],[voertuig]],Voertuigen!A:C,2,FALSE)</f>
        <v>#N/A</v>
      </c>
      <c r="L440">
        <f>COUNTIF(A:A,bron[[#This Row],[personeelsnr]])</f>
        <v>2</v>
      </c>
    </row>
    <row r="441" spans="1:12" hidden="1" x14ac:dyDescent="0.25">
      <c r="A441">
        <v>37496</v>
      </c>
      <c r="B441" t="str">
        <f>VLOOKUP(bron[[#This Row],[personeelsnr]],[1]Blad1!$A:$H,2,FALSE)</f>
        <v>Oosterlinck Willy</v>
      </c>
      <c r="C441" t="str">
        <f>VLOOKUP(bron[[#This Row],[personeelsnr]],[1]Blad1!$A:$H,3,FALSE)</f>
        <v>Oosterlinck</v>
      </c>
      <c r="D441" t="str">
        <f>VLOOKUP(bron[[#This Row],[personeelsnr]],[1]Blad1!$A:$H,4,FALSE)</f>
        <v>Willy</v>
      </c>
      <c r="E441" s="2" t="str">
        <f>VLOOKUP(bron[[#This Row],[personeelsnr]],[1]Blad1!$A:$H,8,FALSE)</f>
        <v>De Clercq Dominique</v>
      </c>
      <c r="F441" s="6">
        <v>45605</v>
      </c>
      <c r="G441" s="5" t="s">
        <v>725</v>
      </c>
      <c r="H441" t="s">
        <v>8</v>
      </c>
      <c r="I441"/>
      <c r="J441" t="e">
        <f>VLOOKUP(bron[[#This Row],[voertuig]],Voertuigen!A:C,3,FALSE)</f>
        <v>#N/A</v>
      </c>
      <c r="K441" t="e">
        <f>VLOOKUP(bron[[#This Row],[voertuig]],Voertuigen!A:C,2,FALSE)</f>
        <v>#N/A</v>
      </c>
      <c r="L441">
        <f>COUNTIF(A:A,bron[[#This Row],[personeelsnr]])</f>
        <v>4</v>
      </c>
    </row>
    <row r="442" spans="1:12" hidden="1" x14ac:dyDescent="0.25">
      <c r="A442">
        <v>16545</v>
      </c>
      <c r="B442" t="str">
        <f>VLOOKUP(bron[[#This Row],[personeelsnr]],[1]Blad1!$A:$H,2,FALSE)</f>
        <v>Toch Erwin</v>
      </c>
      <c r="C442" t="str">
        <f>VLOOKUP(bron[[#This Row],[personeelsnr]],[1]Blad1!$A:$H,3,FALSE)</f>
        <v>Toch</v>
      </c>
      <c r="D442" t="str">
        <f>VLOOKUP(bron[[#This Row],[personeelsnr]],[1]Blad1!$A:$H,4,FALSE)</f>
        <v>Erwin</v>
      </c>
      <c r="E442" s="2" t="str">
        <f>VLOOKUP(bron[[#This Row],[personeelsnr]],[1]Blad1!$A:$H,8,FALSE)</f>
        <v>Van Der Beken Bart</v>
      </c>
      <c r="F442" s="6">
        <v>45605</v>
      </c>
      <c r="G442" s="5" t="s">
        <v>726</v>
      </c>
      <c r="H442" t="s">
        <v>15</v>
      </c>
      <c r="I442"/>
      <c r="J442" t="e">
        <f>VLOOKUP(bron[[#This Row],[voertuig]],Voertuigen!A:C,3,FALSE)</f>
        <v>#N/A</v>
      </c>
      <c r="K442" t="e">
        <f>VLOOKUP(bron[[#This Row],[voertuig]],Voertuigen!A:C,2,FALSE)</f>
        <v>#N/A</v>
      </c>
      <c r="L442">
        <f>COUNTIF(A:A,bron[[#This Row],[personeelsnr]])</f>
        <v>2</v>
      </c>
    </row>
    <row r="443" spans="1:12" hidden="1" x14ac:dyDescent="0.25">
      <c r="A443">
        <v>30119</v>
      </c>
      <c r="B443" t="str">
        <f>VLOOKUP(bron[[#This Row],[personeelsnr]],[1]Blad1!$A:$H,2,FALSE)</f>
        <v>Haerens Tom</v>
      </c>
      <c r="C443" t="str">
        <f>VLOOKUP(bron[[#This Row],[personeelsnr]],[1]Blad1!$A:$H,3,FALSE)</f>
        <v>Haerens</v>
      </c>
      <c r="D443" t="str">
        <f>VLOOKUP(bron[[#This Row],[personeelsnr]],[1]Blad1!$A:$H,4,FALSE)</f>
        <v>Tom</v>
      </c>
      <c r="E443" s="2" t="str">
        <f>VLOOKUP(bron[[#This Row],[personeelsnr]],[1]Blad1!$A:$H,8,FALSE)</f>
        <v>De Clercq Dominique</v>
      </c>
      <c r="F443" s="6">
        <v>45607</v>
      </c>
      <c r="G443" s="5" t="s">
        <v>727</v>
      </c>
      <c r="H443" t="s">
        <v>187</v>
      </c>
      <c r="I443"/>
      <c r="J443" t="e">
        <f>VLOOKUP(bron[[#This Row],[voertuig]],Voertuigen!A:C,3,FALSE)</f>
        <v>#N/A</v>
      </c>
      <c r="K443" t="e">
        <f>VLOOKUP(bron[[#This Row],[voertuig]],Voertuigen!A:C,2,FALSE)</f>
        <v>#N/A</v>
      </c>
      <c r="L443">
        <f>COUNTIF(A:A,bron[[#This Row],[personeelsnr]])</f>
        <v>2</v>
      </c>
    </row>
    <row r="444" spans="1:12" hidden="1" x14ac:dyDescent="0.25">
      <c r="A444">
        <v>36626</v>
      </c>
      <c r="B444" t="str">
        <f>VLOOKUP(bron[[#This Row],[personeelsnr]],[1]Blad1!$A:$H,2,FALSE)</f>
        <v>Kartal Kadir</v>
      </c>
      <c r="C444" t="str">
        <f>VLOOKUP(bron[[#This Row],[personeelsnr]],[1]Blad1!$A:$H,3,FALSE)</f>
        <v>Kartal</v>
      </c>
      <c r="D444" t="str">
        <f>VLOOKUP(bron[[#This Row],[personeelsnr]],[1]Blad1!$A:$H,4,FALSE)</f>
        <v>Kadir</v>
      </c>
      <c r="E444" s="2" t="str">
        <f>VLOOKUP(bron[[#This Row],[personeelsnr]],[1]Blad1!$A:$H,8,FALSE)</f>
        <v>Dewulf Els</v>
      </c>
      <c r="F444" s="6">
        <v>45608</v>
      </c>
      <c r="G444" s="5" t="s">
        <v>728</v>
      </c>
      <c r="H444" t="s">
        <v>46</v>
      </c>
      <c r="I444"/>
      <c r="J444" t="e">
        <f>VLOOKUP(bron[[#This Row],[voertuig]],Voertuigen!A:C,3,FALSE)</f>
        <v>#N/A</v>
      </c>
      <c r="K444" t="e">
        <f>VLOOKUP(bron[[#This Row],[voertuig]],Voertuigen!A:C,2,FALSE)</f>
        <v>#N/A</v>
      </c>
      <c r="L444">
        <f>COUNTIF(A:A,bron[[#This Row],[personeelsnr]])</f>
        <v>10</v>
      </c>
    </row>
    <row r="445" spans="1:12" hidden="1" x14ac:dyDescent="0.25">
      <c r="A445">
        <v>35645</v>
      </c>
      <c r="B445" t="str">
        <f>VLOOKUP(bron[[#This Row],[personeelsnr]],[1]Blad1!$A:$H,2,FALSE)</f>
        <v>Jalili Yaseeb</v>
      </c>
      <c r="C445" t="str">
        <f>VLOOKUP(bron[[#This Row],[personeelsnr]],[1]Blad1!$A:$H,3,FALSE)</f>
        <v>Jalili</v>
      </c>
      <c r="D445" t="str">
        <f>VLOOKUP(bron[[#This Row],[personeelsnr]],[1]Blad1!$A:$H,4,FALSE)</f>
        <v>Yaseeb</v>
      </c>
      <c r="E445" s="2" t="str">
        <f>VLOOKUP(bron[[#This Row],[personeelsnr]],[1]Blad1!$A:$H,8,FALSE)</f>
        <v>Storm Steven</v>
      </c>
      <c r="F445" s="6">
        <v>45608</v>
      </c>
      <c r="G445" s="5" t="s">
        <v>729</v>
      </c>
      <c r="H445" t="s">
        <v>8</v>
      </c>
      <c r="I445"/>
      <c r="J445" t="e">
        <f>VLOOKUP(bron[[#This Row],[voertuig]],Voertuigen!A:C,3,FALSE)</f>
        <v>#N/A</v>
      </c>
      <c r="K445" t="e">
        <f>VLOOKUP(bron[[#This Row],[voertuig]],Voertuigen!A:C,2,FALSE)</f>
        <v>#N/A</v>
      </c>
      <c r="L445">
        <f>COUNTIF(A:A,bron[[#This Row],[personeelsnr]])</f>
        <v>4</v>
      </c>
    </row>
    <row r="446" spans="1:12" hidden="1" x14ac:dyDescent="0.25">
      <c r="A446">
        <v>19249</v>
      </c>
      <c r="B446" t="str">
        <f>VLOOKUP(bron[[#This Row],[personeelsnr]],[1]Blad1!$A:$H,2,FALSE)</f>
        <v>Odaci Kadir</v>
      </c>
      <c r="C446" t="str">
        <f>VLOOKUP(bron[[#This Row],[personeelsnr]],[1]Blad1!$A:$H,3,FALSE)</f>
        <v>Odaci</v>
      </c>
      <c r="D446" t="str">
        <f>VLOOKUP(bron[[#This Row],[personeelsnr]],[1]Blad1!$A:$H,4,FALSE)</f>
        <v>Kadir</v>
      </c>
      <c r="E446" s="2" t="str">
        <f>VLOOKUP(bron[[#This Row],[personeelsnr]],[1]Blad1!$A:$H,8,FALSE)</f>
        <v>Van De Velde Lucie</v>
      </c>
      <c r="F446" s="6">
        <v>45609</v>
      </c>
      <c r="G446" s="5" t="s">
        <v>730</v>
      </c>
      <c r="H446" t="s">
        <v>13</v>
      </c>
      <c r="I446"/>
      <c r="J446" t="e">
        <f>VLOOKUP(bron[[#This Row],[voertuig]],Voertuigen!A:C,3,FALSE)</f>
        <v>#N/A</v>
      </c>
      <c r="K446" t="e">
        <f>VLOOKUP(bron[[#This Row],[voertuig]],Voertuigen!A:C,2,FALSE)</f>
        <v>#N/A</v>
      </c>
      <c r="L446">
        <f>COUNTIF(A:A,bron[[#This Row],[personeelsnr]])</f>
        <v>4</v>
      </c>
    </row>
    <row r="447" spans="1:12" hidden="1" x14ac:dyDescent="0.25">
      <c r="A447">
        <v>15676</v>
      </c>
      <c r="B447" t="str">
        <f>VLOOKUP(bron[[#This Row],[personeelsnr]],[1]Blad1!$A:$H,2,FALSE)</f>
        <v>Mestdagh Tony</v>
      </c>
      <c r="C447" t="str">
        <f>VLOOKUP(bron[[#This Row],[personeelsnr]],[1]Blad1!$A:$H,3,FALSE)</f>
        <v>Mestdagh</v>
      </c>
      <c r="D447" t="str">
        <f>VLOOKUP(bron[[#This Row],[personeelsnr]],[1]Blad1!$A:$H,4,FALSE)</f>
        <v>Tony</v>
      </c>
      <c r="E447" s="2" t="str">
        <f>VLOOKUP(bron[[#This Row],[personeelsnr]],[1]Blad1!$A:$H,8,FALSE)</f>
        <v>Van De Velde Lucie</v>
      </c>
      <c r="F447" s="6">
        <v>45609</v>
      </c>
      <c r="G447" s="5" t="s">
        <v>731</v>
      </c>
      <c r="H447" t="s">
        <v>367</v>
      </c>
      <c r="I447"/>
      <c r="J447" t="e">
        <f>VLOOKUP(bron[[#This Row],[voertuig]],Voertuigen!A:C,3,FALSE)</f>
        <v>#N/A</v>
      </c>
      <c r="K447" t="e">
        <f>VLOOKUP(bron[[#This Row],[voertuig]],Voertuigen!A:C,2,FALSE)</f>
        <v>#N/A</v>
      </c>
      <c r="L447">
        <f>COUNTIF(A:A,bron[[#This Row],[personeelsnr]])</f>
        <v>1</v>
      </c>
    </row>
    <row r="448" spans="1:12" hidden="1" x14ac:dyDescent="0.25">
      <c r="A448">
        <v>9999</v>
      </c>
      <c r="B448" t="e">
        <f>VLOOKUP(bron[[#This Row],[personeelsnr]],[1]Blad1!$A:$H,2,FALSE)</f>
        <v>#N/A</v>
      </c>
      <c r="C448" t="e">
        <f>VLOOKUP(bron[[#This Row],[personeelsnr]],[1]Blad1!$A:$H,3,FALSE)</f>
        <v>#N/A</v>
      </c>
      <c r="D448" t="e">
        <f>VLOOKUP(bron[[#This Row],[personeelsnr]],[1]Blad1!$A:$H,4,FALSE)</f>
        <v>#N/A</v>
      </c>
      <c r="E448" s="2" t="s">
        <v>221</v>
      </c>
      <c r="F448" s="6">
        <v>45610</v>
      </c>
      <c r="G448" s="5" t="s">
        <v>732</v>
      </c>
      <c r="H448" t="s">
        <v>42</v>
      </c>
      <c r="I448"/>
      <c r="J448" t="e">
        <f>VLOOKUP(bron[[#This Row],[voertuig]],Voertuigen!A:C,3,FALSE)</f>
        <v>#N/A</v>
      </c>
      <c r="K448" t="e">
        <f>VLOOKUP(bron[[#This Row],[voertuig]],Voertuigen!A:C,2,FALSE)</f>
        <v>#N/A</v>
      </c>
      <c r="L448">
        <f>COUNTIF(A:A,bron[[#This Row],[personeelsnr]])</f>
        <v>59</v>
      </c>
    </row>
    <row r="449" spans="1:12" hidden="1" x14ac:dyDescent="0.25">
      <c r="A449">
        <v>39184</v>
      </c>
      <c r="B449" t="str">
        <f>VLOOKUP(bron[[#This Row],[personeelsnr]],[1]Blad1!$A:$H,2,FALSE)</f>
        <v>Shinwari Yasin</v>
      </c>
      <c r="C449" t="str">
        <f>VLOOKUP(bron[[#This Row],[personeelsnr]],[1]Blad1!$A:$H,3,FALSE)</f>
        <v>Shinwari</v>
      </c>
      <c r="D449" t="str">
        <f>VLOOKUP(bron[[#This Row],[personeelsnr]],[1]Blad1!$A:$H,4,FALSE)</f>
        <v>Yasin</v>
      </c>
      <c r="E449" s="2" t="str">
        <f>VLOOKUP(bron[[#This Row],[personeelsnr]],[1]Blad1!$A:$H,8,FALSE)</f>
        <v>Rotty Christoff</v>
      </c>
      <c r="F449" s="6">
        <v>45610</v>
      </c>
      <c r="G449" s="5" t="s">
        <v>733</v>
      </c>
      <c r="H449" t="s">
        <v>12</v>
      </c>
      <c r="I449"/>
      <c r="J449" t="e">
        <f>VLOOKUP(bron[[#This Row],[voertuig]],Voertuigen!A:C,3,FALSE)</f>
        <v>#N/A</v>
      </c>
      <c r="K449" t="e">
        <f>VLOOKUP(bron[[#This Row],[voertuig]],Voertuigen!A:C,2,FALSE)</f>
        <v>#N/A</v>
      </c>
      <c r="L449">
        <f>COUNTIF(A:A,bron[[#This Row],[personeelsnr]])</f>
        <v>3</v>
      </c>
    </row>
    <row r="450" spans="1:12" hidden="1" x14ac:dyDescent="0.25">
      <c r="A450">
        <v>16895</v>
      </c>
      <c r="B450" t="str">
        <f>VLOOKUP(bron[[#This Row],[personeelsnr]],[1]Blad1!$A:$H,2,FALSE)</f>
        <v>Van Lauwe Freddy</v>
      </c>
      <c r="C450" t="str">
        <f>VLOOKUP(bron[[#This Row],[personeelsnr]],[1]Blad1!$A:$H,3,FALSE)</f>
        <v>Van Lauwe</v>
      </c>
      <c r="D450" t="str">
        <f>VLOOKUP(bron[[#This Row],[personeelsnr]],[1]Blad1!$A:$H,4,FALSE)</f>
        <v>Freddy</v>
      </c>
      <c r="E450" s="2" t="str">
        <f>VLOOKUP(bron[[#This Row],[personeelsnr]],[1]Blad1!$A:$H,8,FALSE)</f>
        <v>Van Der Beken Bart</v>
      </c>
      <c r="F450" s="6">
        <v>45610</v>
      </c>
      <c r="G450" s="5" t="s">
        <v>734</v>
      </c>
      <c r="H450" t="s">
        <v>140</v>
      </c>
      <c r="I450"/>
      <c r="J450" t="e">
        <f>VLOOKUP(bron[[#This Row],[voertuig]],Voertuigen!A:C,3,FALSE)</f>
        <v>#N/A</v>
      </c>
      <c r="K450" t="e">
        <f>VLOOKUP(bron[[#This Row],[voertuig]],Voertuigen!A:C,2,FALSE)</f>
        <v>#N/A</v>
      </c>
      <c r="L450">
        <f>COUNTIF(A:A,bron[[#This Row],[personeelsnr]])</f>
        <v>6</v>
      </c>
    </row>
    <row r="451" spans="1:12" hidden="1" x14ac:dyDescent="0.25">
      <c r="A451">
        <v>35430</v>
      </c>
      <c r="B451" t="str">
        <f>VLOOKUP(bron[[#This Row],[personeelsnr]],[1]Blad1!$A:$H,2,FALSE)</f>
        <v>Vlaminck Dirk</v>
      </c>
      <c r="C451" t="str">
        <f>VLOOKUP(bron[[#This Row],[personeelsnr]],[1]Blad1!$A:$H,3,FALSE)</f>
        <v>Vlaminck</v>
      </c>
      <c r="D451" t="str">
        <f>VLOOKUP(bron[[#This Row],[personeelsnr]],[1]Blad1!$A:$H,4,FALSE)</f>
        <v>Dirk</v>
      </c>
      <c r="E451" s="2" t="str">
        <f>VLOOKUP(bron[[#This Row],[personeelsnr]],[1]Blad1!$A:$H,8,FALSE)</f>
        <v>Vanhoe Els</v>
      </c>
      <c r="F451" s="6">
        <v>45611</v>
      </c>
      <c r="G451" s="5" t="s">
        <v>735</v>
      </c>
      <c r="H451" t="s">
        <v>8</v>
      </c>
      <c r="I451"/>
      <c r="J451" t="e">
        <f>VLOOKUP(bron[[#This Row],[voertuig]],Voertuigen!A:C,3,FALSE)</f>
        <v>#N/A</v>
      </c>
      <c r="K451" t="e">
        <f>VLOOKUP(bron[[#This Row],[voertuig]],Voertuigen!A:C,2,FALSE)</f>
        <v>#N/A</v>
      </c>
      <c r="L451">
        <f>COUNTIF(A:A,bron[[#This Row],[personeelsnr]])</f>
        <v>2</v>
      </c>
    </row>
    <row r="452" spans="1:12" hidden="1" x14ac:dyDescent="0.25">
      <c r="A452">
        <v>31111</v>
      </c>
      <c r="B452" t="str">
        <f>VLOOKUP(bron[[#This Row],[personeelsnr]],[1]Blad1!$A:$H,2,FALSE)</f>
        <v>Bonne Niko</v>
      </c>
      <c r="C452" t="str">
        <f>VLOOKUP(bron[[#This Row],[personeelsnr]],[1]Blad1!$A:$H,3,FALSE)</f>
        <v>Bonne</v>
      </c>
      <c r="D452" t="str">
        <f>VLOOKUP(bron[[#This Row],[personeelsnr]],[1]Blad1!$A:$H,4,FALSE)</f>
        <v>Niko</v>
      </c>
      <c r="E452" s="2" t="str">
        <f>VLOOKUP(bron[[#This Row],[personeelsnr]],[1]Blad1!$A:$H,8,FALSE)</f>
        <v>Vanhoe Els</v>
      </c>
      <c r="F452" s="6">
        <v>45613</v>
      </c>
      <c r="G452" s="5" t="s">
        <v>736</v>
      </c>
      <c r="H452" t="s">
        <v>29</v>
      </c>
      <c r="I452"/>
      <c r="J452" t="e">
        <f>VLOOKUP(bron[[#This Row],[voertuig]],Voertuigen!A:C,3,FALSE)</f>
        <v>#N/A</v>
      </c>
      <c r="K452" t="e">
        <f>VLOOKUP(bron[[#This Row],[voertuig]],Voertuigen!A:C,2,FALSE)</f>
        <v>#N/A</v>
      </c>
      <c r="L452">
        <f>COUNTIF(A:A,bron[[#This Row],[personeelsnr]])</f>
        <v>2</v>
      </c>
    </row>
    <row r="453" spans="1:12" hidden="1" x14ac:dyDescent="0.25">
      <c r="A453">
        <v>36228</v>
      </c>
      <c r="B453" t="str">
        <f>VLOOKUP(bron[[#This Row],[personeelsnr]],[1]Blad1!$A:$H,2,FALSE)</f>
        <v>Kilinc Atilay</v>
      </c>
      <c r="C453" t="str">
        <f>VLOOKUP(bron[[#This Row],[personeelsnr]],[1]Blad1!$A:$H,3,FALSE)</f>
        <v>Kilinc</v>
      </c>
      <c r="D453" t="str">
        <f>VLOOKUP(bron[[#This Row],[personeelsnr]],[1]Blad1!$A:$H,4,FALSE)</f>
        <v>Atilay</v>
      </c>
      <c r="E453" s="2" t="str">
        <f>VLOOKUP(bron[[#This Row],[personeelsnr]],[1]Blad1!$A:$H,8,FALSE)</f>
        <v>Vanhoe Els</v>
      </c>
      <c r="F453" s="6">
        <v>45614</v>
      </c>
      <c r="G453" s="5" t="s">
        <v>737</v>
      </c>
      <c r="H453" t="s">
        <v>8</v>
      </c>
      <c r="I453"/>
      <c r="J453" t="e">
        <f>VLOOKUP(bron[[#This Row],[voertuig]],Voertuigen!A:C,3,FALSE)</f>
        <v>#N/A</v>
      </c>
      <c r="K453" t="e">
        <f>VLOOKUP(bron[[#This Row],[voertuig]],Voertuigen!A:C,2,FALSE)</f>
        <v>#N/A</v>
      </c>
      <c r="L453">
        <f>COUNTIF(A:A,bron[[#This Row],[personeelsnr]])</f>
        <v>1</v>
      </c>
    </row>
    <row r="454" spans="1:12" hidden="1" x14ac:dyDescent="0.25">
      <c r="A454">
        <v>40200</v>
      </c>
      <c r="B454" t="str">
        <f>VLOOKUP(bron[[#This Row],[personeelsnr]],[1]Blad1!$A:$H,2,FALSE)</f>
        <v>Shahriyari Khalil</v>
      </c>
      <c r="C454" t="str">
        <f>VLOOKUP(bron[[#This Row],[personeelsnr]],[1]Blad1!$A:$H,3,FALSE)</f>
        <v>Shahriyari</v>
      </c>
      <c r="D454" t="str">
        <f>VLOOKUP(bron[[#This Row],[personeelsnr]],[1]Blad1!$A:$H,4,FALSE)</f>
        <v>Khalil</v>
      </c>
      <c r="E454" s="2" t="str">
        <f>VLOOKUP(bron[[#This Row],[personeelsnr]],[1]Blad1!$A:$H,8,FALSE)</f>
        <v>De Clercq Dominique</v>
      </c>
      <c r="F454" s="6">
        <v>45615</v>
      </c>
      <c r="G454" s="5" t="s">
        <v>738</v>
      </c>
      <c r="H454" t="s">
        <v>739</v>
      </c>
      <c r="I454"/>
      <c r="J454" t="e">
        <f>VLOOKUP(bron[[#This Row],[voertuig]],Voertuigen!A:C,3,FALSE)</f>
        <v>#N/A</v>
      </c>
      <c r="K454" t="e">
        <f>VLOOKUP(bron[[#This Row],[voertuig]],Voertuigen!A:C,2,FALSE)</f>
        <v>#N/A</v>
      </c>
      <c r="L454">
        <f>COUNTIF(A:A,bron[[#This Row],[personeelsnr]])</f>
        <v>2</v>
      </c>
    </row>
    <row r="455" spans="1:12" hidden="1" x14ac:dyDescent="0.25">
      <c r="A455">
        <v>35463</v>
      </c>
      <c r="B455" t="str">
        <f>VLOOKUP(bron[[#This Row],[personeelsnr]],[1]Blad1!$A:$H,2,FALSE)</f>
        <v>Vandaele Tom</v>
      </c>
      <c r="C455" t="str">
        <f>VLOOKUP(bron[[#This Row],[personeelsnr]],[1]Blad1!$A:$H,3,FALSE)</f>
        <v>Vandaele</v>
      </c>
      <c r="D455" t="str">
        <f>VLOOKUP(bron[[#This Row],[personeelsnr]],[1]Blad1!$A:$H,4,FALSE)</f>
        <v>Tom</v>
      </c>
      <c r="E455" s="2" t="str">
        <f>VLOOKUP(bron[[#This Row],[personeelsnr]],[1]Blad1!$A:$H,8,FALSE)</f>
        <v>De Clercq Dominique</v>
      </c>
      <c r="F455" s="6">
        <v>45615</v>
      </c>
      <c r="G455" s="5" t="s">
        <v>740</v>
      </c>
      <c r="H455" t="s">
        <v>741</v>
      </c>
      <c r="I455"/>
      <c r="J455" t="e">
        <f>VLOOKUP(bron[[#This Row],[voertuig]],Voertuigen!A:C,3,FALSE)</f>
        <v>#N/A</v>
      </c>
      <c r="K455" t="e">
        <f>VLOOKUP(bron[[#This Row],[voertuig]],Voertuigen!A:C,2,FALSE)</f>
        <v>#N/A</v>
      </c>
      <c r="L455">
        <f>COUNTIF(A:A,bron[[#This Row],[personeelsnr]])</f>
        <v>4</v>
      </c>
    </row>
    <row r="456" spans="1:12" hidden="1" x14ac:dyDescent="0.25">
      <c r="A456">
        <v>29821</v>
      </c>
      <c r="B456" t="str">
        <f>VLOOKUP(bron[[#This Row],[personeelsnr]],[1]Blad1!$A:$H,2,FALSE)</f>
        <v>Mehman Doust Farhad</v>
      </c>
      <c r="C456" t="str">
        <f>VLOOKUP(bron[[#This Row],[personeelsnr]],[1]Blad1!$A:$H,3,FALSE)</f>
        <v>Mehman Doust</v>
      </c>
      <c r="D456" t="str">
        <f>VLOOKUP(bron[[#This Row],[personeelsnr]],[1]Blad1!$A:$H,4,FALSE)</f>
        <v>Farhad</v>
      </c>
      <c r="E456" s="2" t="str">
        <f>VLOOKUP(bron[[#This Row],[personeelsnr]],[1]Blad1!$A:$H,8,FALSE)</f>
        <v>De Clercq Dominique</v>
      </c>
      <c r="F456" s="6">
        <v>45615</v>
      </c>
      <c r="G456" s="5" t="s">
        <v>742</v>
      </c>
      <c r="H456" t="s">
        <v>359</v>
      </c>
      <c r="I456"/>
      <c r="J456" t="e">
        <f>VLOOKUP(bron[[#This Row],[voertuig]],Voertuigen!A:C,3,FALSE)</f>
        <v>#N/A</v>
      </c>
      <c r="K456" t="e">
        <f>VLOOKUP(bron[[#This Row],[voertuig]],Voertuigen!A:C,2,FALSE)</f>
        <v>#N/A</v>
      </c>
      <c r="L456">
        <f>COUNTIF(A:A,bron[[#This Row],[personeelsnr]])</f>
        <v>1</v>
      </c>
    </row>
    <row r="457" spans="1:12" hidden="1" x14ac:dyDescent="0.25">
      <c r="A457">
        <v>30967</v>
      </c>
      <c r="B457" t="str">
        <f>VLOOKUP(bron[[#This Row],[personeelsnr]],[1]Blad1!$A:$H,2,FALSE)</f>
        <v>Taser Fatih</v>
      </c>
      <c r="C457" t="str">
        <f>VLOOKUP(bron[[#This Row],[personeelsnr]],[1]Blad1!$A:$H,3,FALSE)</f>
        <v>Taser</v>
      </c>
      <c r="D457" t="str">
        <f>VLOOKUP(bron[[#This Row],[personeelsnr]],[1]Blad1!$A:$H,4,FALSE)</f>
        <v>Fatih</v>
      </c>
      <c r="E457" s="2" t="str">
        <f>VLOOKUP(bron[[#This Row],[personeelsnr]],[1]Blad1!$A:$H,8,FALSE)</f>
        <v>De Clercq Dominique</v>
      </c>
      <c r="F457" s="6">
        <v>45615</v>
      </c>
      <c r="G457" s="5" t="s">
        <v>743</v>
      </c>
      <c r="H457" t="s">
        <v>11</v>
      </c>
      <c r="I457"/>
      <c r="J457" t="e">
        <f>VLOOKUP(bron[[#This Row],[voertuig]],Voertuigen!A:C,3,FALSE)</f>
        <v>#N/A</v>
      </c>
      <c r="K457" t="e">
        <f>VLOOKUP(bron[[#This Row],[voertuig]],Voertuigen!A:C,2,FALSE)</f>
        <v>#N/A</v>
      </c>
      <c r="L457">
        <f>COUNTIF(A:A,bron[[#This Row],[personeelsnr]])</f>
        <v>3</v>
      </c>
    </row>
    <row r="458" spans="1:12" hidden="1" x14ac:dyDescent="0.25">
      <c r="A458">
        <v>31635</v>
      </c>
      <c r="B458" t="str">
        <f>VLOOKUP(bron[[#This Row],[personeelsnr]],[1]Blad1!$A:$H,2,FALSE)</f>
        <v>Vaeyens Midas</v>
      </c>
      <c r="C458" t="str">
        <f>VLOOKUP(bron[[#This Row],[personeelsnr]],[1]Blad1!$A:$H,3,FALSE)</f>
        <v>Vaeyens</v>
      </c>
      <c r="D458" t="str">
        <f>VLOOKUP(bron[[#This Row],[personeelsnr]],[1]Blad1!$A:$H,4,FALSE)</f>
        <v>Midas</v>
      </c>
      <c r="E458" s="2" t="str">
        <f>VLOOKUP(bron[[#This Row],[personeelsnr]],[1]Blad1!$A:$H,8,FALSE)</f>
        <v>Vanhoe Els</v>
      </c>
      <c r="F458" s="6">
        <v>45616</v>
      </c>
      <c r="G458" s="5" t="s">
        <v>744</v>
      </c>
      <c r="H458" t="s">
        <v>193</v>
      </c>
      <c r="I458"/>
      <c r="J458" t="e">
        <f>VLOOKUP(bron[[#This Row],[voertuig]],Voertuigen!A:C,3,FALSE)</f>
        <v>#N/A</v>
      </c>
      <c r="K458" t="e">
        <f>VLOOKUP(bron[[#This Row],[voertuig]],Voertuigen!A:C,2,FALSE)</f>
        <v>#N/A</v>
      </c>
      <c r="L458">
        <f>COUNTIF(A:A,bron[[#This Row],[personeelsnr]])</f>
        <v>2</v>
      </c>
    </row>
    <row r="459" spans="1:12" hidden="1" x14ac:dyDescent="0.25">
      <c r="A459">
        <v>34445</v>
      </c>
      <c r="B459" t="str">
        <f>VLOOKUP(bron[[#This Row],[personeelsnr]],[1]Blad1!$A:$H,2,FALSE)</f>
        <v>Wulleput Illya</v>
      </c>
      <c r="C459" t="str">
        <f>VLOOKUP(bron[[#This Row],[personeelsnr]],[1]Blad1!$A:$H,3,FALSE)</f>
        <v>Wulleput</v>
      </c>
      <c r="D459" t="str">
        <f>VLOOKUP(bron[[#This Row],[personeelsnr]],[1]Blad1!$A:$H,4,FALSE)</f>
        <v>Illya</v>
      </c>
      <c r="E459" s="2" t="str">
        <f>VLOOKUP(bron[[#This Row],[personeelsnr]],[1]Blad1!$A:$H,8,FALSE)</f>
        <v>De Clercq Dominique</v>
      </c>
      <c r="F459" s="6">
        <v>45617</v>
      </c>
      <c r="G459" s="5" t="s">
        <v>745</v>
      </c>
      <c r="H459" t="s">
        <v>667</v>
      </c>
      <c r="I459"/>
      <c r="J459" t="e">
        <f>VLOOKUP(bron[[#This Row],[voertuig]],Voertuigen!A:C,3,FALSE)</f>
        <v>#N/A</v>
      </c>
      <c r="K459" t="e">
        <f>VLOOKUP(bron[[#This Row],[voertuig]],Voertuigen!A:C,2,FALSE)</f>
        <v>#N/A</v>
      </c>
      <c r="L459">
        <f>COUNTIF(A:A,bron[[#This Row],[personeelsnr]])</f>
        <v>6</v>
      </c>
    </row>
    <row r="460" spans="1:12" hidden="1" x14ac:dyDescent="0.25">
      <c r="A460">
        <v>32951</v>
      </c>
      <c r="B460" t="str">
        <f>VLOOKUP(bron[[#This Row],[personeelsnr]],[1]Blad1!$A:$H,2,FALSE)</f>
        <v>De Bruyne Sonia</v>
      </c>
      <c r="C460" t="str">
        <f>VLOOKUP(bron[[#This Row],[personeelsnr]],[1]Blad1!$A:$H,3,FALSE)</f>
        <v>De Bruyne</v>
      </c>
      <c r="D460" t="str">
        <f>VLOOKUP(bron[[#This Row],[personeelsnr]],[1]Blad1!$A:$H,4,FALSE)</f>
        <v>Sonia</v>
      </c>
      <c r="E460" s="2" t="str">
        <f>VLOOKUP(bron[[#This Row],[personeelsnr]],[1]Blad1!$A:$H,8,FALSE)</f>
        <v>Van De Velde Lucie</v>
      </c>
      <c r="F460" s="6">
        <v>45618</v>
      </c>
      <c r="G460" s="5" t="s">
        <v>746</v>
      </c>
      <c r="H460" t="s">
        <v>195</v>
      </c>
      <c r="I460"/>
      <c r="J460" t="e">
        <f>VLOOKUP(bron[[#This Row],[voertuig]],Voertuigen!A:C,3,FALSE)</f>
        <v>#N/A</v>
      </c>
      <c r="K460" t="e">
        <f>VLOOKUP(bron[[#This Row],[voertuig]],Voertuigen!A:C,2,FALSE)</f>
        <v>#N/A</v>
      </c>
      <c r="L460">
        <f>COUNTIF(A:A,bron[[#This Row],[personeelsnr]])</f>
        <v>6</v>
      </c>
    </row>
    <row r="461" spans="1:12" hidden="1" x14ac:dyDescent="0.25">
      <c r="A461">
        <v>34445</v>
      </c>
      <c r="B461" t="str">
        <f>VLOOKUP(bron[[#This Row],[personeelsnr]],[1]Blad1!$A:$H,2,FALSE)</f>
        <v>Wulleput Illya</v>
      </c>
      <c r="C461" t="str">
        <f>VLOOKUP(bron[[#This Row],[personeelsnr]],[1]Blad1!$A:$H,3,FALSE)</f>
        <v>Wulleput</v>
      </c>
      <c r="D461" t="str">
        <f>VLOOKUP(bron[[#This Row],[personeelsnr]],[1]Blad1!$A:$H,4,FALSE)</f>
        <v>Illya</v>
      </c>
      <c r="E461" s="2" t="str">
        <f>VLOOKUP(bron[[#This Row],[personeelsnr]],[1]Blad1!$A:$H,8,FALSE)</f>
        <v>De Clercq Dominique</v>
      </c>
      <c r="F461" s="6">
        <v>45618</v>
      </c>
      <c r="G461" s="5" t="s">
        <v>747</v>
      </c>
      <c r="H461" t="s">
        <v>322</v>
      </c>
      <c r="I461"/>
      <c r="J461" t="e">
        <f>VLOOKUP(bron[[#This Row],[voertuig]],Voertuigen!A:C,3,FALSE)</f>
        <v>#N/A</v>
      </c>
      <c r="K461" t="e">
        <f>VLOOKUP(bron[[#This Row],[voertuig]],Voertuigen!A:C,2,FALSE)</f>
        <v>#N/A</v>
      </c>
      <c r="L461">
        <f>COUNTIF(A:A,bron[[#This Row],[personeelsnr]])</f>
        <v>6</v>
      </c>
    </row>
    <row r="462" spans="1:12" hidden="1" x14ac:dyDescent="0.25">
      <c r="A462">
        <v>40138</v>
      </c>
      <c r="B462" t="str">
        <f>VLOOKUP(bron[[#This Row],[personeelsnr]],[1]Blad1!$A:$H,2,FALSE)</f>
        <v>Moerman Tjimmy</v>
      </c>
      <c r="C462" t="str">
        <f>VLOOKUP(bron[[#This Row],[personeelsnr]],[1]Blad1!$A:$H,3,FALSE)</f>
        <v>Moerman</v>
      </c>
      <c r="D462" t="str">
        <f>VLOOKUP(bron[[#This Row],[personeelsnr]],[1]Blad1!$A:$H,4,FALSE)</f>
        <v>Tjimmy</v>
      </c>
      <c r="E462" s="2" t="str">
        <f>VLOOKUP(bron[[#This Row],[personeelsnr]],[1]Blad1!$A:$H,8,FALSE)</f>
        <v>Rotty Christoff</v>
      </c>
      <c r="F462" s="6">
        <v>45619</v>
      </c>
      <c r="G462" s="5" t="s">
        <v>748</v>
      </c>
      <c r="H462" t="s">
        <v>7</v>
      </c>
      <c r="I462"/>
      <c r="J462" t="e">
        <f>VLOOKUP(bron[[#This Row],[voertuig]],Voertuigen!A:C,3,FALSE)</f>
        <v>#N/A</v>
      </c>
      <c r="K462" t="e">
        <f>VLOOKUP(bron[[#This Row],[voertuig]],Voertuigen!A:C,2,FALSE)</f>
        <v>#N/A</v>
      </c>
      <c r="L462">
        <f>COUNTIF(A:A,bron[[#This Row],[personeelsnr]])</f>
        <v>10</v>
      </c>
    </row>
    <row r="463" spans="1:12" hidden="1" x14ac:dyDescent="0.25">
      <c r="A463">
        <v>9999</v>
      </c>
      <c r="B463" t="e">
        <f>VLOOKUP(bron[[#This Row],[personeelsnr]],[1]Blad1!$A:$H,2,FALSE)</f>
        <v>#N/A</v>
      </c>
      <c r="C463" t="e">
        <f>VLOOKUP(bron[[#This Row],[personeelsnr]],[1]Blad1!$A:$H,3,FALSE)</f>
        <v>#N/A</v>
      </c>
      <c r="D463" t="e">
        <f>VLOOKUP(bron[[#This Row],[personeelsnr]],[1]Blad1!$A:$H,4,FALSE)</f>
        <v>#N/A</v>
      </c>
      <c r="E463" s="2" t="s">
        <v>221</v>
      </c>
      <c r="F463" s="6">
        <v>45619</v>
      </c>
      <c r="G463" s="5" t="s">
        <v>749</v>
      </c>
      <c r="H463" t="s">
        <v>750</v>
      </c>
      <c r="I463"/>
      <c r="J463" t="e">
        <f>VLOOKUP(bron[[#This Row],[voertuig]],Voertuigen!A:C,3,FALSE)</f>
        <v>#N/A</v>
      </c>
      <c r="K463" t="e">
        <f>VLOOKUP(bron[[#This Row],[voertuig]],Voertuigen!A:C,2,FALSE)</f>
        <v>#N/A</v>
      </c>
      <c r="L463">
        <f>COUNTIF(A:A,bron[[#This Row],[personeelsnr]])</f>
        <v>59</v>
      </c>
    </row>
    <row r="464" spans="1:12" hidden="1" x14ac:dyDescent="0.25">
      <c r="A464">
        <v>39930</v>
      </c>
      <c r="B464" t="str">
        <f>VLOOKUP(bron[[#This Row],[personeelsnr]],[1]Blad1!$A:$H,2,FALSE)</f>
        <v>Mirazai Rahmatullah</v>
      </c>
      <c r="C464" t="str">
        <f>VLOOKUP(bron[[#This Row],[personeelsnr]],[1]Blad1!$A:$H,3,FALSE)</f>
        <v>Mirazai</v>
      </c>
      <c r="D464" t="str">
        <f>VLOOKUP(bron[[#This Row],[personeelsnr]],[1]Blad1!$A:$H,4,FALSE)</f>
        <v>Rahmatullah</v>
      </c>
      <c r="E464" s="2" t="str">
        <f>VLOOKUP(bron[[#This Row],[personeelsnr]],[1]Blad1!$A:$H,8,FALSE)</f>
        <v>Rotty Christoff</v>
      </c>
      <c r="F464" s="6">
        <v>45622</v>
      </c>
      <c r="G464" s="5" t="s">
        <v>751</v>
      </c>
      <c r="H464" t="s">
        <v>180</v>
      </c>
      <c r="I464"/>
      <c r="J464" t="e">
        <f>VLOOKUP(bron[[#This Row],[voertuig]],Voertuigen!A:C,3,FALSE)</f>
        <v>#N/A</v>
      </c>
      <c r="K464" t="e">
        <f>VLOOKUP(bron[[#This Row],[voertuig]],Voertuigen!A:C,2,FALSE)</f>
        <v>#N/A</v>
      </c>
      <c r="L464">
        <f>COUNTIF(A:A,bron[[#This Row],[personeelsnr]])</f>
        <v>3</v>
      </c>
    </row>
    <row r="465" spans="1:12" hidden="1" x14ac:dyDescent="0.25">
      <c r="A465">
        <v>40134</v>
      </c>
      <c r="B465" t="str">
        <f>VLOOKUP(bron[[#This Row],[personeelsnr]],[1]Blad1!$A:$H,2,FALSE)</f>
        <v>Cardon Sharon</v>
      </c>
      <c r="C465" t="str">
        <f>VLOOKUP(bron[[#This Row],[personeelsnr]],[1]Blad1!$A:$H,3,FALSE)</f>
        <v>Cardon</v>
      </c>
      <c r="D465" t="str">
        <f>VLOOKUP(bron[[#This Row],[personeelsnr]],[1]Blad1!$A:$H,4,FALSE)</f>
        <v>Sharon</v>
      </c>
      <c r="E465" s="2" t="str">
        <f>VLOOKUP(bron[[#This Row],[personeelsnr]],[1]Blad1!$A:$H,8,FALSE)</f>
        <v>De Clercq Dominique</v>
      </c>
      <c r="F465" s="6">
        <v>45624</v>
      </c>
      <c r="G465" s="5" t="s">
        <v>752</v>
      </c>
      <c r="H465" t="s">
        <v>11</v>
      </c>
      <c r="I465"/>
      <c r="J465" t="e">
        <f>VLOOKUP(bron[[#This Row],[voertuig]],Voertuigen!A:C,3,FALSE)</f>
        <v>#N/A</v>
      </c>
      <c r="K465" t="e">
        <f>VLOOKUP(bron[[#This Row],[voertuig]],Voertuigen!A:C,2,FALSE)</f>
        <v>#N/A</v>
      </c>
      <c r="L465">
        <f>COUNTIF(A:A,bron[[#This Row],[personeelsnr]])</f>
        <v>4</v>
      </c>
    </row>
    <row r="466" spans="1:12" hidden="1" x14ac:dyDescent="0.25">
      <c r="A466">
        <v>40859</v>
      </c>
      <c r="B466" t="str">
        <f>VLOOKUP(bron[[#This Row],[personeelsnr]],[1]Blad1!$A:$H,2,FALSE)</f>
        <v>Yagoub Abdelali</v>
      </c>
      <c r="C466" t="str">
        <f>VLOOKUP(bron[[#This Row],[personeelsnr]],[1]Blad1!$A:$H,3,FALSE)</f>
        <v>Yagoub</v>
      </c>
      <c r="D466" t="str">
        <f>VLOOKUP(bron[[#This Row],[personeelsnr]],[1]Blad1!$A:$H,4,FALSE)</f>
        <v>Abdelali</v>
      </c>
      <c r="E466" s="2" t="str">
        <f>VLOOKUP(bron[[#This Row],[personeelsnr]],[1]Blad1!$A:$H,8,FALSE)</f>
        <v>Vanhoe Els</v>
      </c>
      <c r="F466" s="6">
        <v>45624</v>
      </c>
      <c r="G466" s="5" t="s">
        <v>753</v>
      </c>
      <c r="H466" t="s">
        <v>16</v>
      </c>
      <c r="I466"/>
      <c r="J466" t="e">
        <f>VLOOKUP(bron[[#This Row],[voertuig]],Voertuigen!A:C,3,FALSE)</f>
        <v>#N/A</v>
      </c>
      <c r="K466" t="e">
        <f>VLOOKUP(bron[[#This Row],[voertuig]],Voertuigen!A:C,2,FALSE)</f>
        <v>#N/A</v>
      </c>
      <c r="L466">
        <f>COUNTIF(A:A,bron[[#This Row],[personeelsnr]])</f>
        <v>4</v>
      </c>
    </row>
    <row r="467" spans="1:12" hidden="1" x14ac:dyDescent="0.25">
      <c r="A467">
        <v>9999</v>
      </c>
      <c r="B467" t="e">
        <f>VLOOKUP(bron[[#This Row],[personeelsnr]],[1]Blad1!$A:$H,2,FALSE)</f>
        <v>#N/A</v>
      </c>
      <c r="C467" t="e">
        <f>VLOOKUP(bron[[#This Row],[personeelsnr]],[1]Blad1!$A:$H,3,FALSE)</f>
        <v>#N/A</v>
      </c>
      <c r="D467" t="e">
        <f>VLOOKUP(bron[[#This Row],[personeelsnr]],[1]Blad1!$A:$H,4,FALSE)</f>
        <v>#N/A</v>
      </c>
      <c r="E467" s="2" t="s">
        <v>221</v>
      </c>
      <c r="F467" s="6">
        <v>45625</v>
      </c>
      <c r="G467" s="5" t="s">
        <v>754</v>
      </c>
      <c r="H467" t="s">
        <v>10</v>
      </c>
      <c r="I467"/>
      <c r="J467" t="e">
        <f>VLOOKUP(bron[[#This Row],[voertuig]],Voertuigen!A:C,3,FALSE)</f>
        <v>#N/A</v>
      </c>
      <c r="K467" t="e">
        <f>VLOOKUP(bron[[#This Row],[voertuig]],Voertuigen!A:C,2,FALSE)</f>
        <v>#N/A</v>
      </c>
      <c r="L467">
        <f>COUNTIF(A:A,bron[[#This Row],[personeelsnr]])</f>
        <v>59</v>
      </c>
    </row>
    <row r="468" spans="1:12" hidden="1" x14ac:dyDescent="0.25">
      <c r="A468">
        <v>41092</v>
      </c>
      <c r="B468" t="str">
        <f>VLOOKUP(bron[[#This Row],[personeelsnr]],[1]Blad1!$A:$H,2,FALSE)</f>
        <v>De Keyser Dorien</v>
      </c>
      <c r="C468" t="str">
        <f>VLOOKUP(bron[[#This Row],[personeelsnr]],[1]Blad1!$A:$H,3,FALSE)</f>
        <v>De Keyser</v>
      </c>
      <c r="D468" t="str">
        <f>VLOOKUP(bron[[#This Row],[personeelsnr]],[1]Blad1!$A:$H,4,FALSE)</f>
        <v>Dorien</v>
      </c>
      <c r="E468" s="2" t="str">
        <f>VLOOKUP(bron[[#This Row],[personeelsnr]],[1]Blad1!$A:$H,8,FALSE)</f>
        <v>De Clercq Dominique</v>
      </c>
      <c r="F468" s="6">
        <v>45625</v>
      </c>
      <c r="G468" s="5" t="s">
        <v>755</v>
      </c>
      <c r="H468" t="s">
        <v>192</v>
      </c>
      <c r="I468"/>
      <c r="J468" t="e">
        <f>VLOOKUP(bron[[#This Row],[voertuig]],Voertuigen!A:C,3,FALSE)</f>
        <v>#N/A</v>
      </c>
      <c r="K468" t="e">
        <f>VLOOKUP(bron[[#This Row],[voertuig]],Voertuigen!A:C,2,FALSE)</f>
        <v>#N/A</v>
      </c>
      <c r="L468">
        <f>COUNTIF(A:A,bron[[#This Row],[personeelsnr]])</f>
        <v>9</v>
      </c>
    </row>
    <row r="469" spans="1:12" hidden="1" x14ac:dyDescent="0.25">
      <c r="A469">
        <v>40134</v>
      </c>
      <c r="B469" t="str">
        <f>VLOOKUP(bron[[#This Row],[personeelsnr]],[1]Blad1!$A:$H,2,FALSE)</f>
        <v>Cardon Sharon</v>
      </c>
      <c r="C469" t="str">
        <f>VLOOKUP(bron[[#This Row],[personeelsnr]],[1]Blad1!$A:$H,3,FALSE)</f>
        <v>Cardon</v>
      </c>
      <c r="D469" t="str">
        <f>VLOOKUP(bron[[#This Row],[personeelsnr]],[1]Blad1!$A:$H,4,FALSE)</f>
        <v>Sharon</v>
      </c>
      <c r="E469" s="2" t="str">
        <f>VLOOKUP(bron[[#This Row],[personeelsnr]],[1]Blad1!$A:$H,8,FALSE)</f>
        <v>De Clercq Dominique</v>
      </c>
      <c r="F469" s="6">
        <v>45626</v>
      </c>
      <c r="G469" s="5" t="s">
        <v>756</v>
      </c>
      <c r="H469" t="s">
        <v>14</v>
      </c>
      <c r="I469"/>
      <c r="J469" t="e">
        <f>VLOOKUP(bron[[#This Row],[voertuig]],Voertuigen!A:C,3,FALSE)</f>
        <v>#N/A</v>
      </c>
      <c r="K469" t="e">
        <f>VLOOKUP(bron[[#This Row],[voertuig]],Voertuigen!A:C,2,FALSE)</f>
        <v>#N/A</v>
      </c>
      <c r="L469">
        <f>COUNTIF(A:A,bron[[#This Row],[personeelsnr]])</f>
        <v>4</v>
      </c>
    </row>
    <row r="470" spans="1:12" hidden="1" x14ac:dyDescent="0.25">
      <c r="A470">
        <v>12684</v>
      </c>
      <c r="B470" t="str">
        <f>VLOOKUP(bron[[#This Row],[personeelsnr]],[1]Blad1!$A:$H,2,FALSE)</f>
        <v>Van Den Bossche Martine</v>
      </c>
      <c r="C470" t="str">
        <f>VLOOKUP(bron[[#This Row],[personeelsnr]],[1]Blad1!$A:$H,3,FALSE)</f>
        <v>Van Den Bossche</v>
      </c>
      <c r="D470" t="str">
        <f>VLOOKUP(bron[[#This Row],[personeelsnr]],[1]Blad1!$A:$H,4,FALSE)</f>
        <v>Martine</v>
      </c>
      <c r="E470" s="2" t="str">
        <f>VLOOKUP(bron[[#This Row],[personeelsnr]],[1]Blad1!$A:$H,8,FALSE)</f>
        <v>Vanhoe Els</v>
      </c>
      <c r="F470" s="6">
        <v>45626</v>
      </c>
      <c r="G470" s="5" t="s">
        <v>757</v>
      </c>
      <c r="H470" t="s">
        <v>172</v>
      </c>
      <c r="I470"/>
      <c r="J470" t="e">
        <f>VLOOKUP(bron[[#This Row],[voertuig]],Voertuigen!A:C,3,FALSE)</f>
        <v>#N/A</v>
      </c>
      <c r="K470" t="e">
        <f>VLOOKUP(bron[[#This Row],[voertuig]],Voertuigen!A:C,2,FALSE)</f>
        <v>#N/A</v>
      </c>
      <c r="L470">
        <f>COUNTIF(A:A,bron[[#This Row],[personeelsnr]])</f>
        <v>3</v>
      </c>
    </row>
    <row r="471" spans="1:12" hidden="1" x14ac:dyDescent="0.25">
      <c r="A471">
        <v>33965</v>
      </c>
      <c r="B471" t="e">
        <f>VLOOKUP(bron[[#This Row],[personeelsnr]],[1]Blad1!$A:$H,2,FALSE)</f>
        <v>#N/A</v>
      </c>
      <c r="C471" t="e">
        <f>VLOOKUP(bron[[#This Row],[personeelsnr]],[1]Blad1!$A:$H,3,FALSE)</f>
        <v>#N/A</v>
      </c>
      <c r="D471" t="e">
        <f>VLOOKUP(bron[[#This Row],[personeelsnr]],[1]Blad1!$A:$H,4,FALSE)</f>
        <v>#N/A</v>
      </c>
      <c r="E471" s="2" t="s">
        <v>221</v>
      </c>
      <c r="F471" s="6">
        <v>45626</v>
      </c>
      <c r="G471" s="5" t="s">
        <v>758</v>
      </c>
      <c r="H471" t="s">
        <v>80</v>
      </c>
      <c r="I471"/>
      <c r="J471" t="e">
        <f>VLOOKUP(bron[[#This Row],[voertuig]],Voertuigen!A:C,3,FALSE)</f>
        <v>#N/A</v>
      </c>
      <c r="K471" t="e">
        <f>VLOOKUP(bron[[#This Row],[voertuig]],Voertuigen!A:C,2,FALSE)</f>
        <v>#N/A</v>
      </c>
      <c r="L471">
        <f>COUNTIF(A:A,bron[[#This Row],[personeelsnr]])</f>
        <v>10</v>
      </c>
    </row>
    <row r="472" spans="1:12" hidden="1" x14ac:dyDescent="0.25">
      <c r="A472">
        <v>13020</v>
      </c>
      <c r="B472" t="e">
        <f>VLOOKUP(bron[[#This Row],[personeelsnr]],[1]Blad1!$A:$H,2,FALSE)</f>
        <v>#N/A</v>
      </c>
      <c r="C472" t="e">
        <f>VLOOKUP(bron[[#This Row],[personeelsnr]],[1]Blad1!$A:$H,3,FALSE)</f>
        <v>#N/A</v>
      </c>
      <c r="D472" t="e">
        <f>VLOOKUP(bron[[#This Row],[personeelsnr]],[1]Blad1!$A:$H,4,FALSE)</f>
        <v>#N/A</v>
      </c>
      <c r="E472" s="2" t="s">
        <v>221</v>
      </c>
      <c r="F472" s="6">
        <v>45626</v>
      </c>
      <c r="G472" s="5" t="s">
        <v>759</v>
      </c>
      <c r="H472" t="s">
        <v>140</v>
      </c>
      <c r="I472"/>
      <c r="J472" t="e">
        <f>VLOOKUP(bron[[#This Row],[voertuig]],Voertuigen!A:C,3,FALSE)</f>
        <v>#N/A</v>
      </c>
      <c r="K472" t="e">
        <f>VLOOKUP(bron[[#This Row],[voertuig]],Voertuigen!A:C,2,FALSE)</f>
        <v>#N/A</v>
      </c>
      <c r="L472">
        <f>COUNTIF(A:A,bron[[#This Row],[personeelsnr]])</f>
        <v>2</v>
      </c>
    </row>
    <row r="473" spans="1:12" hidden="1" x14ac:dyDescent="0.25">
      <c r="A473">
        <v>36438</v>
      </c>
      <c r="B473" t="str">
        <f>VLOOKUP(bron[[#This Row],[personeelsnr]],[1]Blad1!$A:$H,2,FALSE)</f>
        <v>Agil Birol</v>
      </c>
      <c r="C473" t="str">
        <f>VLOOKUP(bron[[#This Row],[personeelsnr]],[1]Blad1!$A:$H,3,FALSE)</f>
        <v>Agil</v>
      </c>
      <c r="D473" t="str">
        <f>VLOOKUP(bron[[#This Row],[personeelsnr]],[1]Blad1!$A:$H,4,FALSE)</f>
        <v>Birol</v>
      </c>
      <c r="E473" s="2" t="str">
        <f>VLOOKUP(bron[[#This Row],[personeelsnr]],[1]Blad1!$A:$H,8,FALSE)</f>
        <v>Van Der Beken Bart</v>
      </c>
      <c r="F473" s="6">
        <v>45627</v>
      </c>
      <c r="G473" s="5" t="s">
        <v>760</v>
      </c>
      <c r="H473" t="s">
        <v>76</v>
      </c>
      <c r="I473"/>
      <c r="J473" t="e">
        <f>VLOOKUP(bron[[#This Row],[voertuig]],Voertuigen!A:C,3,FALSE)</f>
        <v>#N/A</v>
      </c>
      <c r="K473" t="e">
        <f>VLOOKUP(bron[[#This Row],[voertuig]],Voertuigen!A:C,2,FALSE)</f>
        <v>#N/A</v>
      </c>
      <c r="L473">
        <f>COUNTIF(A:A,bron[[#This Row],[personeelsnr]])</f>
        <v>5</v>
      </c>
    </row>
    <row r="474" spans="1:12" hidden="1" x14ac:dyDescent="0.25">
      <c r="A474">
        <v>19917</v>
      </c>
      <c r="B474" t="str">
        <f>VLOOKUP(bron[[#This Row],[personeelsnr]],[1]Blad1!$A:$H,2,FALSE)</f>
        <v>Vandevyvere Frank</v>
      </c>
      <c r="C474" t="str">
        <f>VLOOKUP(bron[[#This Row],[personeelsnr]],[1]Blad1!$A:$H,3,FALSE)</f>
        <v>Vandevyvere</v>
      </c>
      <c r="D474" t="str">
        <f>VLOOKUP(bron[[#This Row],[personeelsnr]],[1]Blad1!$A:$H,4,FALSE)</f>
        <v>Frank</v>
      </c>
      <c r="E474" s="2" t="str">
        <f>VLOOKUP(bron[[#This Row],[personeelsnr]],[1]Blad1!$A:$H,8,FALSE)</f>
        <v>Van Der Beken Bart</v>
      </c>
      <c r="F474" s="6">
        <v>45628</v>
      </c>
      <c r="G474" s="5" t="s">
        <v>761</v>
      </c>
      <c r="H474" t="s">
        <v>762</v>
      </c>
      <c r="I474"/>
      <c r="J474" t="e">
        <f>VLOOKUP(bron[[#This Row],[voertuig]],Voertuigen!A:C,3,FALSE)</f>
        <v>#N/A</v>
      </c>
      <c r="K474" t="e">
        <f>VLOOKUP(bron[[#This Row],[voertuig]],Voertuigen!A:C,2,FALSE)</f>
        <v>#N/A</v>
      </c>
      <c r="L474">
        <f>COUNTIF(A:A,bron[[#This Row],[personeelsnr]])</f>
        <v>10</v>
      </c>
    </row>
    <row r="475" spans="1:12" hidden="1" x14ac:dyDescent="0.25">
      <c r="A475">
        <v>37254</v>
      </c>
      <c r="B475" t="str">
        <f>VLOOKUP(bron[[#This Row],[personeelsnr]],[1]Blad1!$A:$H,2,FALSE)</f>
        <v>Coulon Rayan</v>
      </c>
      <c r="C475" t="str">
        <f>VLOOKUP(bron[[#This Row],[personeelsnr]],[1]Blad1!$A:$H,3,FALSE)</f>
        <v>Coulon</v>
      </c>
      <c r="D475" t="str">
        <f>VLOOKUP(bron[[#This Row],[personeelsnr]],[1]Blad1!$A:$H,4,FALSE)</f>
        <v>Rayan</v>
      </c>
      <c r="E475" s="2" t="str">
        <f>VLOOKUP(bron[[#This Row],[personeelsnr]],[1]Blad1!$A:$H,8,FALSE)</f>
        <v>De Rick Kenneth</v>
      </c>
      <c r="F475" s="6">
        <v>45628</v>
      </c>
      <c r="G475" s="5" t="s">
        <v>763</v>
      </c>
      <c r="H475" t="s">
        <v>36</v>
      </c>
      <c r="I475"/>
      <c r="J475" t="e">
        <f>VLOOKUP(bron[[#This Row],[voertuig]],Voertuigen!A:C,3,FALSE)</f>
        <v>#N/A</v>
      </c>
      <c r="K475" t="e">
        <f>VLOOKUP(bron[[#This Row],[voertuig]],Voertuigen!A:C,2,FALSE)</f>
        <v>#N/A</v>
      </c>
      <c r="L475">
        <f>COUNTIF(A:A,bron[[#This Row],[personeelsnr]])</f>
        <v>2</v>
      </c>
    </row>
    <row r="476" spans="1:12" hidden="1" x14ac:dyDescent="0.25">
      <c r="A476">
        <v>8394</v>
      </c>
      <c r="B476" t="str">
        <f>VLOOKUP(bron[[#This Row],[personeelsnr]],[1]Blad1!$A:$H,2,FALSE)</f>
        <v>Smet Antoon</v>
      </c>
      <c r="C476" t="str">
        <f>VLOOKUP(bron[[#This Row],[personeelsnr]],[1]Blad1!$A:$H,3,FALSE)</f>
        <v>Smet</v>
      </c>
      <c r="D476" t="str">
        <f>VLOOKUP(bron[[#This Row],[personeelsnr]],[1]Blad1!$A:$H,4,FALSE)</f>
        <v>Antoon</v>
      </c>
      <c r="E476" s="2" t="str">
        <f>VLOOKUP(bron[[#This Row],[personeelsnr]],[1]Blad1!$A:$H,8,FALSE)</f>
        <v>Van De Velde Lucie</v>
      </c>
      <c r="F476" s="6">
        <v>45629</v>
      </c>
      <c r="G476" s="5" t="s">
        <v>764</v>
      </c>
      <c r="H476" t="s">
        <v>155</v>
      </c>
      <c r="I476"/>
      <c r="J476" t="e">
        <f>VLOOKUP(bron[[#This Row],[voertuig]],Voertuigen!A:C,3,FALSE)</f>
        <v>#N/A</v>
      </c>
      <c r="K476" t="e">
        <f>VLOOKUP(bron[[#This Row],[voertuig]],Voertuigen!A:C,2,FALSE)</f>
        <v>#N/A</v>
      </c>
      <c r="L476">
        <f>COUNTIF(A:A,bron[[#This Row],[personeelsnr]])</f>
        <v>4</v>
      </c>
    </row>
    <row r="477" spans="1:12" hidden="1" x14ac:dyDescent="0.25">
      <c r="A477">
        <v>18987</v>
      </c>
      <c r="B477" t="e">
        <f>VLOOKUP(bron[[#This Row],[personeelsnr]],[1]Blad1!$A:$H,2,FALSE)</f>
        <v>#N/A</v>
      </c>
      <c r="C477" t="e">
        <f>VLOOKUP(bron[[#This Row],[personeelsnr]],[1]Blad1!$A:$H,3,FALSE)</f>
        <v>#N/A</v>
      </c>
      <c r="D477" t="e">
        <f>VLOOKUP(bron[[#This Row],[personeelsnr]],[1]Blad1!$A:$H,4,FALSE)</f>
        <v>#N/A</v>
      </c>
      <c r="E477" s="2" t="s">
        <v>221</v>
      </c>
      <c r="F477" s="6">
        <v>45629</v>
      </c>
      <c r="G477" s="5" t="s">
        <v>765</v>
      </c>
      <c r="H477" t="s">
        <v>42</v>
      </c>
      <c r="I477"/>
      <c r="J477" t="e">
        <f>VLOOKUP(bron[[#This Row],[voertuig]],Voertuigen!A:C,3,FALSE)</f>
        <v>#N/A</v>
      </c>
      <c r="K477" t="e">
        <f>VLOOKUP(bron[[#This Row],[voertuig]],Voertuigen!A:C,2,FALSE)</f>
        <v>#N/A</v>
      </c>
      <c r="L477">
        <f>COUNTIF(A:A,bron[[#This Row],[personeelsnr]])</f>
        <v>3</v>
      </c>
    </row>
    <row r="478" spans="1:12" hidden="1" x14ac:dyDescent="0.25">
      <c r="A478">
        <v>32387</v>
      </c>
      <c r="B478" t="str">
        <f>VLOOKUP(bron[[#This Row],[personeelsnr]],[1]Blad1!$A:$H,2,FALSE)</f>
        <v>Meersman Herman</v>
      </c>
      <c r="C478" t="str">
        <f>VLOOKUP(bron[[#This Row],[personeelsnr]],[1]Blad1!$A:$H,3,FALSE)</f>
        <v>Meersman</v>
      </c>
      <c r="D478" t="str">
        <f>VLOOKUP(bron[[#This Row],[personeelsnr]],[1]Blad1!$A:$H,4,FALSE)</f>
        <v>Herman</v>
      </c>
      <c r="E478" s="2" t="str">
        <f>VLOOKUP(bron[[#This Row],[personeelsnr]],[1]Blad1!$A:$H,8,FALSE)</f>
        <v>Storm Steven</v>
      </c>
      <c r="F478" s="6">
        <v>45630</v>
      </c>
      <c r="G478" s="5" t="s">
        <v>766</v>
      </c>
      <c r="H478" t="s">
        <v>8</v>
      </c>
      <c r="I478"/>
      <c r="J478" t="e">
        <f>VLOOKUP(bron[[#This Row],[voertuig]],Voertuigen!A:C,3,FALSE)</f>
        <v>#N/A</v>
      </c>
      <c r="K478" t="e">
        <f>VLOOKUP(bron[[#This Row],[voertuig]],Voertuigen!A:C,2,FALSE)</f>
        <v>#N/A</v>
      </c>
      <c r="L478">
        <f>COUNTIF(A:A,bron[[#This Row],[personeelsnr]])</f>
        <v>4</v>
      </c>
    </row>
    <row r="479" spans="1:12" hidden="1" x14ac:dyDescent="0.25">
      <c r="A479">
        <v>40744</v>
      </c>
      <c r="B479" t="str">
        <f>VLOOKUP(bron[[#This Row],[personeelsnr]],[1]Blad1!$A:$H,2,FALSE)</f>
        <v>Gözüküçük Ugur</v>
      </c>
      <c r="C479" t="str">
        <f>VLOOKUP(bron[[#This Row],[personeelsnr]],[1]Blad1!$A:$H,3,FALSE)</f>
        <v>Gözüküçük</v>
      </c>
      <c r="D479" t="str">
        <f>VLOOKUP(bron[[#This Row],[personeelsnr]],[1]Blad1!$A:$H,4,FALSE)</f>
        <v>Ugur</v>
      </c>
      <c r="E479" s="2" t="str">
        <f>VLOOKUP(bron[[#This Row],[personeelsnr]],[1]Blad1!$A:$H,8,FALSE)</f>
        <v>Van Der Beken Bart</v>
      </c>
      <c r="F479" s="6">
        <v>45630</v>
      </c>
      <c r="G479" s="5" t="s">
        <v>767</v>
      </c>
      <c r="H479" t="s">
        <v>768</v>
      </c>
      <c r="I479"/>
      <c r="J479" t="e">
        <f>VLOOKUP(bron[[#This Row],[voertuig]],Voertuigen!A:C,3,FALSE)</f>
        <v>#N/A</v>
      </c>
      <c r="K479" t="e">
        <f>VLOOKUP(bron[[#This Row],[voertuig]],Voertuigen!A:C,2,FALSE)</f>
        <v>#N/A</v>
      </c>
      <c r="L479">
        <f>COUNTIF(A:A,bron[[#This Row],[personeelsnr]])</f>
        <v>6</v>
      </c>
    </row>
    <row r="480" spans="1:12" hidden="1" x14ac:dyDescent="0.25">
      <c r="A480">
        <v>40744</v>
      </c>
      <c r="B480" t="str">
        <f>VLOOKUP(bron[[#This Row],[personeelsnr]],[1]Blad1!$A:$H,2,FALSE)</f>
        <v>Gözüküçük Ugur</v>
      </c>
      <c r="C480" t="str">
        <f>VLOOKUP(bron[[#This Row],[personeelsnr]],[1]Blad1!$A:$H,3,FALSE)</f>
        <v>Gözüküçük</v>
      </c>
      <c r="D480" t="str">
        <f>VLOOKUP(bron[[#This Row],[personeelsnr]],[1]Blad1!$A:$H,4,FALSE)</f>
        <v>Ugur</v>
      </c>
      <c r="E480" s="2" t="str">
        <f>VLOOKUP(bron[[#This Row],[personeelsnr]],[1]Blad1!$A:$H,8,FALSE)</f>
        <v>Van Der Beken Bart</v>
      </c>
      <c r="F480" s="3">
        <v>45630</v>
      </c>
      <c r="G480" s="5" t="s">
        <v>767</v>
      </c>
      <c r="H480" t="s">
        <v>116</v>
      </c>
      <c r="I480" s="4" t="s">
        <v>220</v>
      </c>
      <c r="J480" s="4">
        <f>VLOOKUP(bron[[#This Row],[voertuig]],Voertuigen!A:C,3,FALSE)</f>
        <v>0</v>
      </c>
      <c r="K480" s="4" t="str">
        <f>VLOOKUP(bron[[#This Row],[voertuig]],Voertuigen!A:C,2,FALSE)</f>
        <v>-</v>
      </c>
      <c r="L480" s="23">
        <f>COUNTIF(A:A,bron[[#This Row],[personeelsnr]])</f>
        <v>6</v>
      </c>
    </row>
    <row r="481" spans="1:12" hidden="1" x14ac:dyDescent="0.25">
      <c r="A481">
        <v>35379</v>
      </c>
      <c r="B481" t="str">
        <f>VLOOKUP(bron[[#This Row],[personeelsnr]],[1]Blad1!$A:$H,2,FALSE)</f>
        <v>Engels Sam</v>
      </c>
      <c r="C481" t="str">
        <f>VLOOKUP(bron[[#This Row],[personeelsnr]],[1]Blad1!$A:$H,3,FALSE)</f>
        <v>Engels</v>
      </c>
      <c r="D481" t="str">
        <f>VLOOKUP(bron[[#This Row],[personeelsnr]],[1]Blad1!$A:$H,4,FALSE)</f>
        <v>Sam</v>
      </c>
      <c r="E481" s="2" t="str">
        <f>VLOOKUP(bron[[#This Row],[personeelsnr]],[1]Blad1!$A:$H,8,FALSE)</f>
        <v>Vanhoe Els</v>
      </c>
      <c r="F481" s="3">
        <v>45632</v>
      </c>
      <c r="G481" s="5" t="s">
        <v>769</v>
      </c>
      <c r="H481" t="s">
        <v>519</v>
      </c>
      <c r="I481"/>
      <c r="J481" t="e">
        <f>VLOOKUP(bron[[#This Row],[voertuig]],Voertuigen!A:C,3,FALSE)</f>
        <v>#N/A</v>
      </c>
      <c r="K481" t="e">
        <f>VLOOKUP(bron[[#This Row],[voertuig]],Voertuigen!A:C,2,FALSE)</f>
        <v>#N/A</v>
      </c>
      <c r="L481">
        <f>COUNTIF(A:A,bron[[#This Row],[personeelsnr]])</f>
        <v>2</v>
      </c>
    </row>
    <row r="482" spans="1:12" hidden="1" x14ac:dyDescent="0.25">
      <c r="A482">
        <v>37794</v>
      </c>
      <c r="B482" t="str">
        <f>VLOOKUP(bron[[#This Row],[personeelsnr]],[1]Blad1!$A:$H,2,FALSE)</f>
        <v>Demirkaya Kâzim</v>
      </c>
      <c r="C482" t="str">
        <f>VLOOKUP(bron[[#This Row],[personeelsnr]],[1]Blad1!$A:$H,3,FALSE)</f>
        <v>Demirkaya</v>
      </c>
      <c r="D482" t="str">
        <f>VLOOKUP(bron[[#This Row],[personeelsnr]],[1]Blad1!$A:$H,4,FALSE)</f>
        <v>Kâzim</v>
      </c>
      <c r="E482" s="2" t="str">
        <f>VLOOKUP(bron[[#This Row],[personeelsnr]],[1]Blad1!$A:$H,8,FALSE)</f>
        <v>Storm Steven</v>
      </c>
      <c r="F482" s="6">
        <v>45632</v>
      </c>
      <c r="G482" s="5" t="s">
        <v>770</v>
      </c>
      <c r="H482" t="s">
        <v>771</v>
      </c>
      <c r="I482"/>
      <c r="J482" t="e">
        <f>VLOOKUP(bron[[#This Row],[voertuig]],Voertuigen!A:C,3,FALSE)</f>
        <v>#N/A</v>
      </c>
      <c r="K482" t="e">
        <f>VLOOKUP(bron[[#This Row],[voertuig]],Voertuigen!A:C,2,FALSE)</f>
        <v>#N/A</v>
      </c>
      <c r="L482">
        <f>COUNTIF(A:A,bron[[#This Row],[personeelsnr]])</f>
        <v>1</v>
      </c>
    </row>
    <row r="483" spans="1:12" hidden="1" x14ac:dyDescent="0.25">
      <c r="A483">
        <v>40294</v>
      </c>
      <c r="B483" t="str">
        <f>VLOOKUP(bron[[#This Row],[personeelsnr]],[1]Blad1!$A:$H,2,FALSE)</f>
        <v>Khder Aram</v>
      </c>
      <c r="C483" t="str">
        <f>VLOOKUP(bron[[#This Row],[personeelsnr]],[1]Blad1!$A:$H,3,FALSE)</f>
        <v>Khder</v>
      </c>
      <c r="D483" t="str">
        <f>VLOOKUP(bron[[#This Row],[personeelsnr]],[1]Blad1!$A:$H,4,FALSE)</f>
        <v>Aram</v>
      </c>
      <c r="E483" s="2" t="str">
        <f>VLOOKUP(bron[[#This Row],[personeelsnr]],[1]Blad1!$A:$H,8,FALSE)</f>
        <v>Rotty Christoff</v>
      </c>
      <c r="F483" s="6">
        <v>45633</v>
      </c>
      <c r="G483" s="5" t="s">
        <v>772</v>
      </c>
      <c r="H483" t="s">
        <v>135</v>
      </c>
      <c r="I483"/>
      <c r="J483" t="e">
        <f>VLOOKUP(bron[[#This Row],[voertuig]],Voertuigen!A:C,3,FALSE)</f>
        <v>#N/A</v>
      </c>
      <c r="K483" t="e">
        <f>VLOOKUP(bron[[#This Row],[voertuig]],Voertuigen!A:C,2,FALSE)</f>
        <v>#N/A</v>
      </c>
      <c r="L483">
        <f>COUNTIF(A:A,bron[[#This Row],[personeelsnr]])</f>
        <v>2</v>
      </c>
    </row>
    <row r="484" spans="1:12" hidden="1" x14ac:dyDescent="0.25">
      <c r="A484">
        <v>37662</v>
      </c>
      <c r="B484" t="str">
        <f>VLOOKUP(bron[[#This Row],[personeelsnr]],[1]Blad1!$A:$H,2,FALSE)</f>
        <v>Van den Meerssche Steven</v>
      </c>
      <c r="C484" t="str">
        <f>VLOOKUP(bron[[#This Row],[personeelsnr]],[1]Blad1!$A:$H,3,FALSE)</f>
        <v>Van den Meerssche</v>
      </c>
      <c r="D484" t="str">
        <f>VLOOKUP(bron[[#This Row],[personeelsnr]],[1]Blad1!$A:$H,4,FALSE)</f>
        <v>Steven</v>
      </c>
      <c r="E484" s="2" t="str">
        <f>VLOOKUP(bron[[#This Row],[personeelsnr]],[1]Blad1!$A:$H,8,FALSE)</f>
        <v>Van Der Beken Bart</v>
      </c>
      <c r="F484" s="6">
        <v>45635</v>
      </c>
      <c r="G484" s="5" t="s">
        <v>773</v>
      </c>
      <c r="H484" t="s">
        <v>90</v>
      </c>
      <c r="I484"/>
      <c r="J484" t="e">
        <f>VLOOKUP(bron[[#This Row],[voertuig]],Voertuigen!A:C,3,FALSE)</f>
        <v>#N/A</v>
      </c>
      <c r="K484" t="e">
        <f>VLOOKUP(bron[[#This Row],[voertuig]],Voertuigen!A:C,2,FALSE)</f>
        <v>#N/A</v>
      </c>
      <c r="L484">
        <f>COUNTIF(A:A,bron[[#This Row],[personeelsnr]])</f>
        <v>9</v>
      </c>
    </row>
    <row r="485" spans="1:12" hidden="1" x14ac:dyDescent="0.25">
      <c r="A485">
        <v>32542</v>
      </c>
      <c r="B485" t="str">
        <f>VLOOKUP(bron[[#This Row],[personeelsnr]],[1]Blad1!$A:$H,2,FALSE)</f>
        <v>Vanderstock Kenny</v>
      </c>
      <c r="C485" t="str">
        <f>VLOOKUP(bron[[#This Row],[personeelsnr]],[1]Blad1!$A:$H,3,FALSE)</f>
        <v>Vanderstock</v>
      </c>
      <c r="D485" t="str">
        <f>VLOOKUP(bron[[#This Row],[personeelsnr]],[1]Blad1!$A:$H,4,FALSE)</f>
        <v>Kenny</v>
      </c>
      <c r="E485" s="2" t="str">
        <f>VLOOKUP(bron[[#This Row],[personeelsnr]],[1]Blad1!$A:$H,8,FALSE)</f>
        <v>De Clercq Dominique</v>
      </c>
      <c r="F485" s="6">
        <v>45635</v>
      </c>
      <c r="G485" s="5" t="s">
        <v>774</v>
      </c>
      <c r="H485" t="s">
        <v>775</v>
      </c>
      <c r="I485"/>
      <c r="J485" t="e">
        <f>VLOOKUP(bron[[#This Row],[voertuig]],Voertuigen!A:C,3,FALSE)</f>
        <v>#N/A</v>
      </c>
      <c r="K485" t="e">
        <f>VLOOKUP(bron[[#This Row],[voertuig]],Voertuigen!A:C,2,FALSE)</f>
        <v>#N/A</v>
      </c>
      <c r="L485">
        <f>COUNTIF(A:A,bron[[#This Row],[personeelsnr]])</f>
        <v>2</v>
      </c>
    </row>
    <row r="486" spans="1:12" hidden="1" x14ac:dyDescent="0.25">
      <c r="A486">
        <v>33450</v>
      </c>
      <c r="B486" t="str">
        <f>VLOOKUP(bron[[#This Row],[personeelsnr]],[1]Blad1!$A:$H,2,FALSE)</f>
        <v>Verroeye Chris</v>
      </c>
      <c r="C486" t="str">
        <f>VLOOKUP(bron[[#This Row],[personeelsnr]],[1]Blad1!$A:$H,3,FALSE)</f>
        <v>Verroeye</v>
      </c>
      <c r="D486" t="str">
        <f>VLOOKUP(bron[[#This Row],[personeelsnr]],[1]Blad1!$A:$H,4,FALSE)</f>
        <v>Chris</v>
      </c>
      <c r="E486" s="2" t="str">
        <f>VLOOKUP(bron[[#This Row],[personeelsnr]],[1]Blad1!$A:$H,8,FALSE)</f>
        <v>De Rick Kenneth</v>
      </c>
      <c r="F486" s="6">
        <v>45635</v>
      </c>
      <c r="G486" s="5" t="s">
        <v>776</v>
      </c>
      <c r="H486" t="s">
        <v>74</v>
      </c>
      <c r="I486"/>
      <c r="J486" t="e">
        <f>VLOOKUP(bron[[#This Row],[voertuig]],Voertuigen!A:C,3,FALSE)</f>
        <v>#N/A</v>
      </c>
      <c r="K486" t="e">
        <f>VLOOKUP(bron[[#This Row],[voertuig]],Voertuigen!A:C,2,FALSE)</f>
        <v>#N/A</v>
      </c>
      <c r="L486">
        <f>COUNTIF(A:A,bron[[#This Row],[personeelsnr]])</f>
        <v>2</v>
      </c>
    </row>
    <row r="487" spans="1:12" hidden="1" x14ac:dyDescent="0.25">
      <c r="A487">
        <v>17555</v>
      </c>
      <c r="B487" t="str">
        <f>VLOOKUP(bron[[#This Row],[personeelsnr]],[1]Blad1!$A:$H,2,FALSE)</f>
        <v>DeBisschop Wendy</v>
      </c>
      <c r="C487" t="str">
        <f>VLOOKUP(bron[[#This Row],[personeelsnr]],[1]Blad1!$A:$H,3,FALSE)</f>
        <v>DeBisschop</v>
      </c>
      <c r="D487" t="str">
        <f>VLOOKUP(bron[[#This Row],[personeelsnr]],[1]Blad1!$A:$H,4,FALSE)</f>
        <v>Wendy</v>
      </c>
      <c r="E487" s="2" t="str">
        <f>VLOOKUP(bron[[#This Row],[personeelsnr]],[1]Blad1!$A:$H,8,FALSE)</f>
        <v>Van Der Beken Bart</v>
      </c>
      <c r="F487" s="6">
        <v>45636</v>
      </c>
      <c r="G487" s="5" t="s">
        <v>777</v>
      </c>
      <c r="H487" t="s">
        <v>25</v>
      </c>
      <c r="I487"/>
      <c r="J487" t="e">
        <f>VLOOKUP(bron[[#This Row],[voertuig]],Voertuigen!A:C,3,FALSE)</f>
        <v>#N/A</v>
      </c>
      <c r="K487" t="e">
        <f>VLOOKUP(bron[[#This Row],[voertuig]],Voertuigen!A:C,2,FALSE)</f>
        <v>#N/A</v>
      </c>
      <c r="L487">
        <f>COUNTIF(A:A,bron[[#This Row],[personeelsnr]])</f>
        <v>1</v>
      </c>
    </row>
    <row r="488" spans="1:12" hidden="1" x14ac:dyDescent="0.25">
      <c r="A488">
        <v>39529</v>
      </c>
      <c r="B488" t="str">
        <f>VLOOKUP(bron[[#This Row],[personeelsnr]],[1]Blad1!$A:$H,2,FALSE)</f>
        <v>Desmet Patricia</v>
      </c>
      <c r="C488" t="str">
        <f>VLOOKUP(bron[[#This Row],[personeelsnr]],[1]Blad1!$A:$H,3,FALSE)</f>
        <v>Desmet</v>
      </c>
      <c r="D488" t="str">
        <f>VLOOKUP(bron[[#This Row],[personeelsnr]],[1]Blad1!$A:$H,4,FALSE)</f>
        <v>Patricia</v>
      </c>
      <c r="E488" s="2" t="str">
        <f>VLOOKUP(bron[[#This Row],[personeelsnr]],[1]Blad1!$A:$H,8,FALSE)</f>
        <v>Rotty Christoff</v>
      </c>
      <c r="F488" s="6">
        <v>45638</v>
      </c>
      <c r="G488" s="5" t="s">
        <v>778</v>
      </c>
      <c r="H488" t="s">
        <v>25</v>
      </c>
      <c r="I488"/>
      <c r="J488" t="e">
        <f>VLOOKUP(bron[[#This Row],[voertuig]],Voertuigen!A:C,3,FALSE)</f>
        <v>#N/A</v>
      </c>
      <c r="K488" t="e">
        <f>VLOOKUP(bron[[#This Row],[voertuig]],Voertuigen!A:C,2,FALSE)</f>
        <v>#N/A</v>
      </c>
      <c r="L488">
        <f>COUNTIF(A:A,bron[[#This Row],[personeelsnr]])</f>
        <v>4</v>
      </c>
    </row>
    <row r="489" spans="1:12" hidden="1" x14ac:dyDescent="0.25">
      <c r="A489">
        <v>15628</v>
      </c>
      <c r="B489" t="str">
        <f>VLOOKUP(bron[[#This Row],[personeelsnr]],[1]Blad1!$A:$H,2,FALSE)</f>
        <v>Wulfranck Dominique</v>
      </c>
      <c r="C489" t="str">
        <f>VLOOKUP(bron[[#This Row],[personeelsnr]],[1]Blad1!$A:$H,3,FALSE)</f>
        <v>Wulfranck</v>
      </c>
      <c r="D489" t="str">
        <f>VLOOKUP(bron[[#This Row],[personeelsnr]],[1]Blad1!$A:$H,4,FALSE)</f>
        <v>Dominique</v>
      </c>
      <c r="E489" s="2" t="str">
        <f>VLOOKUP(bron[[#This Row],[personeelsnr]],[1]Blad1!$A:$H,8,FALSE)</f>
        <v>De Rick Kenneth</v>
      </c>
      <c r="F489" s="6">
        <v>45638</v>
      </c>
      <c r="G489" s="5" t="s">
        <v>779</v>
      </c>
      <c r="H489" t="s">
        <v>31</v>
      </c>
      <c r="I489"/>
      <c r="J489" t="e">
        <f>VLOOKUP(bron[[#This Row],[voertuig]],Voertuigen!A:C,3,FALSE)</f>
        <v>#N/A</v>
      </c>
      <c r="K489" t="e">
        <f>VLOOKUP(bron[[#This Row],[voertuig]],Voertuigen!A:C,2,FALSE)</f>
        <v>#N/A</v>
      </c>
      <c r="L489">
        <f>COUNTIF(A:A,bron[[#This Row],[personeelsnr]])</f>
        <v>3</v>
      </c>
    </row>
    <row r="490" spans="1:12" hidden="1" x14ac:dyDescent="0.25">
      <c r="A490">
        <v>40652</v>
      </c>
      <c r="B490" t="str">
        <f>VLOOKUP(bron[[#This Row],[personeelsnr]],[1]Blad1!$A:$H,2,FALSE)</f>
        <v>Van Damme Gilyann</v>
      </c>
      <c r="C490" t="str">
        <f>VLOOKUP(bron[[#This Row],[personeelsnr]],[1]Blad1!$A:$H,3,FALSE)</f>
        <v>Van Damme</v>
      </c>
      <c r="D490" t="str">
        <f>VLOOKUP(bron[[#This Row],[personeelsnr]],[1]Blad1!$A:$H,4,FALSE)</f>
        <v>Gilyann</v>
      </c>
      <c r="E490" s="2" t="str">
        <f>VLOOKUP(bron[[#This Row],[personeelsnr]],[1]Blad1!$A:$H,8,FALSE)</f>
        <v>Vanhoe Els</v>
      </c>
      <c r="F490" s="6">
        <v>45638</v>
      </c>
      <c r="G490" s="5" t="s">
        <v>780</v>
      </c>
      <c r="H490" t="s">
        <v>652</v>
      </c>
      <c r="I490"/>
      <c r="J490" t="e">
        <f>VLOOKUP(bron[[#This Row],[voertuig]],Voertuigen!A:C,3,FALSE)</f>
        <v>#N/A</v>
      </c>
      <c r="K490" t="e">
        <f>VLOOKUP(bron[[#This Row],[voertuig]],Voertuigen!A:C,2,FALSE)</f>
        <v>#N/A</v>
      </c>
      <c r="L490">
        <f>COUNTIF(A:A,bron[[#This Row],[personeelsnr]])</f>
        <v>8</v>
      </c>
    </row>
    <row r="491" spans="1:12" hidden="1" x14ac:dyDescent="0.25">
      <c r="A491">
        <v>22767</v>
      </c>
      <c r="B491" t="str">
        <f>VLOOKUP(bron[[#This Row],[personeelsnr]],[1]Blad1!$A:$H,2,FALSE)</f>
        <v>Osseel Johan</v>
      </c>
      <c r="C491" t="str">
        <f>VLOOKUP(bron[[#This Row],[personeelsnr]],[1]Blad1!$A:$H,3,FALSE)</f>
        <v>Osseel</v>
      </c>
      <c r="D491" t="str">
        <f>VLOOKUP(bron[[#This Row],[personeelsnr]],[1]Blad1!$A:$H,4,FALSE)</f>
        <v>Johan</v>
      </c>
      <c r="E491" s="2" t="str">
        <f>VLOOKUP(bron[[#This Row],[personeelsnr]],[1]Blad1!$A:$H,8,FALSE)</f>
        <v>De Clercq Dominique</v>
      </c>
      <c r="F491" s="6">
        <v>45638</v>
      </c>
      <c r="G491" s="5" t="s">
        <v>781</v>
      </c>
      <c r="H491" t="s">
        <v>140</v>
      </c>
      <c r="I491"/>
      <c r="J491" t="e">
        <f>VLOOKUP(bron[[#This Row],[voertuig]],Voertuigen!A:C,3,FALSE)</f>
        <v>#N/A</v>
      </c>
      <c r="K491" t="e">
        <f>VLOOKUP(bron[[#This Row],[voertuig]],Voertuigen!A:C,2,FALSE)</f>
        <v>#N/A</v>
      </c>
      <c r="L491">
        <f>COUNTIF(A:A,bron[[#This Row],[personeelsnr]])</f>
        <v>2</v>
      </c>
    </row>
    <row r="492" spans="1:12" hidden="1" x14ac:dyDescent="0.25">
      <c r="A492">
        <v>29477</v>
      </c>
      <c r="B492" t="str">
        <f>VLOOKUP(bron[[#This Row],[personeelsnr]],[1]Blad1!$A:$H,2,FALSE)</f>
        <v>De Vuyst Boyke</v>
      </c>
      <c r="C492" t="str">
        <f>VLOOKUP(bron[[#This Row],[personeelsnr]],[1]Blad1!$A:$H,3,FALSE)</f>
        <v>De Vuyst</v>
      </c>
      <c r="D492" t="str">
        <f>VLOOKUP(bron[[#This Row],[personeelsnr]],[1]Blad1!$A:$H,4,FALSE)</f>
        <v>Boyke</v>
      </c>
      <c r="E492" s="2" t="str">
        <f>VLOOKUP(bron[[#This Row],[personeelsnr]],[1]Blad1!$A:$H,8,FALSE)</f>
        <v>Van De Velde Lucie</v>
      </c>
      <c r="F492" s="6">
        <v>45640</v>
      </c>
      <c r="G492" s="5" t="s">
        <v>782</v>
      </c>
      <c r="H492" t="s">
        <v>20</v>
      </c>
      <c r="I492"/>
      <c r="J492" t="e">
        <f>VLOOKUP(bron[[#This Row],[voertuig]],Voertuigen!A:C,3,FALSE)</f>
        <v>#N/A</v>
      </c>
      <c r="K492" t="e">
        <f>VLOOKUP(bron[[#This Row],[voertuig]],Voertuigen!A:C,2,FALSE)</f>
        <v>#N/A</v>
      </c>
      <c r="L492">
        <f>COUNTIF(A:A,bron[[#This Row],[personeelsnr]])</f>
        <v>3</v>
      </c>
    </row>
    <row r="493" spans="1:12" hidden="1" x14ac:dyDescent="0.25">
      <c r="A493">
        <v>16897</v>
      </c>
      <c r="B493" t="str">
        <f>VLOOKUP(bron[[#This Row],[personeelsnr]],[1]Blad1!$A:$H,2,FALSE)</f>
        <v>VandenDaele Andy</v>
      </c>
      <c r="C493" t="str">
        <f>VLOOKUP(bron[[#This Row],[personeelsnr]],[1]Blad1!$A:$H,3,FALSE)</f>
        <v>VandenDaele</v>
      </c>
      <c r="D493" t="str">
        <f>VLOOKUP(bron[[#This Row],[personeelsnr]],[1]Blad1!$A:$H,4,FALSE)</f>
        <v>Andy</v>
      </c>
      <c r="E493" s="2" t="str">
        <f>VLOOKUP(bron[[#This Row],[personeelsnr]],[1]Blad1!$A:$H,8,FALSE)</f>
        <v>Storm Steven</v>
      </c>
      <c r="F493" s="6">
        <v>45641</v>
      </c>
      <c r="G493" s="5" t="s">
        <v>783</v>
      </c>
      <c r="H493" t="s">
        <v>491</v>
      </c>
      <c r="I493"/>
      <c r="J493" t="e">
        <f>VLOOKUP(bron[[#This Row],[voertuig]],Voertuigen!A:C,3,FALSE)</f>
        <v>#N/A</v>
      </c>
      <c r="K493" t="e">
        <f>VLOOKUP(bron[[#This Row],[voertuig]],Voertuigen!A:C,2,FALSE)</f>
        <v>#N/A</v>
      </c>
      <c r="L493">
        <f>COUNTIF(A:A,bron[[#This Row],[personeelsnr]])</f>
        <v>2</v>
      </c>
    </row>
    <row r="494" spans="1:12" hidden="1" x14ac:dyDescent="0.25">
      <c r="A494">
        <v>18173</v>
      </c>
      <c r="B494" t="str">
        <f>VLOOKUP(bron[[#This Row],[personeelsnr]],[1]Blad1!$A:$H,2,FALSE)</f>
        <v>De Vos Günter</v>
      </c>
      <c r="C494" t="str">
        <f>VLOOKUP(bron[[#This Row],[personeelsnr]],[1]Blad1!$A:$H,3,FALSE)</f>
        <v>De Vos</v>
      </c>
      <c r="D494" t="str">
        <f>VLOOKUP(bron[[#This Row],[personeelsnr]],[1]Blad1!$A:$H,4,FALSE)</f>
        <v>Günter</v>
      </c>
      <c r="E494" s="2" t="str">
        <f>VLOOKUP(bron[[#This Row],[personeelsnr]],[1]Blad1!$A:$H,8,FALSE)</f>
        <v>De Rick Kenneth</v>
      </c>
      <c r="F494" s="6">
        <v>45642</v>
      </c>
      <c r="G494" s="5" t="s">
        <v>784</v>
      </c>
      <c r="H494" t="s">
        <v>311</v>
      </c>
      <c r="I494"/>
      <c r="J494" t="e">
        <f>VLOOKUP(bron[[#This Row],[voertuig]],Voertuigen!A:C,3,FALSE)</f>
        <v>#N/A</v>
      </c>
      <c r="K494" t="e">
        <f>VLOOKUP(bron[[#This Row],[voertuig]],Voertuigen!A:C,2,FALSE)</f>
        <v>#N/A</v>
      </c>
      <c r="L494">
        <f>COUNTIF(A:A,bron[[#This Row],[personeelsnr]])</f>
        <v>1</v>
      </c>
    </row>
    <row r="495" spans="1:12" hidden="1" x14ac:dyDescent="0.25">
      <c r="A495">
        <v>41296</v>
      </c>
      <c r="B495" t="str">
        <f>VLOOKUP(bron[[#This Row],[personeelsnr]],[1]Blad1!$A:$H,2,FALSE)</f>
        <v>Abulehia Oday</v>
      </c>
      <c r="C495" t="str">
        <f>VLOOKUP(bron[[#This Row],[personeelsnr]],[1]Blad1!$A:$H,3,FALSE)</f>
        <v>Abulehia</v>
      </c>
      <c r="D495" t="str">
        <f>VLOOKUP(bron[[#This Row],[personeelsnr]],[1]Blad1!$A:$H,4,FALSE)</f>
        <v>Oday</v>
      </c>
      <c r="E495" s="2" t="str">
        <f>VLOOKUP(bron[[#This Row],[personeelsnr]],[1]Blad1!$A:$H,8,FALSE)</f>
        <v>Rotty Christoff</v>
      </c>
      <c r="F495" s="6">
        <v>45642</v>
      </c>
      <c r="G495" s="5" t="s">
        <v>785</v>
      </c>
      <c r="H495" t="s">
        <v>8</v>
      </c>
      <c r="I495"/>
      <c r="J495" t="e">
        <f>VLOOKUP(bron[[#This Row],[voertuig]],Voertuigen!A:C,3,FALSE)</f>
        <v>#N/A</v>
      </c>
      <c r="K495" t="e">
        <f>VLOOKUP(bron[[#This Row],[voertuig]],Voertuigen!A:C,2,FALSE)</f>
        <v>#N/A</v>
      </c>
      <c r="L495">
        <f>COUNTIF(A:A,bron[[#This Row],[personeelsnr]])</f>
        <v>2</v>
      </c>
    </row>
    <row r="496" spans="1:12" hidden="1" x14ac:dyDescent="0.25">
      <c r="A496">
        <v>36513</v>
      </c>
      <c r="B496" t="str">
        <f>VLOOKUP(bron[[#This Row],[personeelsnr]],[1]Blad1!$A:$H,2,FALSE)</f>
        <v>Sogut Rauf</v>
      </c>
      <c r="C496" t="str">
        <f>VLOOKUP(bron[[#This Row],[personeelsnr]],[1]Blad1!$A:$H,3,FALSE)</f>
        <v>Sogut</v>
      </c>
      <c r="D496" t="str">
        <f>VLOOKUP(bron[[#This Row],[personeelsnr]],[1]Blad1!$A:$H,4,FALSE)</f>
        <v>Rauf</v>
      </c>
      <c r="E496" s="2" t="str">
        <f>VLOOKUP(bron[[#This Row],[personeelsnr]],[1]Blad1!$A:$H,8,FALSE)</f>
        <v>De Rick Kenneth</v>
      </c>
      <c r="F496" s="6">
        <v>45643</v>
      </c>
      <c r="G496" s="5" t="s">
        <v>786</v>
      </c>
      <c r="H496" t="s">
        <v>172</v>
      </c>
      <c r="I496"/>
      <c r="J496" t="e">
        <f>VLOOKUP(bron[[#This Row],[voertuig]],Voertuigen!A:C,3,FALSE)</f>
        <v>#N/A</v>
      </c>
      <c r="K496" t="e">
        <f>VLOOKUP(bron[[#This Row],[voertuig]],Voertuigen!A:C,2,FALSE)</f>
        <v>#N/A</v>
      </c>
      <c r="L496">
        <f>COUNTIF(A:A,bron[[#This Row],[personeelsnr]])</f>
        <v>1</v>
      </c>
    </row>
    <row r="497" spans="1:12" hidden="1" x14ac:dyDescent="0.25">
      <c r="A497">
        <v>33400</v>
      </c>
      <c r="B497" t="str">
        <f>VLOOKUP(bron[[#This Row],[personeelsnr]],[1]Blad1!$A:$H,2,FALSE)</f>
        <v>Petit Cynthia</v>
      </c>
      <c r="C497" t="str">
        <f>VLOOKUP(bron[[#This Row],[personeelsnr]],[1]Blad1!$A:$H,3,FALSE)</f>
        <v>Petit</v>
      </c>
      <c r="D497" t="str">
        <f>VLOOKUP(bron[[#This Row],[personeelsnr]],[1]Blad1!$A:$H,4,FALSE)</f>
        <v>Cynthia</v>
      </c>
      <c r="E497" s="2" t="str">
        <f>VLOOKUP(bron[[#This Row],[personeelsnr]],[1]Blad1!$A:$H,8,FALSE)</f>
        <v>Rotty Christoff</v>
      </c>
      <c r="F497" s="6">
        <v>45644</v>
      </c>
      <c r="G497" s="5" t="s">
        <v>787</v>
      </c>
      <c r="H497" t="s">
        <v>8</v>
      </c>
      <c r="I497"/>
      <c r="J497" t="e">
        <f>VLOOKUP(bron[[#This Row],[voertuig]],Voertuigen!A:C,3,FALSE)</f>
        <v>#N/A</v>
      </c>
      <c r="K497" t="e">
        <f>VLOOKUP(bron[[#This Row],[voertuig]],Voertuigen!A:C,2,FALSE)</f>
        <v>#N/A</v>
      </c>
      <c r="L497">
        <f>COUNTIF(A:A,bron[[#This Row],[personeelsnr]])</f>
        <v>3</v>
      </c>
    </row>
    <row r="498" spans="1:12" hidden="1" x14ac:dyDescent="0.25">
      <c r="A498">
        <v>24367</v>
      </c>
      <c r="B498" t="str">
        <f>VLOOKUP(bron[[#This Row],[personeelsnr]],[1]Blad1!$A:$H,2,FALSE)</f>
        <v>Tayefeh Arbab Ali</v>
      </c>
      <c r="C498" t="str">
        <f>VLOOKUP(bron[[#This Row],[personeelsnr]],[1]Blad1!$A:$H,3,FALSE)</f>
        <v>Tayefeh Arbab</v>
      </c>
      <c r="D498" t="str">
        <f>VLOOKUP(bron[[#This Row],[personeelsnr]],[1]Blad1!$A:$H,4,FALSE)</f>
        <v>Ali</v>
      </c>
      <c r="E498" s="2" t="str">
        <f>VLOOKUP(bron[[#This Row],[personeelsnr]],[1]Blad1!$A:$H,8,FALSE)</f>
        <v>Van Der Beken Bart</v>
      </c>
      <c r="F498" s="6">
        <v>45644</v>
      </c>
      <c r="G498" s="5" t="s">
        <v>788</v>
      </c>
      <c r="H498" t="s">
        <v>18</v>
      </c>
      <c r="I498"/>
      <c r="J498" t="e">
        <f>VLOOKUP(bron[[#This Row],[voertuig]],Voertuigen!A:C,3,FALSE)</f>
        <v>#N/A</v>
      </c>
      <c r="K498" t="e">
        <f>VLOOKUP(bron[[#This Row],[voertuig]],Voertuigen!A:C,2,FALSE)</f>
        <v>#N/A</v>
      </c>
      <c r="L498">
        <f>COUNTIF(A:A,bron[[#This Row],[personeelsnr]])</f>
        <v>3</v>
      </c>
    </row>
    <row r="499" spans="1:12" hidden="1" x14ac:dyDescent="0.25">
      <c r="A499">
        <v>40005</v>
      </c>
      <c r="B499" t="str">
        <f>VLOOKUP(bron[[#This Row],[personeelsnr]],[1]Blad1!$A:$H,2,FALSE)</f>
        <v>Bernaerts Philip</v>
      </c>
      <c r="C499" t="str">
        <f>VLOOKUP(bron[[#This Row],[personeelsnr]],[1]Blad1!$A:$H,3,FALSE)</f>
        <v>Bernaerts</v>
      </c>
      <c r="D499" t="str">
        <f>VLOOKUP(bron[[#This Row],[personeelsnr]],[1]Blad1!$A:$H,4,FALSE)</f>
        <v>Philip</v>
      </c>
      <c r="E499" s="2" t="str">
        <f>VLOOKUP(bron[[#This Row],[personeelsnr]],[1]Blad1!$A:$H,8,FALSE)</f>
        <v>Rotty Christoff</v>
      </c>
      <c r="F499" s="6">
        <v>45645</v>
      </c>
      <c r="G499" s="5" t="s">
        <v>789</v>
      </c>
      <c r="H499" t="s">
        <v>19</v>
      </c>
      <c r="I499"/>
      <c r="J499" t="e">
        <f>VLOOKUP(bron[[#This Row],[voertuig]],Voertuigen!A:C,3,FALSE)</f>
        <v>#N/A</v>
      </c>
      <c r="K499" t="e">
        <f>VLOOKUP(bron[[#This Row],[voertuig]],Voertuigen!A:C,2,FALSE)</f>
        <v>#N/A</v>
      </c>
      <c r="L499">
        <f>COUNTIF(A:A,bron[[#This Row],[personeelsnr]])</f>
        <v>2</v>
      </c>
    </row>
    <row r="500" spans="1:12" hidden="1" x14ac:dyDescent="0.25">
      <c r="A500">
        <v>40652</v>
      </c>
      <c r="B500" t="str">
        <f>VLOOKUP(bron[[#This Row],[personeelsnr]],[1]Blad1!$A:$H,2,FALSE)</f>
        <v>Van Damme Gilyann</v>
      </c>
      <c r="C500" t="str">
        <f>VLOOKUP(bron[[#This Row],[personeelsnr]],[1]Blad1!$A:$H,3,FALSE)</f>
        <v>Van Damme</v>
      </c>
      <c r="D500" t="str">
        <f>VLOOKUP(bron[[#This Row],[personeelsnr]],[1]Blad1!$A:$H,4,FALSE)</f>
        <v>Gilyann</v>
      </c>
      <c r="E500" s="2" t="str">
        <f>VLOOKUP(bron[[#This Row],[personeelsnr]],[1]Blad1!$A:$H,8,FALSE)</f>
        <v>Vanhoe Els</v>
      </c>
      <c r="F500" s="6">
        <v>45646</v>
      </c>
      <c r="G500" s="5" t="s">
        <v>790</v>
      </c>
      <c r="H500" t="s">
        <v>171</v>
      </c>
      <c r="I500"/>
      <c r="J500" t="e">
        <f>VLOOKUP(bron[[#This Row],[voertuig]],Voertuigen!A:C,3,FALSE)</f>
        <v>#N/A</v>
      </c>
      <c r="K500" t="e">
        <f>VLOOKUP(bron[[#This Row],[voertuig]],Voertuigen!A:C,2,FALSE)</f>
        <v>#N/A</v>
      </c>
      <c r="L500">
        <f>COUNTIF(A:A,bron[[#This Row],[personeelsnr]])</f>
        <v>8</v>
      </c>
    </row>
    <row r="501" spans="1:12" hidden="1" x14ac:dyDescent="0.25">
      <c r="A501">
        <v>26847</v>
      </c>
      <c r="B501" t="str">
        <f>VLOOKUP(bron[[#This Row],[personeelsnr]],[1]Blad1!$A:$H,2,FALSE)</f>
        <v>De Meester David</v>
      </c>
      <c r="C501" t="str">
        <f>VLOOKUP(bron[[#This Row],[personeelsnr]],[1]Blad1!$A:$H,3,FALSE)</f>
        <v>De Meester</v>
      </c>
      <c r="D501" t="str">
        <f>VLOOKUP(bron[[#This Row],[personeelsnr]],[1]Blad1!$A:$H,4,FALSE)</f>
        <v>David</v>
      </c>
      <c r="E501" s="2" t="str">
        <f>VLOOKUP(bron[[#This Row],[personeelsnr]],[1]Blad1!$A:$H,8,FALSE)</f>
        <v>Van Der Beken Bart</v>
      </c>
      <c r="F501" s="6">
        <v>45646</v>
      </c>
      <c r="G501" s="5" t="s">
        <v>791</v>
      </c>
      <c r="H501" t="s">
        <v>13</v>
      </c>
      <c r="I501"/>
      <c r="J501" t="e">
        <f>VLOOKUP(bron[[#This Row],[voertuig]],Voertuigen!A:C,3,FALSE)</f>
        <v>#N/A</v>
      </c>
      <c r="K501" t="e">
        <f>VLOOKUP(bron[[#This Row],[voertuig]],Voertuigen!A:C,2,FALSE)</f>
        <v>#N/A</v>
      </c>
      <c r="L501">
        <f>COUNTIF(A:A,bron[[#This Row],[personeelsnr]])</f>
        <v>2</v>
      </c>
    </row>
    <row r="502" spans="1:12" hidden="1" x14ac:dyDescent="0.25">
      <c r="A502">
        <v>38938</v>
      </c>
      <c r="B502" t="str">
        <f>VLOOKUP(bron[[#This Row],[personeelsnr]],[1]Blad1!$A:$H,2,FALSE)</f>
        <v>Sedighi Hamid</v>
      </c>
      <c r="C502" t="str">
        <f>VLOOKUP(bron[[#This Row],[personeelsnr]],[1]Blad1!$A:$H,3,FALSE)</f>
        <v>Sedighi</v>
      </c>
      <c r="D502" t="str">
        <f>VLOOKUP(bron[[#This Row],[personeelsnr]],[1]Blad1!$A:$H,4,FALSE)</f>
        <v>Hamid</v>
      </c>
      <c r="E502" s="2" t="str">
        <f>VLOOKUP(bron[[#This Row],[personeelsnr]],[1]Blad1!$A:$H,8,FALSE)</f>
        <v>Van De Velde Lucie</v>
      </c>
      <c r="F502" s="6">
        <v>45646</v>
      </c>
      <c r="G502" s="5" t="s">
        <v>792</v>
      </c>
      <c r="H502" t="s">
        <v>73</v>
      </c>
      <c r="I502"/>
      <c r="J502" t="e">
        <f>VLOOKUP(bron[[#This Row],[voertuig]],Voertuigen!A:C,3,FALSE)</f>
        <v>#N/A</v>
      </c>
      <c r="K502" t="e">
        <f>VLOOKUP(bron[[#This Row],[voertuig]],Voertuigen!A:C,2,FALSE)</f>
        <v>#N/A</v>
      </c>
      <c r="L502">
        <f>COUNTIF(A:A,bron[[#This Row],[personeelsnr]])</f>
        <v>7</v>
      </c>
    </row>
    <row r="503" spans="1:12" hidden="1" x14ac:dyDescent="0.25">
      <c r="A503">
        <v>40414</v>
      </c>
      <c r="B503" t="str">
        <f>VLOOKUP(bron[[#This Row],[personeelsnr]],[1]Blad1!$A:$H,2,FALSE)</f>
        <v>Ennakaba Khaoula</v>
      </c>
      <c r="C503" t="str">
        <f>VLOOKUP(bron[[#This Row],[personeelsnr]],[1]Blad1!$A:$H,3,FALSE)</f>
        <v>Ennakaba</v>
      </c>
      <c r="D503" t="str">
        <f>VLOOKUP(bron[[#This Row],[personeelsnr]],[1]Blad1!$A:$H,4,FALSE)</f>
        <v>Khaoula</v>
      </c>
      <c r="E503" s="2" t="str">
        <f>VLOOKUP(bron[[#This Row],[personeelsnr]],[1]Blad1!$A:$H,8,FALSE)</f>
        <v>Storm Steven</v>
      </c>
      <c r="F503" s="6">
        <v>45647</v>
      </c>
      <c r="G503" s="5" t="s">
        <v>793</v>
      </c>
      <c r="H503" t="s">
        <v>153</v>
      </c>
      <c r="I503"/>
      <c r="J503" t="e">
        <f>VLOOKUP(bron[[#This Row],[voertuig]],Voertuigen!A:C,3,FALSE)</f>
        <v>#N/A</v>
      </c>
      <c r="K503" t="e">
        <f>VLOOKUP(bron[[#This Row],[voertuig]],Voertuigen!A:C,2,FALSE)</f>
        <v>#N/A</v>
      </c>
      <c r="L503">
        <f>COUNTIF(A:A,bron[[#This Row],[personeelsnr]])</f>
        <v>1</v>
      </c>
    </row>
    <row r="504" spans="1:12" hidden="1" x14ac:dyDescent="0.25">
      <c r="A504">
        <v>21812</v>
      </c>
      <c r="B504" t="e">
        <f>VLOOKUP(bron[[#This Row],[personeelsnr]],[1]Blad1!$A:$H,2,FALSE)</f>
        <v>#N/A</v>
      </c>
      <c r="C504" t="e">
        <f>VLOOKUP(bron[[#This Row],[personeelsnr]],[1]Blad1!$A:$H,3,FALSE)</f>
        <v>#N/A</v>
      </c>
      <c r="D504" t="e">
        <f>VLOOKUP(bron[[#This Row],[personeelsnr]],[1]Blad1!$A:$H,4,FALSE)</f>
        <v>#N/A</v>
      </c>
      <c r="E504" s="2" t="s">
        <v>221</v>
      </c>
      <c r="F504" s="6">
        <v>45647</v>
      </c>
      <c r="G504" s="5" t="s">
        <v>794</v>
      </c>
      <c r="H504" t="s">
        <v>8</v>
      </c>
      <c r="I504"/>
      <c r="J504" t="e">
        <f>VLOOKUP(bron[[#This Row],[voertuig]],Voertuigen!A:C,3,FALSE)</f>
        <v>#N/A</v>
      </c>
      <c r="K504" t="e">
        <f>VLOOKUP(bron[[#This Row],[voertuig]],Voertuigen!A:C,2,FALSE)</f>
        <v>#N/A</v>
      </c>
      <c r="L504">
        <f>COUNTIF(A:A,bron[[#This Row],[personeelsnr]])</f>
        <v>1</v>
      </c>
    </row>
    <row r="505" spans="1:12" hidden="1" x14ac:dyDescent="0.25">
      <c r="A505">
        <v>38938</v>
      </c>
      <c r="B505" t="str">
        <f>VLOOKUP(bron[[#This Row],[personeelsnr]],[1]Blad1!$A:$H,2,FALSE)</f>
        <v>Sedighi Hamid</v>
      </c>
      <c r="C505" t="str">
        <f>VLOOKUP(bron[[#This Row],[personeelsnr]],[1]Blad1!$A:$H,3,FALSE)</f>
        <v>Sedighi</v>
      </c>
      <c r="D505" t="str">
        <f>VLOOKUP(bron[[#This Row],[personeelsnr]],[1]Blad1!$A:$H,4,FALSE)</f>
        <v>Hamid</v>
      </c>
      <c r="E505" s="2" t="str">
        <f>VLOOKUP(bron[[#This Row],[personeelsnr]],[1]Blad1!$A:$H,8,FALSE)</f>
        <v>Van De Velde Lucie</v>
      </c>
      <c r="F505" s="6">
        <v>45647</v>
      </c>
      <c r="G505" s="5" t="s">
        <v>795</v>
      </c>
      <c r="H505" t="s">
        <v>7</v>
      </c>
      <c r="I505"/>
      <c r="J505" t="e">
        <f>VLOOKUP(bron[[#This Row],[voertuig]],Voertuigen!A:C,3,FALSE)</f>
        <v>#N/A</v>
      </c>
      <c r="K505" t="e">
        <f>VLOOKUP(bron[[#This Row],[voertuig]],Voertuigen!A:C,2,FALSE)</f>
        <v>#N/A</v>
      </c>
      <c r="L505">
        <f>COUNTIF(A:A,bron[[#This Row],[personeelsnr]])</f>
        <v>7</v>
      </c>
    </row>
    <row r="506" spans="1:12" hidden="1" x14ac:dyDescent="0.25">
      <c r="A506">
        <v>38938</v>
      </c>
      <c r="B506" t="str">
        <f>VLOOKUP(bron[[#This Row],[personeelsnr]],[1]Blad1!$A:$H,2,FALSE)</f>
        <v>Sedighi Hamid</v>
      </c>
      <c r="C506" t="str">
        <f>VLOOKUP(bron[[#This Row],[personeelsnr]],[1]Blad1!$A:$H,3,FALSE)</f>
        <v>Sedighi</v>
      </c>
      <c r="D506" t="str">
        <f>VLOOKUP(bron[[#This Row],[personeelsnr]],[1]Blad1!$A:$H,4,FALSE)</f>
        <v>Hamid</v>
      </c>
      <c r="E506" s="2" t="str">
        <f>VLOOKUP(bron[[#This Row],[personeelsnr]],[1]Blad1!$A:$H,8,FALSE)</f>
        <v>Van De Velde Lucie</v>
      </c>
      <c r="F506" s="6">
        <v>45647</v>
      </c>
      <c r="G506" s="5" t="s">
        <v>796</v>
      </c>
      <c r="H506" t="s">
        <v>41</v>
      </c>
      <c r="I506"/>
      <c r="J506" t="e">
        <f>VLOOKUP(bron[[#This Row],[voertuig]],Voertuigen!A:C,3,FALSE)</f>
        <v>#N/A</v>
      </c>
      <c r="K506" t="e">
        <f>VLOOKUP(bron[[#This Row],[voertuig]],Voertuigen!A:C,2,FALSE)</f>
        <v>#N/A</v>
      </c>
      <c r="L506">
        <f>COUNTIF(A:A,bron[[#This Row],[personeelsnr]])</f>
        <v>7</v>
      </c>
    </row>
    <row r="507" spans="1:12" hidden="1" x14ac:dyDescent="0.25">
      <c r="A507">
        <v>36358</v>
      </c>
      <c r="B507" t="str">
        <f>VLOOKUP(bron[[#This Row],[personeelsnr]],[1]Blad1!$A:$H,2,FALSE)</f>
        <v>De Nys Elise</v>
      </c>
      <c r="C507" t="str">
        <f>VLOOKUP(bron[[#This Row],[personeelsnr]],[1]Blad1!$A:$H,3,FALSE)</f>
        <v>De Nys</v>
      </c>
      <c r="D507" t="str">
        <f>VLOOKUP(bron[[#This Row],[personeelsnr]],[1]Blad1!$A:$H,4,FALSE)</f>
        <v>Elise</v>
      </c>
      <c r="E507" s="2" t="str">
        <f>VLOOKUP(bron[[#This Row],[personeelsnr]],[1]Blad1!$A:$H,8,FALSE)</f>
        <v>Dewulf Els</v>
      </c>
      <c r="F507" s="6">
        <v>45649</v>
      </c>
      <c r="G507" s="5" t="s">
        <v>797</v>
      </c>
      <c r="H507" t="s">
        <v>22</v>
      </c>
      <c r="I507"/>
      <c r="J507" t="e">
        <f>VLOOKUP(bron[[#This Row],[voertuig]],Voertuigen!A:C,3,FALSE)</f>
        <v>#N/A</v>
      </c>
      <c r="K507" t="e">
        <f>VLOOKUP(bron[[#This Row],[voertuig]],Voertuigen!A:C,2,FALSE)</f>
        <v>#N/A</v>
      </c>
      <c r="L507">
        <f>COUNTIF(A:A,bron[[#This Row],[personeelsnr]])</f>
        <v>2</v>
      </c>
    </row>
    <row r="508" spans="1:12" hidden="1" x14ac:dyDescent="0.25">
      <c r="A508">
        <v>4419</v>
      </c>
      <c r="B508" t="str">
        <f>VLOOKUP(bron[[#This Row],[personeelsnr]],[1]Blad1!$A:$H,2,FALSE)</f>
        <v>Maelbrancke Eddy</v>
      </c>
      <c r="C508" t="str">
        <f>VLOOKUP(bron[[#This Row],[personeelsnr]],[1]Blad1!$A:$H,3,FALSE)</f>
        <v>Maelbrancke</v>
      </c>
      <c r="D508" t="str">
        <f>VLOOKUP(bron[[#This Row],[personeelsnr]],[1]Blad1!$A:$H,4,FALSE)</f>
        <v>Eddy</v>
      </c>
      <c r="E508" s="2" t="str">
        <f>VLOOKUP(bron[[#This Row],[personeelsnr]],[1]Blad1!$A:$H,8,FALSE)</f>
        <v>Van De Velde Lucie</v>
      </c>
      <c r="F508" s="6">
        <v>45652</v>
      </c>
      <c r="G508" s="5" t="s">
        <v>798</v>
      </c>
      <c r="H508" t="s">
        <v>11</v>
      </c>
      <c r="I508"/>
      <c r="J508" t="e">
        <f>VLOOKUP(bron[[#This Row],[voertuig]],Voertuigen!A:C,3,FALSE)</f>
        <v>#N/A</v>
      </c>
      <c r="K508" t="e">
        <f>VLOOKUP(bron[[#This Row],[voertuig]],Voertuigen!A:C,2,FALSE)</f>
        <v>#N/A</v>
      </c>
      <c r="L508">
        <f>COUNTIF(A:A,bron[[#This Row],[personeelsnr]])</f>
        <v>4</v>
      </c>
    </row>
    <row r="509" spans="1:12" hidden="1" x14ac:dyDescent="0.25">
      <c r="A509">
        <v>9999</v>
      </c>
      <c r="B509" t="e">
        <f>VLOOKUP(bron[[#This Row],[personeelsnr]],[1]Blad1!$A:$H,2,FALSE)</f>
        <v>#N/A</v>
      </c>
      <c r="C509" t="e">
        <f>VLOOKUP(bron[[#This Row],[personeelsnr]],[1]Blad1!$A:$H,3,FALSE)</f>
        <v>#N/A</v>
      </c>
      <c r="D509" t="e">
        <f>VLOOKUP(bron[[#This Row],[personeelsnr]],[1]Blad1!$A:$H,4,FALSE)</f>
        <v>#N/A</v>
      </c>
      <c r="E509" s="2" t="s">
        <v>221</v>
      </c>
      <c r="F509" s="6">
        <v>45652</v>
      </c>
      <c r="G509" s="5" t="s">
        <v>799</v>
      </c>
      <c r="H509" t="s">
        <v>8</v>
      </c>
      <c r="I509"/>
      <c r="J509" t="e">
        <f>VLOOKUP(bron[[#This Row],[voertuig]],Voertuigen!A:C,3,FALSE)</f>
        <v>#N/A</v>
      </c>
      <c r="K509" t="e">
        <f>VLOOKUP(bron[[#This Row],[voertuig]],Voertuigen!A:C,2,FALSE)</f>
        <v>#N/A</v>
      </c>
      <c r="L509">
        <f>COUNTIF(A:A,bron[[#This Row],[personeelsnr]])</f>
        <v>59</v>
      </c>
    </row>
    <row r="510" spans="1:12" hidden="1" x14ac:dyDescent="0.25">
      <c r="A510">
        <v>9999</v>
      </c>
      <c r="B510" t="e">
        <f>VLOOKUP(bron[[#This Row],[personeelsnr]],[1]Blad1!$A:$H,2,FALSE)</f>
        <v>#N/A</v>
      </c>
      <c r="C510" t="e">
        <f>VLOOKUP(bron[[#This Row],[personeelsnr]],[1]Blad1!$A:$H,3,FALSE)</f>
        <v>#N/A</v>
      </c>
      <c r="D510" t="e">
        <f>VLOOKUP(bron[[#This Row],[personeelsnr]],[1]Blad1!$A:$H,4,FALSE)</f>
        <v>#N/A</v>
      </c>
      <c r="E510" s="2" t="s">
        <v>221</v>
      </c>
      <c r="F510" s="6">
        <v>45653</v>
      </c>
      <c r="G510" s="5" t="s">
        <v>800</v>
      </c>
      <c r="H510" t="s">
        <v>270</v>
      </c>
      <c r="I510"/>
      <c r="J510" t="e">
        <f>VLOOKUP(bron[[#This Row],[voertuig]],Voertuigen!A:C,3,FALSE)</f>
        <v>#N/A</v>
      </c>
      <c r="K510" t="e">
        <f>VLOOKUP(bron[[#This Row],[voertuig]],Voertuigen!A:C,2,FALSE)</f>
        <v>#N/A</v>
      </c>
      <c r="L510">
        <f>COUNTIF(A:A,bron[[#This Row],[personeelsnr]])</f>
        <v>59</v>
      </c>
    </row>
    <row r="511" spans="1:12" hidden="1" x14ac:dyDescent="0.25">
      <c r="A511">
        <v>16546</v>
      </c>
      <c r="B511" t="str">
        <f>VLOOKUP(bron[[#This Row],[personeelsnr]],[1]Blad1!$A:$H,2,FALSE)</f>
        <v>Baert Rosita</v>
      </c>
      <c r="C511" t="str">
        <f>VLOOKUP(bron[[#This Row],[personeelsnr]],[1]Blad1!$A:$H,3,FALSE)</f>
        <v>Baert</v>
      </c>
      <c r="D511" t="str">
        <f>VLOOKUP(bron[[#This Row],[personeelsnr]],[1]Blad1!$A:$H,4,FALSE)</f>
        <v>Rosita</v>
      </c>
      <c r="E511" s="2" t="str">
        <f>VLOOKUP(bron[[#This Row],[personeelsnr]],[1]Blad1!$A:$H,8,FALSE)</f>
        <v>Rotty Christoff</v>
      </c>
      <c r="F511" s="6">
        <v>45654</v>
      </c>
      <c r="G511" s="5" t="s">
        <v>801</v>
      </c>
      <c r="H511" t="s">
        <v>172</v>
      </c>
      <c r="I511"/>
      <c r="J511" t="e">
        <f>VLOOKUP(bron[[#This Row],[voertuig]],Voertuigen!A:C,3,FALSE)</f>
        <v>#N/A</v>
      </c>
      <c r="K511" t="e">
        <f>VLOOKUP(bron[[#This Row],[voertuig]],Voertuigen!A:C,2,FALSE)</f>
        <v>#N/A</v>
      </c>
      <c r="L511">
        <f>COUNTIF(A:A,bron[[#This Row],[personeelsnr]])</f>
        <v>2</v>
      </c>
    </row>
    <row r="512" spans="1:12" hidden="1" x14ac:dyDescent="0.25">
      <c r="A512">
        <v>16546</v>
      </c>
      <c r="B512" t="str">
        <f>VLOOKUP(bron[[#This Row],[personeelsnr]],[1]Blad1!$A:$H,2,FALSE)</f>
        <v>Baert Rosita</v>
      </c>
      <c r="C512" t="str">
        <f>VLOOKUP(bron[[#This Row],[personeelsnr]],[1]Blad1!$A:$H,3,FALSE)</f>
        <v>Baert</v>
      </c>
      <c r="D512" t="str">
        <f>VLOOKUP(bron[[#This Row],[personeelsnr]],[1]Blad1!$A:$H,4,FALSE)</f>
        <v>Rosita</v>
      </c>
      <c r="E512" s="2" t="str">
        <f>VLOOKUP(bron[[#This Row],[personeelsnr]],[1]Blad1!$A:$H,8,FALSE)</f>
        <v>Rotty Christoff</v>
      </c>
      <c r="F512" s="6">
        <v>45654</v>
      </c>
      <c r="G512" s="5" t="s">
        <v>802</v>
      </c>
      <c r="H512" t="s">
        <v>7</v>
      </c>
      <c r="I512"/>
      <c r="J512" t="e">
        <f>VLOOKUP(bron[[#This Row],[voertuig]],Voertuigen!A:C,3,FALSE)</f>
        <v>#N/A</v>
      </c>
      <c r="K512" t="e">
        <f>VLOOKUP(bron[[#This Row],[voertuig]],Voertuigen!A:C,2,FALSE)</f>
        <v>#N/A</v>
      </c>
      <c r="L512">
        <f>COUNTIF(A:A,bron[[#This Row],[personeelsnr]])</f>
        <v>2</v>
      </c>
    </row>
    <row r="513" spans="1:12" hidden="1" x14ac:dyDescent="0.25">
      <c r="A513">
        <v>39859</v>
      </c>
      <c r="B513" t="str">
        <f>VLOOKUP(bron[[#This Row],[personeelsnr]],[1]Blad1!$A:$H,2,FALSE)</f>
        <v>Costers Kelly</v>
      </c>
      <c r="C513" t="str">
        <f>VLOOKUP(bron[[#This Row],[personeelsnr]],[1]Blad1!$A:$H,3,FALSE)</f>
        <v>Costers</v>
      </c>
      <c r="D513" t="str">
        <f>VLOOKUP(bron[[#This Row],[personeelsnr]],[1]Blad1!$A:$H,4,FALSE)</f>
        <v>Kelly</v>
      </c>
      <c r="E513" s="2" t="str">
        <f>VLOOKUP(bron[[#This Row],[personeelsnr]],[1]Blad1!$A:$H,8,FALSE)</f>
        <v>Van Der Beken Bart</v>
      </c>
      <c r="F513" s="6">
        <v>45656</v>
      </c>
      <c r="G513" s="5" t="s">
        <v>803</v>
      </c>
      <c r="H513" t="s">
        <v>34</v>
      </c>
      <c r="I513"/>
      <c r="J513" t="e">
        <f>VLOOKUP(bron[[#This Row],[voertuig]],Voertuigen!A:C,3,FALSE)</f>
        <v>#N/A</v>
      </c>
      <c r="K513" t="e">
        <f>VLOOKUP(bron[[#This Row],[voertuig]],Voertuigen!A:C,2,FALSE)</f>
        <v>#N/A</v>
      </c>
      <c r="L513">
        <f>COUNTIF(A:A,bron[[#This Row],[personeelsnr]])</f>
        <v>4</v>
      </c>
    </row>
    <row r="514" spans="1:12" hidden="1" x14ac:dyDescent="0.25">
      <c r="A514">
        <v>29179</v>
      </c>
      <c r="B514" t="str">
        <f>VLOOKUP(bron[[#This Row],[personeelsnr]],[1]Blad1!$A:$H,2,FALSE)</f>
        <v>Verwee Dries</v>
      </c>
      <c r="C514" t="str">
        <f>VLOOKUP(bron[[#This Row],[personeelsnr]],[1]Blad1!$A:$H,3,FALSE)</f>
        <v>Verwee</v>
      </c>
      <c r="D514" t="str">
        <f>VLOOKUP(bron[[#This Row],[personeelsnr]],[1]Blad1!$A:$H,4,FALSE)</f>
        <v>Dries</v>
      </c>
      <c r="E514" s="2" t="str">
        <f>VLOOKUP(bron[[#This Row],[personeelsnr]],[1]Blad1!$A:$H,8,FALSE)</f>
        <v>Dewulf Els</v>
      </c>
      <c r="F514" s="6">
        <v>45657</v>
      </c>
      <c r="G514" s="5" t="s">
        <v>804</v>
      </c>
      <c r="H514" t="s">
        <v>7</v>
      </c>
      <c r="I514"/>
      <c r="J514" t="e">
        <f>VLOOKUP(bron[[#This Row],[voertuig]],Voertuigen!A:C,3,FALSE)</f>
        <v>#N/A</v>
      </c>
      <c r="K514" t="e">
        <f>VLOOKUP(bron[[#This Row],[voertuig]],Voertuigen!A:C,2,FALSE)</f>
        <v>#N/A</v>
      </c>
      <c r="L514">
        <f>COUNTIF(A:A,bron[[#This Row],[personeelsnr]])</f>
        <v>6</v>
      </c>
    </row>
    <row r="515" spans="1:12" hidden="1" x14ac:dyDescent="0.25">
      <c r="A515" s="20">
        <v>31490</v>
      </c>
      <c r="B515" t="e">
        <f>VLOOKUP(bron[[#This Row],[personeelsnr]],[1]Blad1!$A:$H,2,FALSE)</f>
        <v>#N/A</v>
      </c>
      <c r="C515" t="e">
        <f>VLOOKUP(bron[[#This Row],[personeelsnr]],[1]Blad1!$A:$H,3,FALSE)</f>
        <v>#N/A</v>
      </c>
      <c r="D515" t="e">
        <f>VLOOKUP(bron[[#This Row],[personeelsnr]],[1]Blad1!$A:$H,4,FALSE)</f>
        <v>#N/A</v>
      </c>
      <c r="E515" s="2" t="s">
        <v>221</v>
      </c>
      <c r="F515" s="3">
        <v>45660</v>
      </c>
      <c r="G515" s="5" t="s">
        <v>807</v>
      </c>
      <c r="H515" t="s">
        <v>9</v>
      </c>
      <c r="I515" s="4">
        <v>5934</v>
      </c>
      <c r="J515" s="23" t="str">
        <f>VLOOKUP(bron[[#This Row],[voertuig]],Voertuigen!A:C,3,FALSE)</f>
        <v>Bus</v>
      </c>
      <c r="K515" s="23" t="str">
        <f>VLOOKUP(bron[[#This Row],[voertuig]],Voertuigen!A:C,2,FALSE)</f>
        <v>Standaard</v>
      </c>
      <c r="L515" s="23">
        <f>COUNTIF(A:A,bron[[#This Row],[personeelsnr]])</f>
        <v>1</v>
      </c>
    </row>
    <row r="516" spans="1:12" hidden="1" x14ac:dyDescent="0.25">
      <c r="A516" s="20">
        <v>36289</v>
      </c>
      <c r="B516" t="str">
        <f>VLOOKUP(bron[[#This Row],[personeelsnr]],[1]Blad1!$A:$H,2,FALSE)</f>
        <v>Van Rentergem Steve</v>
      </c>
      <c r="C516" t="str">
        <f>VLOOKUP(bron[[#This Row],[personeelsnr]],[1]Blad1!$A:$H,3,FALSE)</f>
        <v>Van Rentergem</v>
      </c>
      <c r="D516" t="str">
        <f>VLOOKUP(bron[[#This Row],[personeelsnr]],[1]Blad1!$A:$H,4,FALSE)</f>
        <v>Steve</v>
      </c>
      <c r="E516" s="2" t="str">
        <f>VLOOKUP(bron[[#This Row],[personeelsnr]],[1]Blad1!$A:$H,8,FALSE)</f>
        <v>Vanhoe Els</v>
      </c>
      <c r="F516" s="3">
        <v>45660</v>
      </c>
      <c r="G516" s="5" t="s">
        <v>808</v>
      </c>
      <c r="H516" t="s">
        <v>11</v>
      </c>
      <c r="I516" s="4">
        <v>5048</v>
      </c>
      <c r="J516" s="23" t="str">
        <f>VLOOKUP(bron[[#This Row],[voertuig]],Voertuigen!A:C,3,FALSE)</f>
        <v>Bus</v>
      </c>
      <c r="K516" s="23" t="str">
        <f>VLOOKUP(bron[[#This Row],[voertuig]],Voertuigen!A:C,2,FALSE)</f>
        <v>Gelede</v>
      </c>
      <c r="L516" s="23">
        <f>COUNTIF(A:A,bron[[#This Row],[personeelsnr]])</f>
        <v>3</v>
      </c>
    </row>
    <row r="517" spans="1:12" hidden="1" x14ac:dyDescent="0.25">
      <c r="A517" s="20">
        <v>39014</v>
      </c>
      <c r="B517" t="str">
        <f>VLOOKUP(bron[[#This Row],[personeelsnr]],[1]Blad1!$A:$H,2,FALSE)</f>
        <v>Genbrugge Kyllian</v>
      </c>
      <c r="C517" t="str">
        <f>VLOOKUP(bron[[#This Row],[personeelsnr]],[1]Blad1!$A:$H,3,FALSE)</f>
        <v>Genbrugge</v>
      </c>
      <c r="D517" t="str">
        <f>VLOOKUP(bron[[#This Row],[personeelsnr]],[1]Blad1!$A:$H,4,FALSE)</f>
        <v>Kyllian</v>
      </c>
      <c r="E517" s="2" t="str">
        <f>VLOOKUP(bron[[#This Row],[personeelsnr]],[1]Blad1!$A:$H,8,FALSE)</f>
        <v>Van Der Beken Bart</v>
      </c>
      <c r="F517" s="3">
        <v>45660</v>
      </c>
      <c r="G517" s="5" t="s">
        <v>809</v>
      </c>
      <c r="H517" t="s">
        <v>169</v>
      </c>
      <c r="I517" s="4">
        <v>5048</v>
      </c>
      <c r="J517" s="23" t="str">
        <f>VLOOKUP(bron[[#This Row],[voertuig]],Voertuigen!A:C,3,FALSE)</f>
        <v>Bus</v>
      </c>
      <c r="K517" s="23" t="str">
        <f>VLOOKUP(bron[[#This Row],[voertuig]],Voertuigen!A:C,2,FALSE)</f>
        <v>Gelede</v>
      </c>
      <c r="L517" s="23">
        <f>COUNTIF(A:A,bron[[#This Row],[personeelsnr]])</f>
        <v>3</v>
      </c>
    </row>
    <row r="518" spans="1:12" hidden="1" x14ac:dyDescent="0.25">
      <c r="A518" s="20">
        <v>36426</v>
      </c>
      <c r="B518" t="str">
        <f>VLOOKUP(bron[[#This Row],[personeelsnr]],[1]Blad1!$A:$H,2,FALSE)</f>
        <v>Mohamed Yassin Abdulhamid</v>
      </c>
      <c r="C518" t="str">
        <f>VLOOKUP(bron[[#This Row],[personeelsnr]],[1]Blad1!$A:$H,3,FALSE)</f>
        <v>Mohamed Yassin</v>
      </c>
      <c r="D518" t="str">
        <f>VLOOKUP(bron[[#This Row],[personeelsnr]],[1]Blad1!$A:$H,4,FALSE)</f>
        <v>Abdulhamid</v>
      </c>
      <c r="E518" s="2" t="str">
        <f>VLOOKUP(bron[[#This Row],[personeelsnr]],[1]Blad1!$A:$H,8,FALSE)</f>
        <v>Van Der Beken Bart</v>
      </c>
      <c r="F518" s="3">
        <v>45660</v>
      </c>
      <c r="G518" s="5" t="s">
        <v>810</v>
      </c>
      <c r="H518" t="s">
        <v>69</v>
      </c>
      <c r="I518" s="4">
        <v>6311</v>
      </c>
      <c r="J518" s="23" t="str">
        <f>VLOOKUP(bron[[#This Row],[voertuig]],Voertuigen!A:C,3,FALSE)</f>
        <v>Tram</v>
      </c>
      <c r="K518" s="23" t="str">
        <f>VLOOKUP(bron[[#This Row],[voertuig]],Voertuigen!A:C,2,FALSE)</f>
        <v>Hermelijn</v>
      </c>
      <c r="L518" s="23">
        <f>COUNTIF(A:A,bron[[#This Row],[personeelsnr]])</f>
        <v>3</v>
      </c>
    </row>
    <row r="519" spans="1:12" hidden="1" x14ac:dyDescent="0.25">
      <c r="A519" s="20">
        <v>31231</v>
      </c>
      <c r="B519" t="str">
        <f>VLOOKUP(bron[[#This Row],[personeelsnr]],[1]Blad1!$A:$H,2,FALSE)</f>
        <v>Colaes Dylan</v>
      </c>
      <c r="C519" t="str">
        <f>VLOOKUP(bron[[#This Row],[personeelsnr]],[1]Blad1!$A:$H,3,FALSE)</f>
        <v>Colaes</v>
      </c>
      <c r="D519" t="str">
        <f>VLOOKUP(bron[[#This Row],[personeelsnr]],[1]Blad1!$A:$H,4,FALSE)</f>
        <v>Dylan</v>
      </c>
      <c r="E519" s="2" t="str">
        <f>VLOOKUP(bron[[#This Row],[personeelsnr]],[1]Blad1!$A:$H,8,FALSE)</f>
        <v>Vanhoe Els</v>
      </c>
      <c r="F519" s="3">
        <v>45660</v>
      </c>
      <c r="G519" s="5" t="s">
        <v>811</v>
      </c>
      <c r="H519" t="s">
        <v>39</v>
      </c>
      <c r="I519" s="4">
        <v>6312</v>
      </c>
      <c r="J519" s="23" t="str">
        <f>VLOOKUP(bron[[#This Row],[voertuig]],Voertuigen!A:C,3,FALSE)</f>
        <v>Tram</v>
      </c>
      <c r="K519" s="23" t="str">
        <f>VLOOKUP(bron[[#This Row],[voertuig]],Voertuigen!A:C,2,FALSE)</f>
        <v>Hermelijn</v>
      </c>
      <c r="L519" s="23">
        <f>COUNTIF(A:A,bron[[#This Row],[personeelsnr]])</f>
        <v>3</v>
      </c>
    </row>
    <row r="520" spans="1:12" hidden="1" x14ac:dyDescent="0.25">
      <c r="A520" s="20">
        <v>39358</v>
      </c>
      <c r="B520" t="str">
        <f>VLOOKUP(bron[[#This Row],[personeelsnr]],[1]Blad1!$A:$H,2,FALSE)</f>
        <v>Weeks Aracena Jimmy Alexander</v>
      </c>
      <c r="C520" t="str">
        <f>VLOOKUP(bron[[#This Row],[personeelsnr]],[1]Blad1!$A:$H,3,FALSE)</f>
        <v>Weeks Aracena</v>
      </c>
      <c r="D520" t="str">
        <f>VLOOKUP(bron[[#This Row],[personeelsnr]],[1]Blad1!$A:$H,4,FALSE)</f>
        <v>Jimmy Alexander</v>
      </c>
      <c r="E520" s="2" t="str">
        <f>VLOOKUP(bron[[#This Row],[personeelsnr]],[1]Blad1!$A:$H,8,FALSE)</f>
        <v>Rotty Christoff</v>
      </c>
      <c r="F520" s="3">
        <v>45660</v>
      </c>
      <c r="G520" s="5" t="s">
        <v>812</v>
      </c>
      <c r="H520" t="s">
        <v>10</v>
      </c>
      <c r="I520" s="4">
        <v>5229</v>
      </c>
      <c r="J520" s="23" t="str">
        <f>VLOOKUP(bron[[#This Row],[voertuig]],Voertuigen!A:C,3,FALSE)</f>
        <v>Bus</v>
      </c>
      <c r="K520" s="23" t="str">
        <f>VLOOKUP(bron[[#This Row],[voertuig]],Voertuigen!A:C,2,FALSE)</f>
        <v>Gelede</v>
      </c>
      <c r="L520" s="23">
        <f>COUNTIF(A:A,bron[[#This Row],[personeelsnr]])</f>
        <v>5</v>
      </c>
    </row>
    <row r="521" spans="1:12" hidden="1" x14ac:dyDescent="0.25">
      <c r="A521" s="24">
        <v>40058</v>
      </c>
      <c r="B521" t="str">
        <f>VLOOKUP(bron[[#This Row],[personeelsnr]],[1]Blad1!$A:$H,2,FALSE)</f>
        <v>Sögüt Can</v>
      </c>
      <c r="C521" t="str">
        <f>VLOOKUP(bron[[#This Row],[personeelsnr]],[1]Blad1!$A:$H,3,FALSE)</f>
        <v>Sögüt</v>
      </c>
      <c r="D521" t="str">
        <f>VLOOKUP(bron[[#This Row],[personeelsnr]],[1]Blad1!$A:$H,4,FALSE)</f>
        <v>Can</v>
      </c>
      <c r="E521" s="2" t="str">
        <f>VLOOKUP(bron[[#This Row],[personeelsnr]],[1]Blad1!$A:$H,8,FALSE)</f>
        <v>Rotty Christoff</v>
      </c>
      <c r="F521" s="31">
        <v>45660</v>
      </c>
      <c r="G521" s="30" t="s">
        <v>813</v>
      </c>
      <c r="H521" s="25" t="s">
        <v>29</v>
      </c>
      <c r="I521" s="27">
        <v>5047</v>
      </c>
      <c r="J521" s="28" t="str">
        <f>VLOOKUP(bron[[#This Row],[voertuig]],Voertuigen!A:C,3,FALSE)</f>
        <v>Bus</v>
      </c>
      <c r="K521" s="28" t="str">
        <f>VLOOKUP(bron[[#This Row],[voertuig]],Voertuigen!A:C,2,FALSE)</f>
        <v>Gelede</v>
      </c>
      <c r="L521" s="28">
        <f>COUNTIF(A:A,bron[[#This Row],[personeelsnr]])</f>
        <v>3</v>
      </c>
    </row>
    <row r="522" spans="1:12" hidden="1" x14ac:dyDescent="0.25">
      <c r="A522" s="20">
        <v>36663</v>
      </c>
      <c r="B522" t="str">
        <f>VLOOKUP(bron[[#This Row],[personeelsnr]],[1]Blad1!$A:$H,2,FALSE)</f>
        <v>Cesmeli Achraf</v>
      </c>
      <c r="C522" t="str">
        <f>VLOOKUP(bron[[#This Row],[personeelsnr]],[1]Blad1!$A:$H,3,FALSE)</f>
        <v>Cesmeli</v>
      </c>
      <c r="D522" t="str">
        <f>VLOOKUP(bron[[#This Row],[personeelsnr]],[1]Blad1!$A:$H,4,FALSE)</f>
        <v>Achraf</v>
      </c>
      <c r="E522" s="2" t="str">
        <f>VLOOKUP(bron[[#This Row],[personeelsnr]],[1]Blad1!$A:$H,8,FALSE)</f>
        <v>De Clercq Dominique</v>
      </c>
      <c r="F522" s="3">
        <v>45661</v>
      </c>
      <c r="G522" t="s">
        <v>814</v>
      </c>
      <c r="I522" s="4" t="s">
        <v>220</v>
      </c>
      <c r="J522" s="23">
        <f>VLOOKUP(bron[[#This Row],[voertuig]],Voertuigen!A:C,3,FALSE)</f>
        <v>0</v>
      </c>
      <c r="K522" s="23" t="str">
        <f>VLOOKUP(bron[[#This Row],[voertuig]],Voertuigen!A:C,2,FALSE)</f>
        <v>-</v>
      </c>
      <c r="L522" s="23">
        <f>COUNTIF(A:A,bron[[#This Row],[personeelsnr]])</f>
        <v>3</v>
      </c>
    </row>
    <row r="523" spans="1:12" hidden="1" x14ac:dyDescent="0.25">
      <c r="A523" s="20">
        <v>40138</v>
      </c>
      <c r="B523" t="str">
        <f>VLOOKUP(bron[[#This Row],[personeelsnr]],[1]Blad1!$A:$H,2,FALSE)</f>
        <v>Moerman Tjimmy</v>
      </c>
      <c r="C523" t="str">
        <f>VLOOKUP(bron[[#This Row],[personeelsnr]],[1]Blad1!$A:$H,3,FALSE)</f>
        <v>Moerman</v>
      </c>
      <c r="D523" t="str">
        <f>VLOOKUP(bron[[#This Row],[personeelsnr]],[1]Blad1!$A:$H,4,FALSE)</f>
        <v>Tjimmy</v>
      </c>
      <c r="E523" s="2" t="str">
        <f>VLOOKUP(bron[[#This Row],[personeelsnr]],[1]Blad1!$A:$H,8,FALSE)</f>
        <v>Rotty Christoff</v>
      </c>
      <c r="F523" s="3">
        <v>45661</v>
      </c>
      <c r="G523" s="5" t="s">
        <v>815</v>
      </c>
      <c r="H523" t="s">
        <v>105</v>
      </c>
      <c r="I523" s="4">
        <v>5051</v>
      </c>
      <c r="J523" s="23" t="str">
        <f>VLOOKUP(bron[[#This Row],[voertuig]],Voertuigen!A:C,3,FALSE)</f>
        <v>Bus</v>
      </c>
      <c r="K523" s="23" t="str">
        <f>VLOOKUP(bron[[#This Row],[voertuig]],Voertuigen!A:C,2,FALSE)</f>
        <v>Gelede</v>
      </c>
      <c r="L523" s="23">
        <f>COUNTIF(A:A,bron[[#This Row],[personeelsnr]])</f>
        <v>10</v>
      </c>
    </row>
    <row r="524" spans="1:12" hidden="1" x14ac:dyDescent="0.25">
      <c r="A524" s="20">
        <v>37950</v>
      </c>
      <c r="B524" t="str">
        <f>VLOOKUP(bron[[#This Row],[personeelsnr]],[1]Blad1!$A:$H,2,FALSE)</f>
        <v>De Naegel Bruno</v>
      </c>
      <c r="C524" t="str">
        <f>VLOOKUP(bron[[#This Row],[personeelsnr]],[1]Blad1!$A:$H,3,FALSE)</f>
        <v>De Naegel</v>
      </c>
      <c r="D524" t="str">
        <f>VLOOKUP(bron[[#This Row],[personeelsnr]],[1]Blad1!$A:$H,4,FALSE)</f>
        <v>Bruno</v>
      </c>
      <c r="E524" s="2" t="str">
        <f>VLOOKUP(bron[[#This Row],[personeelsnr]],[1]Blad1!$A:$H,8,FALSE)</f>
        <v>De Clercq Dominique</v>
      </c>
      <c r="F524" s="3">
        <v>45665</v>
      </c>
      <c r="G524" s="5" t="s">
        <v>816</v>
      </c>
      <c r="H524" t="s">
        <v>42</v>
      </c>
      <c r="I524" s="4">
        <v>5931</v>
      </c>
      <c r="J524" s="23" t="str">
        <f>VLOOKUP(bron[[#This Row],[voertuig]],Voertuigen!A:C,3,FALSE)</f>
        <v>Bus</v>
      </c>
      <c r="K524" s="23" t="str">
        <f>VLOOKUP(bron[[#This Row],[voertuig]],Voertuigen!A:C,2,FALSE)</f>
        <v>Standaard</v>
      </c>
      <c r="L524" s="23">
        <f>COUNTIF(A:A,bron[[#This Row],[personeelsnr]])</f>
        <v>3</v>
      </c>
    </row>
    <row r="525" spans="1:12" hidden="1" x14ac:dyDescent="0.25">
      <c r="A525" s="20">
        <v>41032</v>
      </c>
      <c r="B525" t="str">
        <f>VLOOKUP(bron[[#This Row],[personeelsnr]],[1]Blad1!$A:$H,2,FALSE)</f>
        <v>Rocabado Hinojosa Lukas</v>
      </c>
      <c r="C525" t="str">
        <f>VLOOKUP(bron[[#This Row],[personeelsnr]],[1]Blad1!$A:$H,3,FALSE)</f>
        <v>Rocabado Hinojosa</v>
      </c>
      <c r="D525" t="str">
        <f>VLOOKUP(bron[[#This Row],[personeelsnr]],[1]Blad1!$A:$H,4,FALSE)</f>
        <v>Lukas</v>
      </c>
      <c r="E525" s="2" t="str">
        <f>VLOOKUP(bron[[#This Row],[personeelsnr]],[1]Blad1!$A:$H,8,FALSE)</f>
        <v>Vanhoe Els</v>
      </c>
      <c r="F525" s="6">
        <v>45666</v>
      </c>
      <c r="G525" s="5" t="s">
        <v>817</v>
      </c>
      <c r="H525" t="s">
        <v>13</v>
      </c>
      <c r="I525" s="4">
        <v>5926</v>
      </c>
      <c r="J525" s="23" t="str">
        <f>VLOOKUP(bron[[#This Row],[voertuig]],Voertuigen!A:C,3,FALSE)</f>
        <v>Bus</v>
      </c>
      <c r="K525" s="23" t="str">
        <f>VLOOKUP(bron[[#This Row],[voertuig]],Voertuigen!A:C,2,FALSE)</f>
        <v>Standaard</v>
      </c>
      <c r="L525" s="23">
        <f>COUNTIF(A:A,bron[[#This Row],[personeelsnr]])</f>
        <v>4</v>
      </c>
    </row>
    <row r="526" spans="1:12" hidden="1" x14ac:dyDescent="0.25">
      <c r="A526" s="20">
        <v>19917</v>
      </c>
      <c r="B526" t="str">
        <f>VLOOKUP(bron[[#This Row],[personeelsnr]],[1]Blad1!$A:$H,2,FALSE)</f>
        <v>Vandevyvere Frank</v>
      </c>
      <c r="C526" t="str">
        <f>VLOOKUP(bron[[#This Row],[personeelsnr]],[1]Blad1!$A:$H,3,FALSE)</f>
        <v>Vandevyvere</v>
      </c>
      <c r="D526" t="str">
        <f>VLOOKUP(bron[[#This Row],[personeelsnr]],[1]Blad1!$A:$H,4,FALSE)</f>
        <v>Frank</v>
      </c>
      <c r="E526" s="2" t="str">
        <f>VLOOKUP(bron[[#This Row],[personeelsnr]],[1]Blad1!$A:$H,8,FALSE)</f>
        <v>Van Der Beken Bart</v>
      </c>
      <c r="F526" s="3">
        <v>45667</v>
      </c>
      <c r="G526" s="5" t="s">
        <v>818</v>
      </c>
      <c r="H526" t="s">
        <v>16</v>
      </c>
      <c r="I526" s="4">
        <v>5767</v>
      </c>
      <c r="J526" s="23" t="str">
        <f>VLOOKUP(bron[[#This Row],[voertuig]],Voertuigen!A:C,3,FALSE)</f>
        <v>Bus</v>
      </c>
      <c r="K526" s="23" t="str">
        <f>VLOOKUP(bron[[#This Row],[voertuig]],Voertuigen!A:C,2,FALSE)</f>
        <v>Standaard</v>
      </c>
      <c r="L526" s="23">
        <f>COUNTIF(A:A,bron[[#This Row],[personeelsnr]])</f>
        <v>10</v>
      </c>
    </row>
    <row r="527" spans="1:12" hidden="1" x14ac:dyDescent="0.25">
      <c r="A527" s="20">
        <v>40266</v>
      </c>
      <c r="B527" t="str">
        <f>VLOOKUP(bron[[#This Row],[personeelsnr]],[1]Blad1!$A:$H,2,FALSE)</f>
        <v>Taibi Yassine</v>
      </c>
      <c r="C527" t="str">
        <f>VLOOKUP(bron[[#This Row],[personeelsnr]],[1]Blad1!$A:$H,3,FALSE)</f>
        <v>Taibi</v>
      </c>
      <c r="D527" t="str">
        <f>VLOOKUP(bron[[#This Row],[personeelsnr]],[1]Blad1!$A:$H,4,FALSE)</f>
        <v>Yassine</v>
      </c>
      <c r="E527" s="2" t="str">
        <f>VLOOKUP(bron[[#This Row],[personeelsnr]],[1]Blad1!$A:$H,8,FALSE)</f>
        <v>Rotty Christoff</v>
      </c>
      <c r="F527" s="3">
        <v>45667</v>
      </c>
      <c r="G527" s="5" t="s">
        <v>819</v>
      </c>
      <c r="H527" t="s">
        <v>55</v>
      </c>
      <c r="I527" s="4">
        <v>5912</v>
      </c>
      <c r="J527" s="23" t="str">
        <f>VLOOKUP(bron[[#This Row],[voertuig]],Voertuigen!A:C,3,FALSE)</f>
        <v>Bus</v>
      </c>
      <c r="K527" s="23" t="str">
        <f>VLOOKUP(bron[[#This Row],[voertuig]],Voertuigen!A:C,2,FALSE)</f>
        <v>Standaard</v>
      </c>
      <c r="L527" s="23">
        <f>COUNTIF(A:A,bron[[#This Row],[personeelsnr]])</f>
        <v>3</v>
      </c>
    </row>
    <row r="528" spans="1:12" hidden="1" x14ac:dyDescent="0.25">
      <c r="A528" s="20">
        <v>36559</v>
      </c>
      <c r="B528" t="str">
        <f>VLOOKUP(bron[[#This Row],[personeelsnr]],[1]Blad1!$A:$H,2,FALSE)</f>
        <v>De Staercke Sandra</v>
      </c>
      <c r="C528" t="str">
        <f>VLOOKUP(bron[[#This Row],[personeelsnr]],[1]Blad1!$A:$H,3,FALSE)</f>
        <v>De Staercke</v>
      </c>
      <c r="D528" t="str">
        <f>VLOOKUP(bron[[#This Row],[personeelsnr]],[1]Blad1!$A:$H,4,FALSE)</f>
        <v>Sandra</v>
      </c>
      <c r="E528" s="2" t="str">
        <f>VLOOKUP(bron[[#This Row],[personeelsnr]],[1]Blad1!$A:$H,8,FALSE)</f>
        <v>De Rick Kenneth</v>
      </c>
      <c r="F528" s="3">
        <v>45667</v>
      </c>
      <c r="G528" s="5" t="s">
        <v>820</v>
      </c>
      <c r="H528" t="s">
        <v>117</v>
      </c>
      <c r="I528" s="4">
        <v>6366</v>
      </c>
      <c r="J528" s="23" t="str">
        <f>VLOOKUP(bron[[#This Row],[voertuig]],Voertuigen!A:C,3,FALSE)</f>
        <v>Tram</v>
      </c>
      <c r="K528" s="23" t="str">
        <f>VLOOKUP(bron[[#This Row],[voertuig]],Voertuigen!A:C,2,FALSE)</f>
        <v>Flexity</v>
      </c>
      <c r="L528" s="23">
        <f>COUNTIF(A:A,bron[[#This Row],[personeelsnr]])</f>
        <v>2</v>
      </c>
    </row>
    <row r="529" spans="1:12" hidden="1" x14ac:dyDescent="0.25">
      <c r="A529" s="20">
        <v>33986</v>
      </c>
      <c r="B529" t="str">
        <f>VLOOKUP(bron[[#This Row],[personeelsnr]],[1]Blad1!$A:$H,2,FALSE)</f>
        <v>Göktas Muharrem</v>
      </c>
      <c r="C529" t="str">
        <f>VLOOKUP(bron[[#This Row],[personeelsnr]],[1]Blad1!$A:$H,3,FALSE)</f>
        <v>Göktas</v>
      </c>
      <c r="D529" t="str">
        <f>VLOOKUP(bron[[#This Row],[personeelsnr]],[1]Blad1!$A:$H,4,FALSE)</f>
        <v>Muharrem</v>
      </c>
      <c r="E529" s="2" t="str">
        <f>VLOOKUP(bron[[#This Row],[personeelsnr]],[1]Blad1!$A:$H,8,FALSE)</f>
        <v>De Rick Kenneth</v>
      </c>
      <c r="F529" s="3">
        <v>45669</v>
      </c>
      <c r="G529" s="5" t="s">
        <v>821</v>
      </c>
      <c r="H529" t="s">
        <v>154</v>
      </c>
      <c r="I529" s="4">
        <v>5267</v>
      </c>
      <c r="J529" s="23" t="str">
        <f>VLOOKUP(bron[[#This Row],[voertuig]],Voertuigen!A:C,3,FALSE)</f>
        <v>Bus</v>
      </c>
      <c r="K529" s="23" t="str">
        <f>VLOOKUP(bron[[#This Row],[voertuig]],Voertuigen!A:C,2,FALSE)</f>
        <v>Gelede</v>
      </c>
      <c r="L529" s="23">
        <f>COUNTIF(A:A,bron[[#This Row],[personeelsnr]])</f>
        <v>4</v>
      </c>
    </row>
    <row r="530" spans="1:12" hidden="1" x14ac:dyDescent="0.25">
      <c r="A530" s="20">
        <v>36428</v>
      </c>
      <c r="B530" t="str">
        <f>VLOOKUP(bron[[#This Row],[personeelsnr]],[1]Blad1!$A:$H,2,FALSE)</f>
        <v>Abdi Shaiye Rashid</v>
      </c>
      <c r="C530" t="str">
        <f>VLOOKUP(bron[[#This Row],[personeelsnr]],[1]Blad1!$A:$H,3,FALSE)</f>
        <v>Abdi Shaiye</v>
      </c>
      <c r="D530" t="str">
        <f>VLOOKUP(bron[[#This Row],[personeelsnr]],[1]Blad1!$A:$H,4,FALSE)</f>
        <v>Rashid</v>
      </c>
      <c r="E530" s="2" t="str">
        <f>VLOOKUP(bron[[#This Row],[personeelsnr]],[1]Blad1!$A:$H,8,FALSE)</f>
        <v>Van De Velde Lucie</v>
      </c>
      <c r="F530" s="3">
        <v>45669</v>
      </c>
      <c r="G530" s="5" t="s">
        <v>822</v>
      </c>
      <c r="H530" t="s">
        <v>10</v>
      </c>
      <c r="I530" s="4">
        <v>5328</v>
      </c>
      <c r="J530" s="23" t="str">
        <f>VLOOKUP(bron[[#This Row],[voertuig]],Voertuigen!A:C,3,FALSE)</f>
        <v>Bus</v>
      </c>
      <c r="K530" s="23" t="str">
        <f>VLOOKUP(bron[[#This Row],[voertuig]],Voertuigen!A:C,2,FALSE)</f>
        <v>Gelede</v>
      </c>
      <c r="L530" s="23">
        <f>COUNTIF(A:A,bron[[#This Row],[personeelsnr]])</f>
        <v>6</v>
      </c>
    </row>
    <row r="531" spans="1:12" hidden="1" x14ac:dyDescent="0.25">
      <c r="A531" s="20">
        <v>22052</v>
      </c>
      <c r="B531" t="str">
        <f>VLOOKUP(bron[[#This Row],[personeelsnr]],[1]Blad1!$A:$H,2,FALSE)</f>
        <v>Meyvaert Peter</v>
      </c>
      <c r="C531" t="str">
        <f>VLOOKUP(bron[[#This Row],[personeelsnr]],[1]Blad1!$A:$H,3,FALSE)</f>
        <v>Meyvaert</v>
      </c>
      <c r="D531" t="str">
        <f>VLOOKUP(bron[[#This Row],[personeelsnr]],[1]Blad1!$A:$H,4,FALSE)</f>
        <v>Peter</v>
      </c>
      <c r="E531" s="2" t="str">
        <f>VLOOKUP(bron[[#This Row],[personeelsnr]],[1]Blad1!$A:$H,8,FALSE)</f>
        <v>Dewulf Els</v>
      </c>
      <c r="F531" s="3">
        <v>45670</v>
      </c>
      <c r="G531" s="5" t="s">
        <v>823</v>
      </c>
      <c r="H531" t="s">
        <v>22</v>
      </c>
      <c r="I531" s="4">
        <v>5263</v>
      </c>
      <c r="J531" s="23" t="str">
        <f>VLOOKUP(bron[[#This Row],[voertuig]],Voertuigen!A:C,3,FALSE)</f>
        <v>Bus</v>
      </c>
      <c r="K531" s="23" t="str">
        <f>VLOOKUP(bron[[#This Row],[voertuig]],Voertuigen!A:C,2,FALSE)</f>
        <v>Gelede</v>
      </c>
      <c r="L531" s="23">
        <f>COUNTIF(A:A,bron[[#This Row],[personeelsnr]])</f>
        <v>1</v>
      </c>
    </row>
    <row r="532" spans="1:12" hidden="1" x14ac:dyDescent="0.25">
      <c r="A532" s="20">
        <v>40444</v>
      </c>
      <c r="B532" t="str">
        <f>VLOOKUP(bron[[#This Row],[personeelsnr]],[1]Blad1!$A:$H,2,FALSE)</f>
        <v>Van Damme Glenn</v>
      </c>
      <c r="C532" t="str">
        <f>VLOOKUP(bron[[#This Row],[personeelsnr]],[1]Blad1!$A:$H,3,FALSE)</f>
        <v>Van Damme</v>
      </c>
      <c r="D532" t="str">
        <f>VLOOKUP(bron[[#This Row],[personeelsnr]],[1]Blad1!$A:$H,4,FALSE)</f>
        <v>Glenn</v>
      </c>
      <c r="E532" s="2" t="str">
        <f>VLOOKUP(bron[[#This Row],[personeelsnr]],[1]Blad1!$A:$H,8,FALSE)</f>
        <v>Dewulf Els</v>
      </c>
      <c r="F532" s="3">
        <v>45670</v>
      </c>
      <c r="G532" s="5" t="s">
        <v>824</v>
      </c>
      <c r="H532" t="s">
        <v>23</v>
      </c>
      <c r="I532" s="4">
        <v>5260</v>
      </c>
      <c r="J532" s="23" t="str">
        <f>VLOOKUP(bron[[#This Row],[voertuig]],Voertuigen!A:C,3,FALSE)</f>
        <v>Bus</v>
      </c>
      <c r="K532" s="23" t="str">
        <f>VLOOKUP(bron[[#This Row],[voertuig]],Voertuigen!A:C,2,FALSE)</f>
        <v>Gelede</v>
      </c>
      <c r="L532" s="23">
        <f>COUNTIF(A:A,bron[[#This Row],[personeelsnr]])</f>
        <v>1</v>
      </c>
    </row>
    <row r="533" spans="1:12" hidden="1" x14ac:dyDescent="0.25">
      <c r="A533" s="20">
        <v>25487</v>
      </c>
      <c r="B533" t="str">
        <f>VLOOKUP(bron[[#This Row],[personeelsnr]],[1]Blad1!$A:$H,2,FALSE)</f>
        <v>Devos Stefaan</v>
      </c>
      <c r="C533" t="str">
        <f>VLOOKUP(bron[[#This Row],[personeelsnr]],[1]Blad1!$A:$H,3,FALSE)</f>
        <v>Devos</v>
      </c>
      <c r="D533" t="str">
        <f>VLOOKUP(bron[[#This Row],[personeelsnr]],[1]Blad1!$A:$H,4,FALSE)</f>
        <v>Stefaan</v>
      </c>
      <c r="E533" s="2" t="str">
        <f>VLOOKUP(bron[[#This Row],[personeelsnr]],[1]Blad1!$A:$H,8,FALSE)</f>
        <v>Storm Steven</v>
      </c>
      <c r="F533" s="3">
        <v>45671</v>
      </c>
      <c r="G533" s="5" t="s">
        <v>825</v>
      </c>
      <c r="H533" t="s">
        <v>57</v>
      </c>
      <c r="I533" s="4">
        <v>5912</v>
      </c>
      <c r="J533" s="23" t="str">
        <f>VLOOKUP(bron[[#This Row],[voertuig]],Voertuigen!A:C,3,FALSE)</f>
        <v>Bus</v>
      </c>
      <c r="K533" s="23" t="str">
        <f>VLOOKUP(bron[[#This Row],[voertuig]],Voertuigen!A:C,2,FALSE)</f>
        <v>Standaard</v>
      </c>
      <c r="L533" s="23">
        <f>COUNTIF(A:A,bron[[#This Row],[personeelsnr]])</f>
        <v>4</v>
      </c>
    </row>
    <row r="534" spans="1:12" hidden="1" x14ac:dyDescent="0.25">
      <c r="A534" s="20">
        <v>36626</v>
      </c>
      <c r="B534" t="str">
        <f>VLOOKUP(bron[[#This Row],[personeelsnr]],[1]Blad1!$A:$H,2,FALSE)</f>
        <v>Kartal Kadir</v>
      </c>
      <c r="C534" t="str">
        <f>VLOOKUP(bron[[#This Row],[personeelsnr]],[1]Blad1!$A:$H,3,FALSE)</f>
        <v>Kartal</v>
      </c>
      <c r="D534" t="str">
        <f>VLOOKUP(bron[[#This Row],[personeelsnr]],[1]Blad1!$A:$H,4,FALSE)</f>
        <v>Kadir</v>
      </c>
      <c r="E534" s="2" t="str">
        <f>VLOOKUP(bron[[#This Row],[personeelsnr]],[1]Blad1!$A:$H,8,FALSE)</f>
        <v>Dewulf Els</v>
      </c>
      <c r="F534" s="3">
        <v>45671</v>
      </c>
      <c r="G534" s="5" t="s">
        <v>826</v>
      </c>
      <c r="H534" t="s">
        <v>20</v>
      </c>
      <c r="I534" s="4">
        <v>5927</v>
      </c>
      <c r="J534" s="23" t="str">
        <f>VLOOKUP(bron[[#This Row],[voertuig]],Voertuigen!A:C,3,FALSE)</f>
        <v>Bus</v>
      </c>
      <c r="K534" s="23" t="str">
        <f>VLOOKUP(bron[[#This Row],[voertuig]],Voertuigen!A:C,2,FALSE)</f>
        <v>Standaard</v>
      </c>
      <c r="L534" s="23">
        <f>COUNTIF(A:A,bron[[#This Row],[personeelsnr]])</f>
        <v>10</v>
      </c>
    </row>
    <row r="535" spans="1:12" hidden="1" x14ac:dyDescent="0.25">
      <c r="A535" s="20">
        <v>41090</v>
      </c>
      <c r="B535" t="e">
        <f>VLOOKUP(bron[[#This Row],[personeelsnr]],[1]Blad1!$A:$H,2,FALSE)</f>
        <v>#N/A</v>
      </c>
      <c r="C535" t="e">
        <f>VLOOKUP(bron[[#This Row],[personeelsnr]],[1]Blad1!$A:$H,3,FALSE)</f>
        <v>#N/A</v>
      </c>
      <c r="D535" t="e">
        <f>VLOOKUP(bron[[#This Row],[personeelsnr]],[1]Blad1!$A:$H,4,FALSE)</f>
        <v>#N/A</v>
      </c>
      <c r="E535" s="2" t="s">
        <v>221</v>
      </c>
      <c r="F535" s="3">
        <v>45671</v>
      </c>
      <c r="G535" s="5" t="s">
        <v>827</v>
      </c>
      <c r="H535" t="s">
        <v>9</v>
      </c>
      <c r="I535" s="4">
        <v>5929</v>
      </c>
      <c r="J535" s="23" t="str">
        <f>VLOOKUP(bron[[#This Row],[voertuig]],Voertuigen!A:C,3,FALSE)</f>
        <v>Bus</v>
      </c>
      <c r="K535" s="23" t="str">
        <f>VLOOKUP(bron[[#This Row],[voertuig]],Voertuigen!A:C,2,FALSE)</f>
        <v>Standaard</v>
      </c>
      <c r="L535" s="23">
        <f>COUNTIF(A:A,bron[[#This Row],[personeelsnr]])</f>
        <v>1</v>
      </c>
    </row>
    <row r="536" spans="1:12" hidden="1" x14ac:dyDescent="0.25">
      <c r="A536" s="20">
        <v>30967</v>
      </c>
      <c r="B536" t="str">
        <f>VLOOKUP(bron[[#This Row],[personeelsnr]],[1]Blad1!$A:$H,2,FALSE)</f>
        <v>Taser Fatih</v>
      </c>
      <c r="C536" t="str">
        <f>VLOOKUP(bron[[#This Row],[personeelsnr]],[1]Blad1!$A:$H,3,FALSE)</f>
        <v>Taser</v>
      </c>
      <c r="D536" t="str">
        <f>VLOOKUP(bron[[#This Row],[personeelsnr]],[1]Blad1!$A:$H,4,FALSE)</f>
        <v>Fatih</v>
      </c>
      <c r="E536" s="2" t="str">
        <f>VLOOKUP(bron[[#This Row],[personeelsnr]],[1]Blad1!$A:$H,8,FALSE)</f>
        <v>De Clercq Dominique</v>
      </c>
      <c r="F536" s="3">
        <v>45672</v>
      </c>
      <c r="G536" s="5" t="s">
        <v>828</v>
      </c>
      <c r="H536" t="s">
        <v>37</v>
      </c>
      <c r="I536" s="4">
        <v>6334</v>
      </c>
      <c r="J536" s="23" t="str">
        <f>VLOOKUP(bron[[#This Row],[voertuig]],Voertuigen!A:C,3,FALSE)</f>
        <v>Tram</v>
      </c>
      <c r="K536" s="23" t="str">
        <f>VLOOKUP(bron[[#This Row],[voertuig]],Voertuigen!A:C,2,FALSE)</f>
        <v>Hermelijn</v>
      </c>
      <c r="L536" s="23">
        <f>COUNTIF(A:A,bron[[#This Row],[personeelsnr]])</f>
        <v>3</v>
      </c>
    </row>
    <row r="537" spans="1:12" hidden="1" x14ac:dyDescent="0.25">
      <c r="A537" s="20">
        <v>40005</v>
      </c>
      <c r="B537" t="str">
        <f>VLOOKUP(bron[[#This Row],[personeelsnr]],[1]Blad1!$A:$H,2,FALSE)</f>
        <v>Bernaerts Philip</v>
      </c>
      <c r="C537" t="str">
        <f>VLOOKUP(bron[[#This Row],[personeelsnr]],[1]Blad1!$A:$H,3,FALSE)</f>
        <v>Bernaerts</v>
      </c>
      <c r="D537" t="str">
        <f>VLOOKUP(bron[[#This Row],[personeelsnr]],[1]Blad1!$A:$H,4,FALSE)</f>
        <v>Philip</v>
      </c>
      <c r="E537" s="2" t="str">
        <f>VLOOKUP(bron[[#This Row],[personeelsnr]],[1]Blad1!$A:$H,8,FALSE)</f>
        <v>Rotty Christoff</v>
      </c>
      <c r="F537" s="3">
        <v>45672</v>
      </c>
      <c r="G537" s="5" t="s">
        <v>829</v>
      </c>
      <c r="H537" t="s">
        <v>73</v>
      </c>
      <c r="I537" s="4">
        <v>5920</v>
      </c>
      <c r="J537" s="23" t="str">
        <f>VLOOKUP(bron[[#This Row],[voertuig]],Voertuigen!A:C,3,FALSE)</f>
        <v>Bus</v>
      </c>
      <c r="K537" s="23" t="str">
        <f>VLOOKUP(bron[[#This Row],[voertuig]],Voertuigen!A:C,2,FALSE)</f>
        <v>Standaard</v>
      </c>
      <c r="L537" s="23">
        <f>COUNTIF(A:A,bron[[#This Row],[personeelsnr]])</f>
        <v>2</v>
      </c>
    </row>
    <row r="538" spans="1:12" hidden="1" x14ac:dyDescent="0.25">
      <c r="A538" s="20">
        <v>40969</v>
      </c>
      <c r="B538" t="e">
        <f>VLOOKUP(bron[[#This Row],[personeelsnr]],[1]Blad1!$A:$H,2,FALSE)</f>
        <v>#N/A</v>
      </c>
      <c r="C538" t="e">
        <f>VLOOKUP(bron[[#This Row],[personeelsnr]],[1]Blad1!$A:$H,3,FALSE)</f>
        <v>#N/A</v>
      </c>
      <c r="D538" t="e">
        <f>VLOOKUP(bron[[#This Row],[personeelsnr]],[1]Blad1!$A:$H,4,FALSE)</f>
        <v>#N/A</v>
      </c>
      <c r="E538" s="2" t="s">
        <v>221</v>
      </c>
      <c r="F538" s="3">
        <v>45673</v>
      </c>
      <c r="G538" s="5" t="s">
        <v>830</v>
      </c>
      <c r="H538" t="s">
        <v>16</v>
      </c>
      <c r="I538" s="4">
        <v>5771</v>
      </c>
      <c r="J538" s="23" t="str">
        <f>VLOOKUP(bron[[#This Row],[voertuig]],Voertuigen!A:C,3,FALSE)</f>
        <v>Bus</v>
      </c>
      <c r="K538" s="23" t="str">
        <f>VLOOKUP(bron[[#This Row],[voertuig]],Voertuigen!A:C,2,FALSE)</f>
        <v>Standaard</v>
      </c>
      <c r="L538" s="23">
        <f>COUNTIF(A:A,bron[[#This Row],[personeelsnr]])</f>
        <v>1</v>
      </c>
    </row>
    <row r="539" spans="1:12" hidden="1" x14ac:dyDescent="0.25">
      <c r="A539" s="20">
        <v>36626</v>
      </c>
      <c r="B539" t="str">
        <f>VLOOKUP(bron[[#This Row],[personeelsnr]],[1]Blad1!$A:$H,2,FALSE)</f>
        <v>Kartal Kadir</v>
      </c>
      <c r="C539" t="str">
        <f>VLOOKUP(bron[[#This Row],[personeelsnr]],[1]Blad1!$A:$H,3,FALSE)</f>
        <v>Kartal</v>
      </c>
      <c r="D539" t="str">
        <f>VLOOKUP(bron[[#This Row],[personeelsnr]],[1]Blad1!$A:$H,4,FALSE)</f>
        <v>Kadir</v>
      </c>
      <c r="E539" s="2" t="str">
        <f>VLOOKUP(bron[[#This Row],[personeelsnr]],[1]Blad1!$A:$H,8,FALSE)</f>
        <v>Dewulf Els</v>
      </c>
      <c r="F539" s="3">
        <v>45673</v>
      </c>
      <c r="G539" s="5" t="s">
        <v>831</v>
      </c>
      <c r="H539" t="s">
        <v>7</v>
      </c>
      <c r="I539" s="4">
        <v>6357</v>
      </c>
      <c r="J539" s="23" t="str">
        <f>VLOOKUP(bron[[#This Row],[voertuig]],Voertuigen!A:C,3,FALSE)</f>
        <v>Tram</v>
      </c>
      <c r="K539" s="23" t="str">
        <f>VLOOKUP(bron[[#This Row],[voertuig]],Voertuigen!A:C,2,FALSE)</f>
        <v>Flexity</v>
      </c>
      <c r="L539" s="23">
        <f>COUNTIF(A:A,bron[[#This Row],[personeelsnr]])</f>
        <v>10</v>
      </c>
    </row>
    <row r="540" spans="1:12" hidden="1" x14ac:dyDescent="0.25">
      <c r="A540" s="20">
        <v>19249</v>
      </c>
      <c r="B540" t="str">
        <f>VLOOKUP(bron[[#This Row],[personeelsnr]],[1]Blad1!$A:$H,2,FALSE)</f>
        <v>Odaci Kadir</v>
      </c>
      <c r="C540" t="str">
        <f>VLOOKUP(bron[[#This Row],[personeelsnr]],[1]Blad1!$A:$H,3,FALSE)</f>
        <v>Odaci</v>
      </c>
      <c r="D540" t="str">
        <f>VLOOKUP(bron[[#This Row],[personeelsnr]],[1]Blad1!$A:$H,4,FALSE)</f>
        <v>Kadir</v>
      </c>
      <c r="E540" s="2" t="str">
        <f>VLOOKUP(bron[[#This Row],[personeelsnr]],[1]Blad1!$A:$H,8,FALSE)</f>
        <v>Van De Velde Lucie</v>
      </c>
      <c r="F540" s="3">
        <v>45674</v>
      </c>
      <c r="G540" s="5" t="s">
        <v>3344</v>
      </c>
      <c r="H540" t="s">
        <v>66</v>
      </c>
      <c r="I540" s="4">
        <v>6337</v>
      </c>
      <c r="J540" s="23" t="str">
        <f>VLOOKUP(bron[[#This Row],[voertuig]],Voertuigen!A:C,3,FALSE)</f>
        <v>Tram</v>
      </c>
      <c r="K540" s="23" t="str">
        <f>VLOOKUP(bron[[#This Row],[voertuig]],Voertuigen!A:C,2,FALSE)</f>
        <v>Hermelijn</v>
      </c>
      <c r="L540" s="23">
        <f>COUNTIF(A:A,bron[[#This Row],[personeelsnr]])</f>
        <v>4</v>
      </c>
    </row>
    <row r="541" spans="1:12" hidden="1" x14ac:dyDescent="0.25">
      <c r="A541" s="20">
        <v>22240</v>
      </c>
      <c r="B541" t="str">
        <f>VLOOKUP(bron[[#This Row],[personeelsnr]],[1]Blad1!$A:$H,2,FALSE)</f>
        <v>Delahaye Karina</v>
      </c>
      <c r="C541" t="str">
        <f>VLOOKUP(bron[[#This Row],[personeelsnr]],[1]Blad1!$A:$H,3,FALSE)</f>
        <v>Delahaye</v>
      </c>
      <c r="D541" t="str">
        <f>VLOOKUP(bron[[#This Row],[personeelsnr]],[1]Blad1!$A:$H,4,FALSE)</f>
        <v>Karina</v>
      </c>
      <c r="E541" s="2" t="str">
        <f>VLOOKUP(bron[[#This Row],[personeelsnr]],[1]Blad1!$A:$H,8,FALSE)</f>
        <v>Dewulf Els</v>
      </c>
      <c r="F541" s="3">
        <v>45674</v>
      </c>
      <c r="G541" s="5" t="s">
        <v>832</v>
      </c>
      <c r="H541" t="s">
        <v>139</v>
      </c>
      <c r="I541" s="4">
        <v>6355</v>
      </c>
      <c r="J541" s="23" t="str">
        <f>VLOOKUP(bron[[#This Row],[voertuig]],Voertuigen!A:C,3,FALSE)</f>
        <v>Tram</v>
      </c>
      <c r="K541" s="23" t="str">
        <f>VLOOKUP(bron[[#This Row],[voertuig]],Voertuigen!A:C,2,FALSE)</f>
        <v>Flexity</v>
      </c>
      <c r="L541" s="23">
        <f>COUNTIF(A:A,bron[[#This Row],[personeelsnr]])</f>
        <v>2</v>
      </c>
    </row>
    <row r="542" spans="1:12" hidden="1" x14ac:dyDescent="0.25">
      <c r="A542" s="20">
        <v>35588</v>
      </c>
      <c r="B542" t="str">
        <f>VLOOKUP(bron[[#This Row],[personeelsnr]],[1]Blad1!$A:$H,2,FALSE)</f>
        <v>Smesman Glenn</v>
      </c>
      <c r="C542" t="str">
        <f>VLOOKUP(bron[[#This Row],[personeelsnr]],[1]Blad1!$A:$H,3,FALSE)</f>
        <v>Smesman</v>
      </c>
      <c r="D542" t="str">
        <f>VLOOKUP(bron[[#This Row],[personeelsnr]],[1]Blad1!$A:$H,4,FALSE)</f>
        <v>Glenn</v>
      </c>
      <c r="E542" s="2" t="str">
        <f>VLOOKUP(bron[[#This Row],[personeelsnr]],[1]Blad1!$A:$H,8,FALSE)</f>
        <v>Van De Velde Lucie</v>
      </c>
      <c r="F542" s="3">
        <v>45675</v>
      </c>
      <c r="G542" s="5" t="s">
        <v>3346</v>
      </c>
      <c r="H542" t="s">
        <v>25</v>
      </c>
      <c r="I542" s="4">
        <v>6356</v>
      </c>
      <c r="J542" s="23" t="str">
        <f>VLOOKUP(bron[[#This Row],[voertuig]],Voertuigen!A:C,3,FALSE)</f>
        <v>Tram</v>
      </c>
      <c r="K542" s="23" t="str">
        <f>VLOOKUP(bron[[#This Row],[voertuig]],Voertuigen!A:C,2,FALSE)</f>
        <v>Flexity</v>
      </c>
      <c r="L542" s="23">
        <f>COUNTIF(A:A,bron[[#This Row],[personeelsnr]])</f>
        <v>3</v>
      </c>
    </row>
    <row r="543" spans="1:12" hidden="1" x14ac:dyDescent="0.25">
      <c r="A543" s="20">
        <v>8394</v>
      </c>
      <c r="B543" t="str">
        <f>VLOOKUP(bron[[#This Row],[personeelsnr]],[1]Blad1!$A:$H,2,FALSE)</f>
        <v>Smet Antoon</v>
      </c>
      <c r="C543" t="str">
        <f>VLOOKUP(bron[[#This Row],[personeelsnr]],[1]Blad1!$A:$H,3,FALSE)</f>
        <v>Smet</v>
      </c>
      <c r="D543" t="str">
        <f>VLOOKUP(bron[[#This Row],[personeelsnr]],[1]Blad1!$A:$H,4,FALSE)</f>
        <v>Antoon</v>
      </c>
      <c r="E543" s="2" t="str">
        <f>VLOOKUP(bron[[#This Row],[personeelsnr]],[1]Blad1!$A:$H,8,FALSE)</f>
        <v>Van De Velde Lucie</v>
      </c>
      <c r="F543" s="3">
        <v>45677</v>
      </c>
      <c r="G543" s="5" t="s">
        <v>833</v>
      </c>
      <c r="H543" t="s">
        <v>152</v>
      </c>
      <c r="I543" s="4">
        <v>5039</v>
      </c>
      <c r="J543" s="23" t="str">
        <f>VLOOKUP(bron[[#This Row],[voertuig]],Voertuigen!A:C,3,FALSE)</f>
        <v>Bus</v>
      </c>
      <c r="K543" s="23" t="str">
        <f>VLOOKUP(bron[[#This Row],[voertuig]],Voertuigen!A:C,2,FALSE)</f>
        <v>Gelede</v>
      </c>
      <c r="L543" s="23">
        <f>COUNTIF(A:A,bron[[#This Row],[personeelsnr]])</f>
        <v>4</v>
      </c>
    </row>
    <row r="544" spans="1:12" hidden="1" x14ac:dyDescent="0.25">
      <c r="A544" s="20">
        <v>33965</v>
      </c>
      <c r="B544" t="e">
        <f>VLOOKUP(bron[[#This Row],[personeelsnr]],[1]Blad1!$A:$H,2,FALSE)</f>
        <v>#N/A</v>
      </c>
      <c r="C544" t="e">
        <f>VLOOKUP(bron[[#This Row],[personeelsnr]],[1]Blad1!$A:$H,3,FALSE)</f>
        <v>#N/A</v>
      </c>
      <c r="D544" t="e">
        <f>VLOOKUP(bron[[#This Row],[personeelsnr]],[1]Blad1!$A:$H,4,FALSE)</f>
        <v>#N/A</v>
      </c>
      <c r="E544" s="2" t="s">
        <v>221</v>
      </c>
      <c r="F544" s="3">
        <v>45677</v>
      </c>
      <c r="G544" s="5" t="s">
        <v>834</v>
      </c>
      <c r="H544" t="s">
        <v>13</v>
      </c>
      <c r="I544" s="4">
        <v>6327</v>
      </c>
      <c r="J544" s="23" t="str">
        <f>VLOOKUP(bron[[#This Row],[voertuig]],Voertuigen!A:C,3,FALSE)</f>
        <v>Tram</v>
      </c>
      <c r="K544" s="23" t="str">
        <f>VLOOKUP(bron[[#This Row],[voertuig]],Voertuigen!A:C,2,FALSE)</f>
        <v>Hermelijn</v>
      </c>
      <c r="L544" s="23">
        <f>COUNTIF(A:A,bron[[#This Row],[personeelsnr]])</f>
        <v>10</v>
      </c>
    </row>
    <row r="545" spans="1:12" hidden="1" x14ac:dyDescent="0.25">
      <c r="A545" s="20">
        <v>21581</v>
      </c>
      <c r="B545" t="str">
        <f>VLOOKUP(bron[[#This Row],[personeelsnr]],[1]Blad1!$A:$H,2,FALSE)</f>
        <v>Vanderstraeten Franky</v>
      </c>
      <c r="C545" t="str">
        <f>VLOOKUP(bron[[#This Row],[personeelsnr]],[1]Blad1!$A:$H,3,FALSE)</f>
        <v>Vanderstraeten</v>
      </c>
      <c r="D545" t="str">
        <f>VLOOKUP(bron[[#This Row],[personeelsnr]],[1]Blad1!$A:$H,4,FALSE)</f>
        <v>Franky</v>
      </c>
      <c r="E545" s="2" t="str">
        <f>VLOOKUP(bron[[#This Row],[personeelsnr]],[1]Blad1!$A:$H,8,FALSE)</f>
        <v>Van De Velde Lucie</v>
      </c>
      <c r="F545" s="3">
        <v>45678</v>
      </c>
      <c r="G545" s="5" t="s">
        <v>835</v>
      </c>
      <c r="H545" t="s">
        <v>84</v>
      </c>
      <c r="I545" s="4">
        <v>5040</v>
      </c>
      <c r="J545" s="23" t="str">
        <f>VLOOKUP(bron[[#This Row],[voertuig]],Voertuigen!A:C,3,FALSE)</f>
        <v>Bus</v>
      </c>
      <c r="K545" s="23" t="str">
        <f>VLOOKUP(bron[[#This Row],[voertuig]],Voertuigen!A:C,2,FALSE)</f>
        <v>Gelede</v>
      </c>
      <c r="L545" s="23">
        <f>COUNTIF(A:A,bron[[#This Row],[personeelsnr]])</f>
        <v>3</v>
      </c>
    </row>
    <row r="546" spans="1:12" hidden="1" x14ac:dyDescent="0.25">
      <c r="A546" s="20">
        <v>39673</v>
      </c>
      <c r="B546" t="str">
        <f>VLOOKUP(bron[[#This Row],[personeelsnr]],[1]Blad1!$A:$H,2,FALSE)</f>
        <v>Steurbaut Henri</v>
      </c>
      <c r="C546" t="str">
        <f>VLOOKUP(bron[[#This Row],[personeelsnr]],[1]Blad1!$A:$H,3,FALSE)</f>
        <v>Steurbaut</v>
      </c>
      <c r="D546" t="str">
        <f>VLOOKUP(bron[[#This Row],[personeelsnr]],[1]Blad1!$A:$H,4,FALSE)</f>
        <v>Henri</v>
      </c>
      <c r="E546" s="2" t="str">
        <f>VLOOKUP(bron[[#This Row],[personeelsnr]],[1]Blad1!$A:$H,8,FALSE)</f>
        <v>Vanhoe Els</v>
      </c>
      <c r="F546" s="3">
        <v>45678</v>
      </c>
      <c r="G546" s="5" t="s">
        <v>836</v>
      </c>
      <c r="H546" t="s">
        <v>57</v>
      </c>
      <c r="I546" s="4">
        <v>5922</v>
      </c>
      <c r="J546" s="23" t="str">
        <f>VLOOKUP(bron[[#This Row],[voertuig]],Voertuigen!A:C,3,FALSE)</f>
        <v>Bus</v>
      </c>
      <c r="K546" s="23" t="str">
        <f>VLOOKUP(bron[[#This Row],[voertuig]],Voertuigen!A:C,2,FALSE)</f>
        <v>Standaard</v>
      </c>
      <c r="L546" s="23">
        <f>COUNTIF(A:A,bron[[#This Row],[personeelsnr]])</f>
        <v>5</v>
      </c>
    </row>
    <row r="547" spans="1:12" hidden="1" x14ac:dyDescent="0.25">
      <c r="A547" s="20">
        <v>39660</v>
      </c>
      <c r="B547" t="e">
        <f>VLOOKUP(bron[[#This Row],[personeelsnr]],[1]Blad1!$A:$H,2,FALSE)</f>
        <v>#N/A</v>
      </c>
      <c r="C547" t="e">
        <f>VLOOKUP(bron[[#This Row],[personeelsnr]],[1]Blad1!$A:$H,3,FALSE)</f>
        <v>#N/A</v>
      </c>
      <c r="D547" t="e">
        <f>VLOOKUP(bron[[#This Row],[personeelsnr]],[1]Blad1!$A:$H,4,FALSE)</f>
        <v>#N/A</v>
      </c>
      <c r="E547" s="2" t="s">
        <v>221</v>
      </c>
      <c r="F547" s="3">
        <v>45679</v>
      </c>
      <c r="G547" s="5" t="s">
        <v>837</v>
      </c>
      <c r="H547" t="s">
        <v>15</v>
      </c>
      <c r="I547" s="4">
        <v>5264</v>
      </c>
      <c r="J547" s="23" t="str">
        <f>VLOOKUP(bron[[#This Row],[voertuig]],Voertuigen!A:C,3,FALSE)</f>
        <v>Bus</v>
      </c>
      <c r="K547" s="23" t="str">
        <f>VLOOKUP(bron[[#This Row],[voertuig]],Voertuigen!A:C,2,FALSE)</f>
        <v>Gelede</v>
      </c>
      <c r="L547" s="23">
        <f>COUNTIF(A:A,bron[[#This Row],[personeelsnr]])</f>
        <v>6</v>
      </c>
    </row>
    <row r="548" spans="1:12" hidden="1" x14ac:dyDescent="0.25">
      <c r="A548" s="20">
        <v>41162</v>
      </c>
      <c r="B548" t="str">
        <f>VLOOKUP(bron[[#This Row],[personeelsnr]],[1]Blad1!$A:$H,2,FALSE)</f>
        <v>Hoeckman Jeroen</v>
      </c>
      <c r="C548" t="str">
        <f>VLOOKUP(bron[[#This Row],[personeelsnr]],[1]Blad1!$A:$H,3,FALSE)</f>
        <v>Hoeckman</v>
      </c>
      <c r="D548" t="str">
        <f>VLOOKUP(bron[[#This Row],[personeelsnr]],[1]Blad1!$A:$H,4,FALSE)</f>
        <v>Jeroen</v>
      </c>
      <c r="E548" s="2" t="str">
        <f>VLOOKUP(bron[[#This Row],[personeelsnr]],[1]Blad1!$A:$H,8,FALSE)</f>
        <v>De Clercq Dominique</v>
      </c>
      <c r="F548" s="3">
        <v>45679</v>
      </c>
      <c r="G548" s="5" t="s">
        <v>838</v>
      </c>
      <c r="H548" t="s">
        <v>60</v>
      </c>
      <c r="I548" s="4">
        <v>5929</v>
      </c>
      <c r="J548" s="23" t="str">
        <f>VLOOKUP(bron[[#This Row],[voertuig]],Voertuigen!A:C,3,FALSE)</f>
        <v>Bus</v>
      </c>
      <c r="K548" s="23" t="str">
        <f>VLOOKUP(bron[[#This Row],[voertuig]],Voertuigen!A:C,2,FALSE)</f>
        <v>Standaard</v>
      </c>
      <c r="L548" s="23">
        <f>COUNTIF(A:A,bron[[#This Row],[personeelsnr]])</f>
        <v>5</v>
      </c>
    </row>
    <row r="549" spans="1:12" hidden="1" x14ac:dyDescent="0.25">
      <c r="A549" s="20">
        <v>34351</v>
      </c>
      <c r="B549" t="str">
        <f>VLOOKUP(bron[[#This Row],[personeelsnr]],[1]Blad1!$A:$H,2,FALSE)</f>
        <v>Callant Dieter</v>
      </c>
      <c r="C549" t="str">
        <f>VLOOKUP(bron[[#This Row],[personeelsnr]],[1]Blad1!$A:$H,3,FALSE)</f>
        <v>Callant</v>
      </c>
      <c r="D549" t="str">
        <f>VLOOKUP(bron[[#This Row],[personeelsnr]],[1]Blad1!$A:$H,4,FALSE)</f>
        <v>Dieter</v>
      </c>
      <c r="E549" s="2" t="str">
        <f>VLOOKUP(bron[[#This Row],[personeelsnr]],[1]Blad1!$A:$H,8,FALSE)</f>
        <v>Vanhoe Els</v>
      </c>
      <c r="F549" s="3">
        <v>45679</v>
      </c>
      <c r="G549" s="5" t="s">
        <v>839</v>
      </c>
      <c r="H549" t="s">
        <v>95</v>
      </c>
      <c r="I549" s="4">
        <v>6324</v>
      </c>
      <c r="J549" s="23" t="str">
        <f>VLOOKUP(bron[[#This Row],[voertuig]],Voertuigen!A:C,3,FALSE)</f>
        <v>Tram</v>
      </c>
      <c r="K549" s="23" t="str">
        <f>VLOOKUP(bron[[#This Row],[voertuig]],Voertuigen!A:C,2,FALSE)</f>
        <v>Hermelijn</v>
      </c>
      <c r="L549" s="23">
        <f>COUNTIF(A:A,bron[[#This Row],[personeelsnr]])</f>
        <v>3</v>
      </c>
    </row>
    <row r="550" spans="1:12" hidden="1" x14ac:dyDescent="0.25">
      <c r="A550" s="20">
        <v>35395</v>
      </c>
      <c r="B550" t="str">
        <f>VLOOKUP(bron[[#This Row],[personeelsnr]],[1]Blad1!$A:$H,2,FALSE)</f>
        <v>Limbourg Heidi</v>
      </c>
      <c r="C550" t="str">
        <f>VLOOKUP(bron[[#This Row],[personeelsnr]],[1]Blad1!$A:$H,3,FALSE)</f>
        <v>Limbourg</v>
      </c>
      <c r="D550" t="str">
        <f>VLOOKUP(bron[[#This Row],[personeelsnr]],[1]Blad1!$A:$H,4,FALSE)</f>
        <v>Heidi</v>
      </c>
      <c r="E550" s="2" t="str">
        <f>VLOOKUP(bron[[#This Row],[personeelsnr]],[1]Blad1!$A:$H,8,FALSE)</f>
        <v>Storm Steven</v>
      </c>
      <c r="F550" s="3">
        <v>45680</v>
      </c>
      <c r="G550" s="5" t="s">
        <v>840</v>
      </c>
      <c r="H550" t="s">
        <v>102</v>
      </c>
      <c r="I550" s="4">
        <v>6320</v>
      </c>
      <c r="J550" s="23" t="str">
        <f>VLOOKUP(bron[[#This Row],[voertuig]],Voertuigen!A:C,3,FALSE)</f>
        <v>Tram</v>
      </c>
      <c r="K550" s="23" t="str">
        <f>VLOOKUP(bron[[#This Row],[voertuig]],Voertuigen!A:C,2,FALSE)</f>
        <v>Hermelijn</v>
      </c>
      <c r="L550" s="23">
        <f>COUNTIF(A:A,bron[[#This Row],[personeelsnr]])</f>
        <v>2</v>
      </c>
    </row>
    <row r="551" spans="1:12" hidden="1" x14ac:dyDescent="0.25">
      <c r="A551" s="20">
        <v>31360</v>
      </c>
      <c r="B551" t="str">
        <f>VLOOKUP(bron[[#This Row],[personeelsnr]],[1]Blad1!$A:$H,2,FALSE)</f>
        <v>Simsek Fatih</v>
      </c>
      <c r="C551" t="str">
        <f>VLOOKUP(bron[[#This Row],[personeelsnr]],[1]Blad1!$A:$H,3,FALSE)</f>
        <v>Simsek</v>
      </c>
      <c r="D551" t="str">
        <f>VLOOKUP(bron[[#This Row],[personeelsnr]],[1]Blad1!$A:$H,4,FALSE)</f>
        <v>Fatih</v>
      </c>
      <c r="E551" s="2" t="str">
        <f>VLOOKUP(bron[[#This Row],[personeelsnr]],[1]Blad1!$A:$H,8,FALSE)</f>
        <v>De Clercq Dominique</v>
      </c>
      <c r="F551" s="3">
        <v>45680</v>
      </c>
      <c r="G551" s="5" t="s">
        <v>841</v>
      </c>
      <c r="H551" t="s">
        <v>28</v>
      </c>
      <c r="I551" s="4">
        <v>6325</v>
      </c>
      <c r="J551" s="23" t="str">
        <f>VLOOKUP(bron[[#This Row],[voertuig]],Voertuigen!A:C,3,FALSE)</f>
        <v>Tram</v>
      </c>
      <c r="K551" s="23" t="str">
        <f>VLOOKUP(bron[[#This Row],[voertuig]],Voertuigen!A:C,2,FALSE)</f>
        <v>Hermelijn</v>
      </c>
      <c r="L551" s="23">
        <f>COUNTIF(A:A,bron[[#This Row],[personeelsnr]])</f>
        <v>3</v>
      </c>
    </row>
    <row r="552" spans="1:12" hidden="1" x14ac:dyDescent="0.25">
      <c r="A552" s="20">
        <v>13398</v>
      </c>
      <c r="B552" t="str">
        <f>VLOOKUP(bron[[#This Row],[personeelsnr]],[1]Blad1!$A:$H,2,FALSE)</f>
        <v>Kirdas Ramazan</v>
      </c>
      <c r="C552" t="str">
        <f>VLOOKUP(bron[[#This Row],[personeelsnr]],[1]Blad1!$A:$H,3,FALSE)</f>
        <v>Kirdas</v>
      </c>
      <c r="D552" t="str">
        <f>VLOOKUP(bron[[#This Row],[personeelsnr]],[1]Blad1!$A:$H,4,FALSE)</f>
        <v>Ramazan</v>
      </c>
      <c r="E552" s="2" t="str">
        <f>VLOOKUP(bron[[#This Row],[personeelsnr]],[1]Blad1!$A:$H,8,FALSE)</f>
        <v>De Clercq Dominique</v>
      </c>
      <c r="F552" s="3">
        <v>45681</v>
      </c>
      <c r="G552" s="5" t="s">
        <v>842</v>
      </c>
      <c r="H552" t="s">
        <v>80</v>
      </c>
      <c r="I552" s="4">
        <v>6333</v>
      </c>
      <c r="J552" s="23" t="str">
        <f>VLOOKUP(bron[[#This Row],[voertuig]],Voertuigen!A:C,3,FALSE)</f>
        <v>Tram</v>
      </c>
      <c r="K552" s="23" t="str">
        <f>VLOOKUP(bron[[#This Row],[voertuig]],Voertuigen!A:C,2,FALSE)</f>
        <v>Hermelijn</v>
      </c>
      <c r="L552" s="23">
        <f>COUNTIF(A:A,bron[[#This Row],[personeelsnr]])</f>
        <v>1</v>
      </c>
    </row>
    <row r="553" spans="1:12" hidden="1" x14ac:dyDescent="0.25">
      <c r="A553" s="20">
        <v>36663</v>
      </c>
      <c r="B553" t="str">
        <f>VLOOKUP(bron[[#This Row],[personeelsnr]],[1]Blad1!$A:$H,2,FALSE)</f>
        <v>Cesmeli Achraf</v>
      </c>
      <c r="C553" t="str">
        <f>VLOOKUP(bron[[#This Row],[personeelsnr]],[1]Blad1!$A:$H,3,FALSE)</f>
        <v>Cesmeli</v>
      </c>
      <c r="D553" t="str">
        <f>VLOOKUP(bron[[#This Row],[personeelsnr]],[1]Blad1!$A:$H,4,FALSE)</f>
        <v>Achraf</v>
      </c>
      <c r="E553" s="2" t="str">
        <f>VLOOKUP(bron[[#This Row],[personeelsnr]],[1]Blad1!$A:$H,8,FALSE)</f>
        <v>De Clercq Dominique</v>
      </c>
      <c r="F553" s="3">
        <v>45684</v>
      </c>
      <c r="G553" s="5" t="s">
        <v>843</v>
      </c>
      <c r="H553" t="s">
        <v>34</v>
      </c>
      <c r="I553" s="4">
        <v>5267</v>
      </c>
      <c r="J553" s="23" t="str">
        <f>VLOOKUP(bron[[#This Row],[voertuig]],Voertuigen!A:C,3,FALSE)</f>
        <v>Bus</v>
      </c>
      <c r="K553" s="23" t="str">
        <f>VLOOKUP(bron[[#This Row],[voertuig]],Voertuigen!A:C,2,FALSE)</f>
        <v>Gelede</v>
      </c>
      <c r="L553" s="23">
        <f>COUNTIF(A:A,bron[[#This Row],[personeelsnr]])</f>
        <v>3</v>
      </c>
    </row>
    <row r="554" spans="1:12" hidden="1" x14ac:dyDescent="0.25">
      <c r="A554" s="20">
        <v>21509</v>
      </c>
      <c r="B554" t="str">
        <f>VLOOKUP(bron[[#This Row],[personeelsnr]],[1]Blad1!$A:$H,2,FALSE)</f>
        <v>De Craemer Kris</v>
      </c>
      <c r="C554" t="str">
        <f>VLOOKUP(bron[[#This Row],[personeelsnr]],[1]Blad1!$A:$H,3,FALSE)</f>
        <v>De Craemer</v>
      </c>
      <c r="D554" t="str">
        <f>VLOOKUP(bron[[#This Row],[personeelsnr]],[1]Blad1!$A:$H,4,FALSE)</f>
        <v>Kris</v>
      </c>
      <c r="E554" s="2" t="str">
        <f>VLOOKUP(bron[[#This Row],[personeelsnr]],[1]Blad1!$A:$H,8,FALSE)</f>
        <v>De Clercq Dominique</v>
      </c>
      <c r="F554" s="3">
        <v>45684</v>
      </c>
      <c r="G554" s="5" t="s">
        <v>3342</v>
      </c>
      <c r="H554" t="s">
        <v>34</v>
      </c>
      <c r="I554" s="4">
        <v>6303</v>
      </c>
      <c r="J554" s="23" t="str">
        <f>VLOOKUP(bron[[#This Row],[voertuig]],Voertuigen!A:C,3,FALSE)</f>
        <v>Tram</v>
      </c>
      <c r="K554" s="23" t="str">
        <f>VLOOKUP(bron[[#This Row],[voertuig]],Voertuigen!A:C,2,FALSE)</f>
        <v>Hermelijn</v>
      </c>
      <c r="L554" s="23">
        <f>COUNTIF(A:A,bron[[#This Row],[personeelsnr]])</f>
        <v>6</v>
      </c>
    </row>
    <row r="555" spans="1:12" hidden="1" x14ac:dyDescent="0.25">
      <c r="A555" s="20">
        <v>35491</v>
      </c>
      <c r="B555" t="str">
        <f>VLOOKUP(bron[[#This Row],[personeelsnr]],[1]Blad1!$A:$H,2,FALSE)</f>
        <v>Toubadie Zakaria</v>
      </c>
      <c r="C555" t="str">
        <f>VLOOKUP(bron[[#This Row],[personeelsnr]],[1]Blad1!$A:$H,3,FALSE)</f>
        <v>Toubadie</v>
      </c>
      <c r="D555" t="str">
        <f>VLOOKUP(bron[[#This Row],[personeelsnr]],[1]Blad1!$A:$H,4,FALSE)</f>
        <v>Zakaria</v>
      </c>
      <c r="E555" s="2" t="str">
        <f>VLOOKUP(bron[[#This Row],[personeelsnr]],[1]Blad1!$A:$H,8,FALSE)</f>
        <v>Vanhoe Els</v>
      </c>
      <c r="F555" s="3">
        <v>45685</v>
      </c>
      <c r="G555" s="5" t="s">
        <v>844</v>
      </c>
      <c r="H555" t="s">
        <v>20</v>
      </c>
      <c r="I555" s="4">
        <v>5235</v>
      </c>
      <c r="J555" s="23" t="str">
        <f>VLOOKUP(bron[[#This Row],[voertuig]],Voertuigen!A:C,3,FALSE)</f>
        <v>Bus</v>
      </c>
      <c r="K555" s="23" t="str">
        <f>VLOOKUP(bron[[#This Row],[voertuig]],Voertuigen!A:C,2,FALSE)</f>
        <v>Gelede</v>
      </c>
      <c r="L555" s="23">
        <f>COUNTIF(A:A,bron[[#This Row],[personeelsnr]])</f>
        <v>2</v>
      </c>
    </row>
    <row r="556" spans="1:12" hidden="1" x14ac:dyDescent="0.25">
      <c r="A556" s="20">
        <v>40138</v>
      </c>
      <c r="B556" t="str">
        <f>VLOOKUP(bron[[#This Row],[personeelsnr]],[1]Blad1!$A:$H,2,FALSE)</f>
        <v>Moerman Tjimmy</v>
      </c>
      <c r="C556" t="str">
        <f>VLOOKUP(bron[[#This Row],[personeelsnr]],[1]Blad1!$A:$H,3,FALSE)</f>
        <v>Moerman</v>
      </c>
      <c r="D556" t="str">
        <f>VLOOKUP(bron[[#This Row],[personeelsnr]],[1]Blad1!$A:$H,4,FALSE)</f>
        <v>Tjimmy</v>
      </c>
      <c r="E556" s="2" t="str">
        <f>VLOOKUP(bron[[#This Row],[personeelsnr]],[1]Blad1!$A:$H,8,FALSE)</f>
        <v>Rotty Christoff</v>
      </c>
      <c r="F556" s="3">
        <v>45685</v>
      </c>
      <c r="G556" s="5" t="s">
        <v>845</v>
      </c>
      <c r="H556" t="s">
        <v>27</v>
      </c>
      <c r="I556" s="4">
        <v>5923</v>
      </c>
      <c r="J556" s="23" t="str">
        <f>VLOOKUP(bron[[#This Row],[voertuig]],Voertuigen!A:C,3,FALSE)</f>
        <v>Bus</v>
      </c>
      <c r="K556" s="23" t="str">
        <f>VLOOKUP(bron[[#This Row],[voertuig]],Voertuigen!A:C,2,FALSE)</f>
        <v>Standaard</v>
      </c>
      <c r="L556" s="23">
        <f>COUNTIF(A:A,bron[[#This Row],[personeelsnr]])</f>
        <v>10</v>
      </c>
    </row>
    <row r="557" spans="1:12" hidden="1" x14ac:dyDescent="0.25">
      <c r="A557" s="20">
        <v>33640</v>
      </c>
      <c r="B557" t="str">
        <f>VLOOKUP(bron[[#This Row],[personeelsnr]],[1]Blad1!$A:$H,2,FALSE)</f>
        <v>Verschraegen Patrick</v>
      </c>
      <c r="C557" t="str">
        <f>VLOOKUP(bron[[#This Row],[personeelsnr]],[1]Blad1!$A:$H,3,FALSE)</f>
        <v>Verschraegen</v>
      </c>
      <c r="D557" t="str">
        <f>VLOOKUP(bron[[#This Row],[personeelsnr]],[1]Blad1!$A:$H,4,FALSE)</f>
        <v>Patrick</v>
      </c>
      <c r="E557" s="2" t="str">
        <f>VLOOKUP(bron[[#This Row],[personeelsnr]],[1]Blad1!$A:$H,8,FALSE)</f>
        <v>Storm Steven</v>
      </c>
      <c r="F557" s="3">
        <v>45686</v>
      </c>
      <c r="G557" s="5" t="s">
        <v>846</v>
      </c>
      <c r="H557" t="s">
        <v>137</v>
      </c>
      <c r="I557" s="4">
        <v>5763</v>
      </c>
      <c r="J557" s="23" t="str">
        <f>VLOOKUP(bron[[#This Row],[voertuig]],Voertuigen!A:C,3,FALSE)</f>
        <v>Bus</v>
      </c>
      <c r="K557" s="23" t="str">
        <f>VLOOKUP(bron[[#This Row],[voertuig]],Voertuigen!A:C,2,FALSE)</f>
        <v>Standaard</v>
      </c>
      <c r="L557" s="23">
        <f>COUNTIF(A:A,bron[[#This Row],[personeelsnr]])</f>
        <v>1</v>
      </c>
    </row>
    <row r="558" spans="1:12" hidden="1" x14ac:dyDescent="0.25">
      <c r="A558" s="20">
        <v>19249</v>
      </c>
      <c r="B558" t="str">
        <f>VLOOKUP(bron[[#This Row],[personeelsnr]],[1]Blad1!$A:$H,2,FALSE)</f>
        <v>Odaci Kadir</v>
      </c>
      <c r="C558" t="str">
        <f>VLOOKUP(bron[[#This Row],[personeelsnr]],[1]Blad1!$A:$H,3,FALSE)</f>
        <v>Odaci</v>
      </c>
      <c r="D558" t="str">
        <f>VLOOKUP(bron[[#This Row],[personeelsnr]],[1]Blad1!$A:$H,4,FALSE)</f>
        <v>Kadir</v>
      </c>
      <c r="E558" s="2" t="str">
        <f>VLOOKUP(bron[[#This Row],[personeelsnr]],[1]Blad1!$A:$H,8,FALSE)</f>
        <v>Van De Velde Lucie</v>
      </c>
      <c r="F558" s="3">
        <v>45686</v>
      </c>
      <c r="G558" s="5" t="s">
        <v>847</v>
      </c>
      <c r="H558" t="s">
        <v>28</v>
      </c>
      <c r="I558" s="4">
        <v>6337</v>
      </c>
      <c r="J558" s="23" t="str">
        <f>VLOOKUP(bron[[#This Row],[voertuig]],Voertuigen!A:C,3,FALSE)</f>
        <v>Tram</v>
      </c>
      <c r="K558" s="23" t="str">
        <f>VLOOKUP(bron[[#This Row],[voertuig]],Voertuigen!A:C,2,FALSE)</f>
        <v>Hermelijn</v>
      </c>
      <c r="L558" s="23">
        <f>COUNTIF(A:A,bron[[#This Row],[personeelsnr]])</f>
        <v>4</v>
      </c>
    </row>
    <row r="559" spans="1:12" hidden="1" x14ac:dyDescent="0.25">
      <c r="A559" s="20">
        <v>21424</v>
      </c>
      <c r="B559" t="str">
        <f>VLOOKUP(bron[[#This Row],[personeelsnr]],[1]Blad1!$A:$H,2,FALSE)</f>
        <v>Verstichel Jethro</v>
      </c>
      <c r="C559" t="str">
        <f>VLOOKUP(bron[[#This Row],[personeelsnr]],[1]Blad1!$A:$H,3,FALSE)</f>
        <v>Verstichel</v>
      </c>
      <c r="D559" t="str">
        <f>VLOOKUP(bron[[#This Row],[personeelsnr]],[1]Blad1!$A:$H,4,FALSE)</f>
        <v>Jethro</v>
      </c>
      <c r="E559" s="2" t="str">
        <f>VLOOKUP(bron[[#This Row],[personeelsnr]],[1]Blad1!$A:$H,8,FALSE)</f>
        <v>Dewulf Els</v>
      </c>
      <c r="F559" s="3">
        <v>45686</v>
      </c>
      <c r="G559" s="5" t="s">
        <v>848</v>
      </c>
      <c r="H559" t="s">
        <v>13</v>
      </c>
      <c r="I559" s="4">
        <v>6368</v>
      </c>
      <c r="J559" s="23" t="str">
        <f>VLOOKUP(bron[[#This Row],[voertuig]],Voertuigen!A:C,3,FALSE)</f>
        <v>Tram</v>
      </c>
      <c r="K559" s="23" t="str">
        <f>VLOOKUP(bron[[#This Row],[voertuig]],Voertuigen!A:C,2,FALSE)</f>
        <v>Flexity</v>
      </c>
      <c r="L559" s="23">
        <f>COUNTIF(A:A,bron[[#This Row],[personeelsnr]])</f>
        <v>2</v>
      </c>
    </row>
    <row r="560" spans="1:12" hidden="1" x14ac:dyDescent="0.25">
      <c r="A560" s="20">
        <v>40652</v>
      </c>
      <c r="B560" t="str">
        <f>VLOOKUP(bron[[#This Row],[personeelsnr]],[1]Blad1!$A:$H,2,FALSE)</f>
        <v>Van Damme Gilyann</v>
      </c>
      <c r="C560" t="str">
        <f>VLOOKUP(bron[[#This Row],[personeelsnr]],[1]Blad1!$A:$H,3,FALSE)</f>
        <v>Van Damme</v>
      </c>
      <c r="D560" t="str">
        <f>VLOOKUP(bron[[#This Row],[personeelsnr]],[1]Blad1!$A:$H,4,FALSE)</f>
        <v>Gilyann</v>
      </c>
      <c r="E560" s="2" t="str">
        <f>VLOOKUP(bron[[#This Row],[personeelsnr]],[1]Blad1!$A:$H,8,FALSE)</f>
        <v>Vanhoe Els</v>
      </c>
      <c r="F560" s="3">
        <v>45687</v>
      </c>
      <c r="G560" s="5" t="s">
        <v>849</v>
      </c>
      <c r="H560" t="s">
        <v>58</v>
      </c>
      <c r="I560" s="4">
        <v>2204</v>
      </c>
      <c r="J560" s="23" t="str">
        <f>VLOOKUP(bron[[#This Row],[voertuig]],Voertuigen!A:C,3,FALSE)</f>
        <v>Bus</v>
      </c>
      <c r="K560" s="23" t="str">
        <f>VLOOKUP(bron[[#This Row],[voertuig]],Voertuigen!A:C,2,FALSE)</f>
        <v>Gelede</v>
      </c>
      <c r="L560" s="23">
        <f>COUNTIF(A:A,bron[[#This Row],[personeelsnr]])</f>
        <v>8</v>
      </c>
    </row>
    <row r="561" spans="1:12" hidden="1" x14ac:dyDescent="0.25">
      <c r="A561" s="20">
        <v>31550</v>
      </c>
      <c r="B561" t="str">
        <f>VLOOKUP(bron[[#This Row],[personeelsnr]],[1]Blad1!$A:$H,2,FALSE)</f>
        <v>Cetin Serdar</v>
      </c>
      <c r="C561" t="str">
        <f>VLOOKUP(bron[[#This Row],[personeelsnr]],[1]Blad1!$A:$H,3,FALSE)</f>
        <v>Cetin</v>
      </c>
      <c r="D561" t="str">
        <f>VLOOKUP(bron[[#This Row],[personeelsnr]],[1]Blad1!$A:$H,4,FALSE)</f>
        <v>Serdar</v>
      </c>
      <c r="E561" s="2" t="str">
        <f>VLOOKUP(bron[[#This Row],[personeelsnr]],[1]Blad1!$A:$H,8,FALSE)</f>
        <v>De Clercq Dominique</v>
      </c>
      <c r="F561" s="15">
        <v>45687</v>
      </c>
      <c r="G561" s="5" t="s">
        <v>3343</v>
      </c>
      <c r="H561" t="s">
        <v>72</v>
      </c>
      <c r="I561" s="2">
        <v>6308</v>
      </c>
      <c r="J561" s="16" t="str">
        <f>VLOOKUP(bron[[#This Row],[voertuig]],Voertuigen!A:C,3,FALSE)</f>
        <v>Tram</v>
      </c>
      <c r="K561" s="16" t="str">
        <f>VLOOKUP(bron[[#This Row],[voertuig]],Voertuigen!A:C,2,FALSE)</f>
        <v>Hermelijn</v>
      </c>
      <c r="L561">
        <f>COUNTIF(A:A,bron[[#This Row],[personeelsnr]])</f>
        <v>1</v>
      </c>
    </row>
    <row r="562" spans="1:12" hidden="1" x14ac:dyDescent="0.25">
      <c r="A562" s="20">
        <v>36663</v>
      </c>
      <c r="B562" t="str">
        <f>VLOOKUP(bron[[#This Row],[personeelsnr]],[1]Blad1!$A:$H,2,FALSE)</f>
        <v>Cesmeli Achraf</v>
      </c>
      <c r="C562" t="str">
        <f>VLOOKUP(bron[[#This Row],[personeelsnr]],[1]Blad1!$A:$H,3,FALSE)</f>
        <v>Cesmeli</v>
      </c>
      <c r="D562" t="str">
        <f>VLOOKUP(bron[[#This Row],[personeelsnr]],[1]Blad1!$A:$H,4,FALSE)</f>
        <v>Achraf</v>
      </c>
      <c r="E562" s="2" t="str">
        <f>VLOOKUP(bron[[#This Row],[personeelsnr]],[1]Blad1!$A:$H,8,FALSE)</f>
        <v>De Clercq Dominique</v>
      </c>
      <c r="F562" s="3">
        <v>45688</v>
      </c>
      <c r="G562" s="5" t="s">
        <v>850</v>
      </c>
      <c r="H562" t="s">
        <v>10</v>
      </c>
      <c r="I562" s="4">
        <v>5053</v>
      </c>
      <c r="J562" s="23" t="str">
        <f>VLOOKUP(bron[[#This Row],[voertuig]],Voertuigen!A:C,3,FALSE)</f>
        <v>Bus</v>
      </c>
      <c r="K562" s="23" t="str">
        <f>VLOOKUP(bron[[#This Row],[voertuig]],Voertuigen!A:C,2,FALSE)</f>
        <v>Gelede</v>
      </c>
      <c r="L562" s="23">
        <f>COUNTIF(A:A,bron[[#This Row],[personeelsnr]])</f>
        <v>3</v>
      </c>
    </row>
    <row r="563" spans="1:12" hidden="1" x14ac:dyDescent="0.25">
      <c r="A563" s="20">
        <v>39532</v>
      </c>
      <c r="B563" t="str">
        <f>VLOOKUP(bron[[#This Row],[personeelsnr]],[1]Blad1!$A:$H,2,FALSE)</f>
        <v>Sahin Orhan</v>
      </c>
      <c r="C563" t="str">
        <f>VLOOKUP(bron[[#This Row],[personeelsnr]],[1]Blad1!$A:$H,3,FALSE)</f>
        <v>Sahin</v>
      </c>
      <c r="D563" t="str">
        <f>VLOOKUP(bron[[#This Row],[personeelsnr]],[1]Blad1!$A:$H,4,FALSE)</f>
        <v>Orhan</v>
      </c>
      <c r="E563" s="2" t="str">
        <f>VLOOKUP(bron[[#This Row],[personeelsnr]],[1]Blad1!$A:$H,8,FALSE)</f>
        <v>Rotty Christoff</v>
      </c>
      <c r="F563" s="3">
        <v>45689</v>
      </c>
      <c r="G563" s="5" t="s">
        <v>851</v>
      </c>
      <c r="H563" t="s">
        <v>10</v>
      </c>
      <c r="I563" s="4">
        <v>5048</v>
      </c>
      <c r="J563" s="23" t="str">
        <f>VLOOKUP(bron[[#This Row],[voertuig]],Voertuigen!A:C,3,FALSE)</f>
        <v>Bus</v>
      </c>
      <c r="K563" s="23" t="str">
        <f>VLOOKUP(bron[[#This Row],[voertuig]],Voertuigen!A:C,2,FALSE)</f>
        <v>Gelede</v>
      </c>
      <c r="L563" s="23">
        <f>COUNTIF(A:A,bron[[#This Row],[personeelsnr]])</f>
        <v>7</v>
      </c>
    </row>
    <row r="564" spans="1:12" hidden="1" x14ac:dyDescent="0.25">
      <c r="A564" s="20">
        <v>37496</v>
      </c>
      <c r="B564" t="str">
        <f>VLOOKUP(bron[[#This Row],[personeelsnr]],[1]Blad1!$A:$H,2,FALSE)</f>
        <v>Oosterlinck Willy</v>
      </c>
      <c r="C564" t="str">
        <f>VLOOKUP(bron[[#This Row],[personeelsnr]],[1]Blad1!$A:$H,3,FALSE)</f>
        <v>Oosterlinck</v>
      </c>
      <c r="D564" t="str">
        <f>VLOOKUP(bron[[#This Row],[personeelsnr]],[1]Blad1!$A:$H,4,FALSE)</f>
        <v>Willy</v>
      </c>
      <c r="E564" s="2" t="str">
        <f>VLOOKUP(bron[[#This Row],[personeelsnr]],[1]Blad1!$A:$H,8,FALSE)</f>
        <v>De Clercq Dominique</v>
      </c>
      <c r="F564" s="3">
        <v>45690</v>
      </c>
      <c r="G564" s="5" t="s">
        <v>852</v>
      </c>
      <c r="H564" t="s">
        <v>7</v>
      </c>
      <c r="I564" s="4">
        <v>6327</v>
      </c>
      <c r="J564" s="23" t="str">
        <f>VLOOKUP(bron[[#This Row],[voertuig]],Voertuigen!A:C,3,FALSE)</f>
        <v>Tram</v>
      </c>
      <c r="K564" s="23" t="str">
        <f>VLOOKUP(bron[[#This Row],[voertuig]],Voertuigen!A:C,2,FALSE)</f>
        <v>Hermelijn</v>
      </c>
      <c r="L564" s="23">
        <f>COUNTIF(A:A,bron[[#This Row],[personeelsnr]])</f>
        <v>4</v>
      </c>
    </row>
    <row r="565" spans="1:12" hidden="1" x14ac:dyDescent="0.25">
      <c r="A565" s="20">
        <v>13568</v>
      </c>
      <c r="B565" t="e">
        <f>VLOOKUP(bron[[#This Row],[personeelsnr]],[1]Blad1!$A:$H,2,FALSE)</f>
        <v>#N/A</v>
      </c>
      <c r="C565" t="e">
        <f>VLOOKUP(bron[[#This Row],[personeelsnr]],[1]Blad1!$A:$H,3,FALSE)</f>
        <v>#N/A</v>
      </c>
      <c r="D565" t="e">
        <f>VLOOKUP(bron[[#This Row],[personeelsnr]],[1]Blad1!$A:$H,4,FALSE)</f>
        <v>#N/A</v>
      </c>
      <c r="E565" s="2" t="s">
        <v>221</v>
      </c>
      <c r="F565" s="3">
        <v>45691</v>
      </c>
      <c r="G565" s="5" t="s">
        <v>853</v>
      </c>
      <c r="H565" t="s">
        <v>190</v>
      </c>
      <c r="I565" s="4">
        <v>5916</v>
      </c>
      <c r="J565" s="23" t="str">
        <f>VLOOKUP(bron[[#This Row],[voertuig]],Voertuigen!A:C,3,FALSE)</f>
        <v>Bus</v>
      </c>
      <c r="K565" s="23" t="str">
        <f>VLOOKUP(bron[[#This Row],[voertuig]],Voertuigen!A:C,2,FALSE)</f>
        <v>Standaard</v>
      </c>
      <c r="L565" s="23">
        <f>COUNTIF(A:A,bron[[#This Row],[personeelsnr]])</f>
        <v>1</v>
      </c>
    </row>
    <row r="566" spans="1:12" hidden="1" x14ac:dyDescent="0.25">
      <c r="A566" s="20">
        <v>16545</v>
      </c>
      <c r="B566" t="str">
        <f>VLOOKUP(bron[[#This Row],[personeelsnr]],[1]Blad1!$A:$H,2,FALSE)</f>
        <v>Toch Erwin</v>
      </c>
      <c r="C566" t="str">
        <f>VLOOKUP(bron[[#This Row],[personeelsnr]],[1]Blad1!$A:$H,3,FALSE)</f>
        <v>Toch</v>
      </c>
      <c r="D566" t="str">
        <f>VLOOKUP(bron[[#This Row],[personeelsnr]],[1]Blad1!$A:$H,4,FALSE)</f>
        <v>Erwin</v>
      </c>
      <c r="E566" s="2" t="str">
        <f>VLOOKUP(bron[[#This Row],[personeelsnr]],[1]Blad1!$A:$H,8,FALSE)</f>
        <v>Van Der Beken Bart</v>
      </c>
      <c r="F566" s="3">
        <v>45691</v>
      </c>
      <c r="G566" s="5" t="s">
        <v>854</v>
      </c>
      <c r="H566" t="s">
        <v>11</v>
      </c>
      <c r="I566" s="4">
        <v>5327</v>
      </c>
      <c r="J566" s="23" t="str">
        <f>VLOOKUP(bron[[#This Row],[voertuig]],Voertuigen!A:C,3,FALSE)</f>
        <v>Bus</v>
      </c>
      <c r="K566" s="23" t="str">
        <f>VLOOKUP(bron[[#This Row],[voertuig]],Voertuigen!A:C,2,FALSE)</f>
        <v>Gelede</v>
      </c>
      <c r="L566" s="23">
        <f>COUNTIF(A:A,bron[[#This Row],[personeelsnr]])</f>
        <v>2</v>
      </c>
    </row>
    <row r="567" spans="1:12" hidden="1" x14ac:dyDescent="0.25">
      <c r="A567" s="20">
        <v>21424</v>
      </c>
      <c r="B567" t="str">
        <f>VLOOKUP(bron[[#This Row],[personeelsnr]],[1]Blad1!$A:$H,2,FALSE)</f>
        <v>Verstichel Jethro</v>
      </c>
      <c r="C567" t="str">
        <f>VLOOKUP(bron[[#This Row],[personeelsnr]],[1]Blad1!$A:$H,3,FALSE)</f>
        <v>Verstichel</v>
      </c>
      <c r="D567" t="str">
        <f>VLOOKUP(bron[[#This Row],[personeelsnr]],[1]Blad1!$A:$H,4,FALSE)</f>
        <v>Jethro</v>
      </c>
      <c r="E567" s="2" t="str">
        <f>VLOOKUP(bron[[#This Row],[personeelsnr]],[1]Blad1!$A:$H,8,FALSE)</f>
        <v>Dewulf Els</v>
      </c>
      <c r="F567" s="3">
        <v>45691</v>
      </c>
      <c r="G567" s="5" t="s">
        <v>855</v>
      </c>
      <c r="H567" t="s">
        <v>33</v>
      </c>
      <c r="I567" s="4">
        <v>5911</v>
      </c>
      <c r="J567" s="23" t="str">
        <f>VLOOKUP(bron[[#This Row],[voertuig]],Voertuigen!A:C,3,FALSE)</f>
        <v>Bus</v>
      </c>
      <c r="K567" s="23" t="str">
        <f>VLOOKUP(bron[[#This Row],[voertuig]],Voertuigen!A:C,2,FALSE)</f>
        <v>Standaard</v>
      </c>
      <c r="L567" s="23">
        <f>COUNTIF(A:A,bron[[#This Row],[personeelsnr]])</f>
        <v>2</v>
      </c>
    </row>
    <row r="568" spans="1:12" hidden="1" x14ac:dyDescent="0.25">
      <c r="A568" s="20">
        <v>12514</v>
      </c>
      <c r="B568" t="str">
        <f>VLOOKUP(bron[[#This Row],[personeelsnr]],[1]Blad1!$A:$H,2,FALSE)</f>
        <v>De Smet Kenneth</v>
      </c>
      <c r="C568" t="str">
        <f>VLOOKUP(bron[[#This Row],[personeelsnr]],[1]Blad1!$A:$H,3,FALSE)</f>
        <v>De Smet</v>
      </c>
      <c r="D568" t="str">
        <f>VLOOKUP(bron[[#This Row],[personeelsnr]],[1]Blad1!$A:$H,4,FALSE)</f>
        <v>Kenneth</v>
      </c>
      <c r="E568" s="2" t="str">
        <f>VLOOKUP(bron[[#This Row],[personeelsnr]],[1]Blad1!$A:$H,8,FALSE)</f>
        <v>Van De Velde Lucie</v>
      </c>
      <c r="F568" s="3">
        <v>45691</v>
      </c>
      <c r="G568" s="5" t="s">
        <v>856</v>
      </c>
      <c r="H568" t="s">
        <v>140</v>
      </c>
      <c r="I568" s="4">
        <v>6314</v>
      </c>
      <c r="J568" s="23" t="str">
        <f>VLOOKUP(bron[[#This Row],[voertuig]],Voertuigen!A:C,3,FALSE)</f>
        <v>Tram</v>
      </c>
      <c r="K568" s="23" t="str">
        <f>VLOOKUP(bron[[#This Row],[voertuig]],Voertuigen!A:C,2,FALSE)</f>
        <v>Hermelijn</v>
      </c>
      <c r="L568" s="23">
        <f>COUNTIF(A:A,bron[[#This Row],[personeelsnr]])</f>
        <v>1</v>
      </c>
    </row>
    <row r="569" spans="1:12" hidden="1" x14ac:dyDescent="0.25">
      <c r="A569" s="20">
        <v>40859</v>
      </c>
      <c r="B569" t="str">
        <f>VLOOKUP(bron[[#This Row],[personeelsnr]],[1]Blad1!$A:$H,2,FALSE)</f>
        <v>Yagoub Abdelali</v>
      </c>
      <c r="C569" t="str">
        <f>VLOOKUP(bron[[#This Row],[personeelsnr]],[1]Blad1!$A:$H,3,FALSE)</f>
        <v>Yagoub</v>
      </c>
      <c r="D569" t="str">
        <f>VLOOKUP(bron[[#This Row],[personeelsnr]],[1]Blad1!$A:$H,4,FALSE)</f>
        <v>Abdelali</v>
      </c>
      <c r="E569" s="2" t="str">
        <f>VLOOKUP(bron[[#This Row],[personeelsnr]],[1]Blad1!$A:$H,8,FALSE)</f>
        <v>Vanhoe Els</v>
      </c>
      <c r="F569" s="3">
        <v>45693</v>
      </c>
      <c r="G569" s="5" t="s">
        <v>857</v>
      </c>
      <c r="H569" t="s">
        <v>138</v>
      </c>
      <c r="I569" s="4">
        <v>5325</v>
      </c>
      <c r="J569" s="23" t="str">
        <f>VLOOKUP(bron[[#This Row],[voertuig]],Voertuigen!A:C,3,FALSE)</f>
        <v>Bus</v>
      </c>
      <c r="K569" s="23" t="str">
        <f>VLOOKUP(bron[[#This Row],[voertuig]],Voertuigen!A:C,2,FALSE)</f>
        <v>Gelede</v>
      </c>
      <c r="L569" s="23">
        <f>COUNTIF(A:A,bron[[#This Row],[personeelsnr]])</f>
        <v>4</v>
      </c>
    </row>
    <row r="570" spans="1:12" hidden="1" x14ac:dyDescent="0.25">
      <c r="A570" s="20">
        <v>41092</v>
      </c>
      <c r="B570" t="str">
        <f>VLOOKUP(bron[[#This Row],[personeelsnr]],[1]Blad1!$A:$H,2,FALSE)</f>
        <v>De Keyser Dorien</v>
      </c>
      <c r="C570" t="str">
        <f>VLOOKUP(bron[[#This Row],[personeelsnr]],[1]Blad1!$A:$H,3,FALSE)</f>
        <v>De Keyser</v>
      </c>
      <c r="D570" t="str">
        <f>VLOOKUP(bron[[#This Row],[personeelsnr]],[1]Blad1!$A:$H,4,FALSE)</f>
        <v>Dorien</v>
      </c>
      <c r="E570" s="2" t="str">
        <f>VLOOKUP(bron[[#This Row],[personeelsnr]],[1]Blad1!$A:$H,8,FALSE)</f>
        <v>De Clercq Dominique</v>
      </c>
      <c r="F570" s="3">
        <v>45693</v>
      </c>
      <c r="G570" s="5" t="s">
        <v>858</v>
      </c>
      <c r="H570" t="s">
        <v>49</v>
      </c>
      <c r="I570" s="4">
        <v>5935</v>
      </c>
      <c r="J570" s="23" t="str">
        <f>VLOOKUP(bron[[#This Row],[voertuig]],Voertuigen!A:C,3,FALSE)</f>
        <v>Bus</v>
      </c>
      <c r="K570" s="23" t="str">
        <f>VLOOKUP(bron[[#This Row],[voertuig]],Voertuigen!A:C,2,FALSE)</f>
        <v>Standaard</v>
      </c>
      <c r="L570" s="23">
        <f>COUNTIF(A:A,bron[[#This Row],[personeelsnr]])</f>
        <v>9</v>
      </c>
    </row>
    <row r="571" spans="1:12" hidden="1" x14ac:dyDescent="0.25">
      <c r="A571" s="20">
        <v>41162</v>
      </c>
      <c r="B571" t="str">
        <f>VLOOKUP(bron[[#This Row],[personeelsnr]],[1]Blad1!$A:$H,2,FALSE)</f>
        <v>Hoeckman Jeroen</v>
      </c>
      <c r="C571" t="str">
        <f>VLOOKUP(bron[[#This Row],[personeelsnr]],[1]Blad1!$A:$H,3,FALSE)</f>
        <v>Hoeckman</v>
      </c>
      <c r="D571" t="str">
        <f>VLOOKUP(bron[[#This Row],[personeelsnr]],[1]Blad1!$A:$H,4,FALSE)</f>
        <v>Jeroen</v>
      </c>
      <c r="E571" s="2" t="str">
        <f>VLOOKUP(bron[[#This Row],[personeelsnr]],[1]Blad1!$A:$H,8,FALSE)</f>
        <v>De Clercq Dominique</v>
      </c>
      <c r="F571" s="3">
        <v>45693</v>
      </c>
      <c r="G571" s="5" t="s">
        <v>859</v>
      </c>
      <c r="H571" t="s">
        <v>178</v>
      </c>
      <c r="I571" s="4">
        <v>5769</v>
      </c>
      <c r="J571" s="23" t="str">
        <f>VLOOKUP(bron[[#This Row],[voertuig]],Voertuigen!A:C,3,FALSE)</f>
        <v>Bus</v>
      </c>
      <c r="K571" s="23" t="str">
        <f>VLOOKUP(bron[[#This Row],[voertuig]],Voertuigen!A:C,2,FALSE)</f>
        <v>Standaard</v>
      </c>
      <c r="L571" s="23">
        <f>COUNTIF(A:A,bron[[#This Row],[personeelsnr]])</f>
        <v>5</v>
      </c>
    </row>
    <row r="572" spans="1:12" hidden="1" x14ac:dyDescent="0.25">
      <c r="A572" s="20">
        <v>40266</v>
      </c>
      <c r="B572" t="str">
        <f>VLOOKUP(bron[[#This Row],[personeelsnr]],[1]Blad1!$A:$H,2,FALSE)</f>
        <v>Taibi Yassine</v>
      </c>
      <c r="C572" t="str">
        <f>VLOOKUP(bron[[#This Row],[personeelsnr]],[1]Blad1!$A:$H,3,FALSE)</f>
        <v>Taibi</v>
      </c>
      <c r="D572" t="str">
        <f>VLOOKUP(bron[[#This Row],[personeelsnr]],[1]Blad1!$A:$H,4,FALSE)</f>
        <v>Yassine</v>
      </c>
      <c r="E572" s="2" t="str">
        <f>VLOOKUP(bron[[#This Row],[personeelsnr]],[1]Blad1!$A:$H,8,FALSE)</f>
        <v>Rotty Christoff</v>
      </c>
      <c r="F572" s="3">
        <v>45693</v>
      </c>
      <c r="G572" s="5" t="s">
        <v>860</v>
      </c>
      <c r="H572" t="s">
        <v>26</v>
      </c>
      <c r="I572" s="4">
        <v>2199</v>
      </c>
      <c r="J572" s="23" t="str">
        <f>VLOOKUP(bron[[#This Row],[voertuig]],Voertuigen!A:C,3,FALSE)</f>
        <v>Bus</v>
      </c>
      <c r="K572" s="23" t="str">
        <f>VLOOKUP(bron[[#This Row],[voertuig]],Voertuigen!A:C,2,FALSE)</f>
        <v>Gelede</v>
      </c>
      <c r="L572" s="23">
        <f>COUNTIF(A:A,bron[[#This Row],[personeelsnr]])</f>
        <v>3</v>
      </c>
    </row>
    <row r="573" spans="1:12" hidden="1" x14ac:dyDescent="0.25">
      <c r="A573" s="20">
        <v>40856</v>
      </c>
      <c r="B573" t="str">
        <f>VLOOKUP(bron[[#This Row],[personeelsnr]],[1]Blad1!$A:$H,2,FALSE)</f>
        <v>Neissi Sadegh</v>
      </c>
      <c r="C573" t="str">
        <f>VLOOKUP(bron[[#This Row],[personeelsnr]],[1]Blad1!$A:$H,3,FALSE)</f>
        <v>Neissi</v>
      </c>
      <c r="D573" t="str">
        <f>VLOOKUP(bron[[#This Row],[personeelsnr]],[1]Blad1!$A:$H,4,FALSE)</f>
        <v>Sadegh</v>
      </c>
      <c r="E573" s="2" t="str">
        <f>VLOOKUP(bron[[#This Row],[personeelsnr]],[1]Blad1!$A:$H,8,FALSE)</f>
        <v>De Rick Kenneth</v>
      </c>
      <c r="F573" s="3">
        <v>45694</v>
      </c>
      <c r="G573" s="5" t="s">
        <v>861</v>
      </c>
      <c r="H573" t="s">
        <v>127</v>
      </c>
      <c r="I573" s="4">
        <v>2208</v>
      </c>
      <c r="J573" s="23" t="str">
        <f>VLOOKUP(bron[[#This Row],[voertuig]],Voertuigen!A:C,3,FALSE)</f>
        <v>Bus</v>
      </c>
      <c r="K573" s="23" t="str">
        <f>VLOOKUP(bron[[#This Row],[voertuig]],Voertuigen!A:C,2,FALSE)</f>
        <v>Gelede</v>
      </c>
      <c r="L573" s="23">
        <f>COUNTIF(A:A,bron[[#This Row],[personeelsnr]])</f>
        <v>5</v>
      </c>
    </row>
    <row r="574" spans="1:12" hidden="1" x14ac:dyDescent="0.25">
      <c r="A574" s="20">
        <v>17951</v>
      </c>
      <c r="B574" t="str">
        <f>VLOOKUP(bron[[#This Row],[personeelsnr]],[1]Blad1!$A:$H,2,FALSE)</f>
        <v>Lega Claude</v>
      </c>
      <c r="C574" t="str">
        <f>VLOOKUP(bron[[#This Row],[personeelsnr]],[1]Blad1!$A:$H,3,FALSE)</f>
        <v>Lega</v>
      </c>
      <c r="D574" t="str">
        <f>VLOOKUP(bron[[#This Row],[personeelsnr]],[1]Blad1!$A:$H,4,FALSE)</f>
        <v>Claude</v>
      </c>
      <c r="E574" s="2" t="str">
        <f>VLOOKUP(bron[[#This Row],[personeelsnr]],[1]Blad1!$A:$H,8,FALSE)</f>
        <v>Van Der Beken Bart</v>
      </c>
      <c r="F574" s="3">
        <v>45694</v>
      </c>
      <c r="G574" s="5" t="s">
        <v>862</v>
      </c>
      <c r="H574" t="s">
        <v>82</v>
      </c>
      <c r="I574" s="4">
        <v>6317</v>
      </c>
      <c r="J574" s="23" t="str">
        <f>VLOOKUP(bron[[#This Row],[voertuig]],Voertuigen!A:C,3,FALSE)</f>
        <v>Tram</v>
      </c>
      <c r="K574" s="23" t="str">
        <f>VLOOKUP(bron[[#This Row],[voertuig]],Voertuigen!A:C,2,FALSE)</f>
        <v>Hermelijn</v>
      </c>
      <c r="L574" s="23">
        <f>COUNTIF(A:A,bron[[#This Row],[personeelsnr]])</f>
        <v>1</v>
      </c>
    </row>
    <row r="575" spans="1:12" hidden="1" x14ac:dyDescent="0.25">
      <c r="A575" s="20">
        <v>4419</v>
      </c>
      <c r="B575" t="str">
        <f>VLOOKUP(bron[[#This Row],[personeelsnr]],[1]Blad1!$A:$H,2,FALSE)</f>
        <v>Maelbrancke Eddy</v>
      </c>
      <c r="C575" t="str">
        <f>VLOOKUP(bron[[#This Row],[personeelsnr]],[1]Blad1!$A:$H,3,FALSE)</f>
        <v>Maelbrancke</v>
      </c>
      <c r="D575" t="str">
        <f>VLOOKUP(bron[[#This Row],[personeelsnr]],[1]Blad1!$A:$H,4,FALSE)</f>
        <v>Eddy</v>
      </c>
      <c r="E575" s="2" t="str">
        <f>VLOOKUP(bron[[#This Row],[personeelsnr]],[1]Blad1!$A:$H,8,FALSE)</f>
        <v>Van De Velde Lucie</v>
      </c>
      <c r="F575" s="3">
        <v>45695</v>
      </c>
      <c r="G575" s="5" t="s">
        <v>863</v>
      </c>
      <c r="H575" t="s">
        <v>8</v>
      </c>
      <c r="I575" s="4">
        <v>2195</v>
      </c>
      <c r="J575" s="23" t="str">
        <f>VLOOKUP(bron[[#This Row],[voertuig]],Voertuigen!A:C,3,FALSE)</f>
        <v>Bus</v>
      </c>
      <c r="K575" s="23" t="str">
        <f>VLOOKUP(bron[[#This Row],[voertuig]],Voertuigen!A:C,2,FALSE)</f>
        <v>Gelede</v>
      </c>
      <c r="L575" s="23">
        <f>COUNTIF(A:A,bron[[#This Row],[personeelsnr]])</f>
        <v>4</v>
      </c>
    </row>
    <row r="576" spans="1:12" hidden="1" x14ac:dyDescent="0.25">
      <c r="A576" s="20">
        <v>40055</v>
      </c>
      <c r="B576" t="str">
        <f>VLOOKUP(bron[[#This Row],[personeelsnr]],[1]Blad1!$A:$H,2,FALSE)</f>
        <v>Afara Ammar</v>
      </c>
      <c r="C576" t="str">
        <f>VLOOKUP(bron[[#This Row],[personeelsnr]],[1]Blad1!$A:$H,3,FALSE)</f>
        <v>Afara</v>
      </c>
      <c r="D576" t="str">
        <f>VLOOKUP(bron[[#This Row],[personeelsnr]],[1]Blad1!$A:$H,4,FALSE)</f>
        <v>Ammar</v>
      </c>
      <c r="E576" s="2" t="str">
        <f>VLOOKUP(bron[[#This Row],[personeelsnr]],[1]Blad1!$A:$H,8,FALSE)</f>
        <v>Vanhoe Els</v>
      </c>
      <c r="F576" s="3">
        <v>45695</v>
      </c>
      <c r="G576" s="5" t="s">
        <v>864</v>
      </c>
      <c r="H576" t="s">
        <v>11</v>
      </c>
      <c r="I576" s="4">
        <v>5261</v>
      </c>
      <c r="J576" s="23" t="str">
        <f>VLOOKUP(bron[[#This Row],[voertuig]],Voertuigen!A:C,3,FALSE)</f>
        <v>Bus</v>
      </c>
      <c r="K576" s="23" t="str">
        <f>VLOOKUP(bron[[#This Row],[voertuig]],Voertuigen!A:C,2,FALSE)</f>
        <v>Gelede</v>
      </c>
      <c r="L576" s="23">
        <f>COUNTIF(A:A,bron[[#This Row],[personeelsnr]])</f>
        <v>2</v>
      </c>
    </row>
    <row r="577" spans="1:12" hidden="1" x14ac:dyDescent="0.25">
      <c r="A577" s="20">
        <v>28737</v>
      </c>
      <c r="B577" t="str">
        <f>VLOOKUP(bron[[#This Row],[personeelsnr]],[1]Blad1!$A:$H,2,FALSE)</f>
        <v>El-Mohamed Mohamed</v>
      </c>
      <c r="C577" t="str">
        <f>VLOOKUP(bron[[#This Row],[personeelsnr]],[1]Blad1!$A:$H,3,FALSE)</f>
        <v>El-Mohamed</v>
      </c>
      <c r="D577" t="str">
        <f>VLOOKUP(bron[[#This Row],[personeelsnr]],[1]Blad1!$A:$H,4,FALSE)</f>
        <v>Mohamed</v>
      </c>
      <c r="E577" s="2" t="str">
        <f>VLOOKUP(bron[[#This Row],[personeelsnr]],[1]Blad1!$A:$H,8,FALSE)</f>
        <v>Van De Velde Lucie</v>
      </c>
      <c r="F577" s="3">
        <v>45698</v>
      </c>
      <c r="G577" s="5" t="s">
        <v>865</v>
      </c>
      <c r="H577" t="s">
        <v>119</v>
      </c>
      <c r="I577" s="4">
        <v>6369</v>
      </c>
      <c r="J577" s="23" t="str">
        <f>VLOOKUP(bron[[#This Row],[voertuig]],Voertuigen!A:C,3,FALSE)</f>
        <v>Tram</v>
      </c>
      <c r="K577" s="23" t="str">
        <f>VLOOKUP(bron[[#This Row],[voertuig]],Voertuigen!A:C,2,FALSE)</f>
        <v>Flexity</v>
      </c>
      <c r="L577" s="23">
        <f>COUNTIF(A:A,bron[[#This Row],[personeelsnr]])</f>
        <v>4</v>
      </c>
    </row>
    <row r="578" spans="1:12" hidden="1" x14ac:dyDescent="0.25">
      <c r="A578" s="24">
        <v>25679</v>
      </c>
      <c r="B578" t="str">
        <f>VLOOKUP(bron[[#This Row],[personeelsnr]],[1]Blad1!$A:$H,2,FALSE)</f>
        <v>Vanrenterghem Serge</v>
      </c>
      <c r="C578" t="str">
        <f>VLOOKUP(bron[[#This Row],[personeelsnr]],[1]Blad1!$A:$H,3,FALSE)</f>
        <v>Vanrenterghem</v>
      </c>
      <c r="D578" t="str">
        <f>VLOOKUP(bron[[#This Row],[personeelsnr]],[1]Blad1!$A:$H,4,FALSE)</f>
        <v>Serge</v>
      </c>
      <c r="E578" s="2" t="str">
        <f>VLOOKUP(bron[[#This Row],[personeelsnr]],[1]Blad1!$A:$H,8,FALSE)</f>
        <v>Rotty Christoff</v>
      </c>
      <c r="F578" s="31">
        <v>45699</v>
      </c>
      <c r="G578" s="30" t="s">
        <v>866</v>
      </c>
      <c r="H578" s="25" t="s">
        <v>8</v>
      </c>
      <c r="I578" s="27">
        <v>4676</v>
      </c>
      <c r="J578" s="28" t="str">
        <f>VLOOKUP(bron[[#This Row],[voertuig]],Voertuigen!A:C,3,FALSE)</f>
        <v>Bus</v>
      </c>
      <c r="K578" s="28" t="str">
        <f>VLOOKUP(bron[[#This Row],[voertuig]],Voertuigen!A:C,2,FALSE)</f>
        <v>Citybus</v>
      </c>
      <c r="L578" s="28">
        <f>COUNTIF(A:A,bron[[#This Row],[personeelsnr]])</f>
        <v>2</v>
      </c>
    </row>
    <row r="579" spans="1:12" hidden="1" x14ac:dyDescent="0.25">
      <c r="A579" s="20">
        <v>40223</v>
      </c>
      <c r="B579" t="e">
        <f>VLOOKUP(bron[[#This Row],[personeelsnr]],[1]Blad1!$A:$H,2,FALSE)</f>
        <v>#N/A</v>
      </c>
      <c r="C579" t="e">
        <f>VLOOKUP(bron[[#This Row],[personeelsnr]],[1]Blad1!$A:$H,3,FALSE)</f>
        <v>#N/A</v>
      </c>
      <c r="D579" t="e">
        <f>VLOOKUP(bron[[#This Row],[personeelsnr]],[1]Blad1!$A:$H,4,FALSE)</f>
        <v>#N/A</v>
      </c>
      <c r="E579" s="2" t="s">
        <v>221</v>
      </c>
      <c r="F579" s="3">
        <v>45699</v>
      </c>
      <c r="G579" s="5" t="s">
        <v>867</v>
      </c>
      <c r="H579" t="s">
        <v>122</v>
      </c>
      <c r="I579" s="4">
        <v>5052</v>
      </c>
      <c r="J579" s="23" t="str">
        <f>VLOOKUP(bron[[#This Row],[voertuig]],Voertuigen!A:C,3,FALSE)</f>
        <v>Bus</v>
      </c>
      <c r="K579" s="23" t="str">
        <f>VLOOKUP(bron[[#This Row],[voertuig]],Voertuigen!A:C,2,FALSE)</f>
        <v>Gelede</v>
      </c>
      <c r="L579" s="23">
        <f>COUNTIF(A:A,bron[[#This Row],[personeelsnr]])</f>
        <v>8</v>
      </c>
    </row>
    <row r="580" spans="1:12" hidden="1" x14ac:dyDescent="0.25">
      <c r="A580" s="20">
        <v>39267</v>
      </c>
      <c r="B580" t="str">
        <f>VLOOKUP(bron[[#This Row],[personeelsnr]],[1]Blad1!$A:$H,2,FALSE)</f>
        <v>Van Holsbeeck Jens</v>
      </c>
      <c r="C580" t="str">
        <f>VLOOKUP(bron[[#This Row],[personeelsnr]],[1]Blad1!$A:$H,3,FALSE)</f>
        <v>Van Holsbeeck</v>
      </c>
      <c r="D580" t="str">
        <f>VLOOKUP(bron[[#This Row],[personeelsnr]],[1]Blad1!$A:$H,4,FALSE)</f>
        <v>Jens</v>
      </c>
      <c r="E580" s="2" t="str">
        <f>VLOOKUP(bron[[#This Row],[personeelsnr]],[1]Blad1!$A:$H,8,FALSE)</f>
        <v>Rotty Christoff</v>
      </c>
      <c r="F580" s="3">
        <v>45700</v>
      </c>
      <c r="G580" s="5" t="s">
        <v>868</v>
      </c>
      <c r="H580" t="s">
        <v>34</v>
      </c>
      <c r="I580" s="4">
        <v>6317</v>
      </c>
      <c r="J580" s="23" t="str">
        <f>VLOOKUP(bron[[#This Row],[voertuig]],Voertuigen!A:C,3,FALSE)</f>
        <v>Tram</v>
      </c>
      <c r="K580" s="23" t="str">
        <f>VLOOKUP(bron[[#This Row],[voertuig]],Voertuigen!A:C,2,FALSE)</f>
        <v>Hermelijn</v>
      </c>
      <c r="L580" s="23">
        <f>COUNTIF(A:A,bron[[#This Row],[personeelsnr]])</f>
        <v>1</v>
      </c>
    </row>
    <row r="581" spans="1:12" hidden="1" x14ac:dyDescent="0.25">
      <c r="A581" s="20">
        <v>6229</v>
      </c>
      <c r="B581" t="str">
        <f>VLOOKUP(bron[[#This Row],[personeelsnr]],[1]Blad1!$A:$H,2,FALSE)</f>
        <v>De Meyer Antoon</v>
      </c>
      <c r="C581" t="str">
        <f>VLOOKUP(bron[[#This Row],[personeelsnr]],[1]Blad1!$A:$H,3,FALSE)</f>
        <v>De Meyer</v>
      </c>
      <c r="D581" t="str">
        <f>VLOOKUP(bron[[#This Row],[personeelsnr]],[1]Blad1!$A:$H,4,FALSE)</f>
        <v>Antoon</v>
      </c>
      <c r="E581" s="2" t="str">
        <f>VLOOKUP(bron[[#This Row],[personeelsnr]],[1]Blad1!$A:$H,8,FALSE)</f>
        <v>Vanhoe Els</v>
      </c>
      <c r="F581" s="3">
        <v>45701</v>
      </c>
      <c r="G581" s="5" t="s">
        <v>869</v>
      </c>
      <c r="H581" t="s">
        <v>174</v>
      </c>
      <c r="I581" s="4">
        <v>5240</v>
      </c>
      <c r="J581" s="23" t="str">
        <f>VLOOKUP(bron[[#This Row],[voertuig]],Voertuigen!A:C,3,FALSE)</f>
        <v>Bus</v>
      </c>
      <c r="K581" s="23" t="str">
        <f>VLOOKUP(bron[[#This Row],[voertuig]],Voertuigen!A:C,2,FALSE)</f>
        <v>Gelede</v>
      </c>
      <c r="L581" s="23">
        <f>COUNTIF(A:A,bron[[#This Row],[personeelsnr]])</f>
        <v>1</v>
      </c>
    </row>
    <row r="582" spans="1:12" hidden="1" x14ac:dyDescent="0.25">
      <c r="A582" s="20">
        <v>11236</v>
      </c>
      <c r="B582" t="str">
        <f>VLOOKUP(bron[[#This Row],[personeelsnr]],[1]Blad1!$A:$H,2,FALSE)</f>
        <v>Baert Freddy</v>
      </c>
      <c r="C582" t="str">
        <f>VLOOKUP(bron[[#This Row],[personeelsnr]],[1]Blad1!$A:$H,3,FALSE)</f>
        <v>Baert</v>
      </c>
      <c r="D582" t="str">
        <f>VLOOKUP(bron[[#This Row],[personeelsnr]],[1]Blad1!$A:$H,4,FALSE)</f>
        <v>Freddy</v>
      </c>
      <c r="E582" s="2" t="str">
        <f>VLOOKUP(bron[[#This Row],[personeelsnr]],[1]Blad1!$A:$H,8,FALSE)</f>
        <v>Van Der Beken Bart</v>
      </c>
      <c r="F582" s="3">
        <v>45702</v>
      </c>
      <c r="G582" s="5" t="s">
        <v>870</v>
      </c>
      <c r="H582" t="s">
        <v>46</v>
      </c>
      <c r="I582" s="4">
        <v>5241</v>
      </c>
      <c r="J582" s="23" t="str">
        <f>VLOOKUP(bron[[#This Row],[voertuig]],Voertuigen!A:C,3,FALSE)</f>
        <v>Bus</v>
      </c>
      <c r="K582" s="23" t="str">
        <f>VLOOKUP(bron[[#This Row],[voertuig]],Voertuigen!A:C,2,FALSE)</f>
        <v>Gelede</v>
      </c>
      <c r="L582" s="23">
        <f>COUNTIF(A:A,bron[[#This Row],[personeelsnr]])</f>
        <v>4</v>
      </c>
    </row>
    <row r="583" spans="1:12" hidden="1" x14ac:dyDescent="0.25">
      <c r="A583" s="20">
        <v>37662</v>
      </c>
      <c r="B583" t="str">
        <f>VLOOKUP(bron[[#This Row],[personeelsnr]],[1]Blad1!$A:$H,2,FALSE)</f>
        <v>Van den Meerssche Steven</v>
      </c>
      <c r="C583" t="str">
        <f>VLOOKUP(bron[[#This Row],[personeelsnr]],[1]Blad1!$A:$H,3,FALSE)</f>
        <v>Van den Meerssche</v>
      </c>
      <c r="D583" t="str">
        <f>VLOOKUP(bron[[#This Row],[personeelsnr]],[1]Blad1!$A:$H,4,FALSE)</f>
        <v>Steven</v>
      </c>
      <c r="E583" s="2" t="str">
        <f>VLOOKUP(bron[[#This Row],[personeelsnr]],[1]Blad1!$A:$H,8,FALSE)</f>
        <v>Van Der Beken Bart</v>
      </c>
      <c r="F583" s="3">
        <v>45702</v>
      </c>
      <c r="G583" s="5" t="s">
        <v>871</v>
      </c>
      <c r="H583" t="s">
        <v>103</v>
      </c>
      <c r="I583" s="4">
        <v>5052</v>
      </c>
      <c r="J583" s="23" t="str">
        <f>VLOOKUP(bron[[#This Row],[voertuig]],Voertuigen!A:C,3,FALSE)</f>
        <v>Bus</v>
      </c>
      <c r="K583" s="23" t="str">
        <f>VLOOKUP(bron[[#This Row],[voertuig]],Voertuigen!A:C,2,FALSE)</f>
        <v>Gelede</v>
      </c>
      <c r="L583" s="23">
        <f>COUNTIF(A:A,bron[[#This Row],[personeelsnr]])</f>
        <v>9</v>
      </c>
    </row>
    <row r="584" spans="1:12" hidden="1" x14ac:dyDescent="0.25">
      <c r="A584" s="20">
        <v>41383</v>
      </c>
      <c r="B584" t="str">
        <f>VLOOKUP(bron[[#This Row],[personeelsnr]],[1]Blad1!$A:$H,2,FALSE)</f>
        <v>De Pauw Tony</v>
      </c>
      <c r="C584" t="str">
        <f>VLOOKUP(bron[[#This Row],[personeelsnr]],[1]Blad1!$A:$H,3,FALSE)</f>
        <v>De Pauw</v>
      </c>
      <c r="D584" t="str">
        <f>VLOOKUP(bron[[#This Row],[personeelsnr]],[1]Blad1!$A:$H,4,FALSE)</f>
        <v>Tony</v>
      </c>
      <c r="E584" s="2" t="str">
        <f>VLOOKUP(bron[[#This Row],[personeelsnr]],[1]Blad1!$A:$H,8,FALSE)</f>
        <v>Vanhoe Els</v>
      </c>
      <c r="F584" s="3">
        <v>45702</v>
      </c>
      <c r="G584" s="5" t="s">
        <v>872</v>
      </c>
      <c r="H584" t="s">
        <v>43</v>
      </c>
      <c r="I584" s="4">
        <v>5909</v>
      </c>
      <c r="J584" s="23" t="str">
        <f>VLOOKUP(bron[[#This Row],[voertuig]],Voertuigen!A:C,3,FALSE)</f>
        <v>Bus</v>
      </c>
      <c r="K584" s="23" t="str">
        <f>VLOOKUP(bron[[#This Row],[voertuig]],Voertuigen!A:C,2,FALSE)</f>
        <v>Standaard</v>
      </c>
      <c r="L584" s="23">
        <f>COUNTIF(A:A,bron[[#This Row],[personeelsnr]])</f>
        <v>1</v>
      </c>
    </row>
    <row r="585" spans="1:12" hidden="1" x14ac:dyDescent="0.25">
      <c r="A585" s="20">
        <v>37496</v>
      </c>
      <c r="B585" t="str">
        <f>VLOOKUP(bron[[#This Row],[personeelsnr]],[1]Blad1!$A:$H,2,FALSE)</f>
        <v>Oosterlinck Willy</v>
      </c>
      <c r="C585" t="str">
        <f>VLOOKUP(bron[[#This Row],[personeelsnr]],[1]Blad1!$A:$H,3,FALSE)</f>
        <v>Oosterlinck</v>
      </c>
      <c r="D585" t="str">
        <f>VLOOKUP(bron[[#This Row],[personeelsnr]],[1]Blad1!$A:$H,4,FALSE)</f>
        <v>Willy</v>
      </c>
      <c r="E585" s="2" t="str">
        <f>VLOOKUP(bron[[#This Row],[personeelsnr]],[1]Blad1!$A:$H,8,FALSE)</f>
        <v>De Clercq Dominique</v>
      </c>
      <c r="F585" s="3">
        <v>45702</v>
      </c>
      <c r="G585" s="5" t="s">
        <v>873</v>
      </c>
      <c r="H585" t="s">
        <v>47</v>
      </c>
      <c r="I585" s="4">
        <v>6322</v>
      </c>
      <c r="J585" s="23" t="str">
        <f>VLOOKUP(bron[[#This Row],[voertuig]],Voertuigen!A:C,3,FALSE)</f>
        <v>Tram</v>
      </c>
      <c r="K585" s="23" t="str">
        <f>VLOOKUP(bron[[#This Row],[voertuig]],Voertuigen!A:C,2,FALSE)</f>
        <v>Hermelijn</v>
      </c>
      <c r="L585" s="23">
        <f>COUNTIF(A:A,bron[[#This Row],[personeelsnr]])</f>
        <v>4</v>
      </c>
    </row>
    <row r="586" spans="1:12" hidden="1" x14ac:dyDescent="0.25">
      <c r="A586" s="20">
        <v>37543</v>
      </c>
      <c r="B586" t="str">
        <f>VLOOKUP(bron[[#This Row],[personeelsnr]],[1]Blad1!$A:$H,2,FALSE)</f>
        <v>Öztürk Bilgehan</v>
      </c>
      <c r="C586" t="str">
        <f>VLOOKUP(bron[[#This Row],[personeelsnr]],[1]Blad1!$A:$H,3,FALSE)</f>
        <v>Öztürk</v>
      </c>
      <c r="D586" t="str">
        <f>VLOOKUP(bron[[#This Row],[personeelsnr]],[1]Blad1!$A:$H,4,FALSE)</f>
        <v>Bilgehan</v>
      </c>
      <c r="E586" s="2" t="str">
        <f>VLOOKUP(bron[[#This Row],[personeelsnr]],[1]Blad1!$A:$H,8,FALSE)</f>
        <v>De Rick Kenneth</v>
      </c>
      <c r="F586" s="3">
        <v>45703</v>
      </c>
      <c r="G586" s="5" t="s">
        <v>874</v>
      </c>
      <c r="H586" t="s">
        <v>31</v>
      </c>
      <c r="I586" s="4">
        <v>2208</v>
      </c>
      <c r="J586" s="23" t="str">
        <f>VLOOKUP(bron[[#This Row],[voertuig]],Voertuigen!A:C,3,FALSE)</f>
        <v>Bus</v>
      </c>
      <c r="K586" s="23" t="str">
        <f>VLOOKUP(bron[[#This Row],[voertuig]],Voertuigen!A:C,2,FALSE)</f>
        <v>Gelede</v>
      </c>
      <c r="L586" s="23">
        <f>COUNTIF(A:A,bron[[#This Row],[personeelsnr]])</f>
        <v>6</v>
      </c>
    </row>
    <row r="587" spans="1:12" hidden="1" x14ac:dyDescent="0.25">
      <c r="A587" s="20">
        <v>41091</v>
      </c>
      <c r="B587" t="str">
        <f>VLOOKUP(bron[[#This Row],[personeelsnr]],[1]Blad1!$A:$H,2,FALSE)</f>
        <v>Yavas Talha</v>
      </c>
      <c r="C587" t="str">
        <f>VLOOKUP(bron[[#This Row],[personeelsnr]],[1]Blad1!$A:$H,3,FALSE)</f>
        <v>Yavas</v>
      </c>
      <c r="D587" t="str">
        <f>VLOOKUP(bron[[#This Row],[personeelsnr]],[1]Blad1!$A:$H,4,FALSE)</f>
        <v>Talha</v>
      </c>
      <c r="E587" s="2" t="str">
        <f>VLOOKUP(bron[[#This Row],[personeelsnr]],[1]Blad1!$A:$H,8,FALSE)</f>
        <v>De Clercq Dominique</v>
      </c>
      <c r="F587" s="3">
        <v>45703</v>
      </c>
      <c r="G587" s="5" t="s">
        <v>875</v>
      </c>
      <c r="H587" t="s">
        <v>89</v>
      </c>
      <c r="I587" s="4">
        <v>5928</v>
      </c>
      <c r="J587" s="23" t="str">
        <f>VLOOKUP(bron[[#This Row],[voertuig]],Voertuigen!A:C,3,FALSE)</f>
        <v>Bus</v>
      </c>
      <c r="K587" s="23" t="str">
        <f>VLOOKUP(bron[[#This Row],[voertuig]],Voertuigen!A:C,2,FALSE)</f>
        <v>Standaard</v>
      </c>
      <c r="L587" s="23">
        <f>COUNTIF(A:A,bron[[#This Row],[personeelsnr]])</f>
        <v>2</v>
      </c>
    </row>
    <row r="588" spans="1:12" hidden="1" x14ac:dyDescent="0.25">
      <c r="A588" s="20">
        <v>26199</v>
      </c>
      <c r="B588" t="str">
        <f>VLOOKUP(bron[[#This Row],[personeelsnr]],[1]Blad1!$A:$H,2,FALSE)</f>
        <v>Wauters Franky</v>
      </c>
      <c r="C588" t="str">
        <f>VLOOKUP(bron[[#This Row],[personeelsnr]],[1]Blad1!$A:$H,3,FALSE)</f>
        <v>Wauters</v>
      </c>
      <c r="D588" t="str">
        <f>VLOOKUP(bron[[#This Row],[personeelsnr]],[1]Blad1!$A:$H,4,FALSE)</f>
        <v>Franky</v>
      </c>
      <c r="E588" s="2" t="str">
        <f>VLOOKUP(bron[[#This Row],[personeelsnr]],[1]Blad1!$A:$H,8,FALSE)</f>
        <v>Vanhoe Els</v>
      </c>
      <c r="F588" s="3">
        <v>45703</v>
      </c>
      <c r="G588" s="5" t="s">
        <v>876</v>
      </c>
      <c r="H588" t="s">
        <v>50</v>
      </c>
      <c r="I588" s="4">
        <v>6364</v>
      </c>
      <c r="J588" s="23" t="str">
        <f>VLOOKUP(bron[[#This Row],[voertuig]],Voertuigen!A:C,3,FALSE)</f>
        <v>Tram</v>
      </c>
      <c r="K588" s="23" t="str">
        <f>VLOOKUP(bron[[#This Row],[voertuig]],Voertuigen!A:C,2,FALSE)</f>
        <v>Flexity</v>
      </c>
      <c r="L588" s="23">
        <f>COUNTIF(A:A,bron[[#This Row],[personeelsnr]])</f>
        <v>1</v>
      </c>
    </row>
    <row r="589" spans="1:12" hidden="1" x14ac:dyDescent="0.25">
      <c r="A589" s="20">
        <v>35490</v>
      </c>
      <c r="B589" t="str">
        <f>VLOOKUP(bron[[#This Row],[personeelsnr]],[1]Blad1!$A:$H,2,FALSE)</f>
        <v>Nguetto Brisco Romeo</v>
      </c>
      <c r="C589" t="str">
        <f>VLOOKUP(bron[[#This Row],[personeelsnr]],[1]Blad1!$A:$H,3,FALSE)</f>
        <v>Nguetto</v>
      </c>
      <c r="D589" t="str">
        <f>VLOOKUP(bron[[#This Row],[personeelsnr]],[1]Blad1!$A:$H,4,FALSE)</f>
        <v>Brisco Romeo</v>
      </c>
      <c r="E589" s="2" t="str">
        <f>VLOOKUP(bron[[#This Row],[personeelsnr]],[1]Blad1!$A:$H,8,FALSE)</f>
        <v>Storm Steven</v>
      </c>
      <c r="F589" s="3">
        <v>45706</v>
      </c>
      <c r="G589" s="5" t="s">
        <v>877</v>
      </c>
      <c r="H589" t="s">
        <v>30</v>
      </c>
      <c r="I589" s="4">
        <v>5912</v>
      </c>
      <c r="J589" s="23" t="str">
        <f>VLOOKUP(bron[[#This Row],[voertuig]],Voertuigen!A:C,3,FALSE)</f>
        <v>Bus</v>
      </c>
      <c r="K589" s="23" t="str">
        <f>VLOOKUP(bron[[#This Row],[voertuig]],Voertuigen!A:C,2,FALSE)</f>
        <v>Standaard</v>
      </c>
      <c r="L589" s="23">
        <f>COUNTIF(A:A,bron[[#This Row],[personeelsnr]])</f>
        <v>1</v>
      </c>
    </row>
    <row r="590" spans="1:12" hidden="1" x14ac:dyDescent="0.25">
      <c r="A590" s="20">
        <v>37509</v>
      </c>
      <c r="B590" t="str">
        <f>VLOOKUP(bron[[#This Row],[personeelsnr]],[1]Blad1!$A:$H,2,FALSE)</f>
        <v>Abdulkader Sabah</v>
      </c>
      <c r="C590" t="str">
        <f>VLOOKUP(bron[[#This Row],[personeelsnr]],[1]Blad1!$A:$H,3,FALSE)</f>
        <v>Abdulkader</v>
      </c>
      <c r="D590" t="str">
        <f>VLOOKUP(bron[[#This Row],[personeelsnr]],[1]Blad1!$A:$H,4,FALSE)</f>
        <v>Sabah</v>
      </c>
      <c r="E590" s="2" t="str">
        <f>VLOOKUP(bron[[#This Row],[personeelsnr]],[1]Blad1!$A:$H,8,FALSE)</f>
        <v>Van Der Beken Bart</v>
      </c>
      <c r="F590" s="3">
        <v>45706</v>
      </c>
      <c r="G590" s="5" t="s">
        <v>878</v>
      </c>
      <c r="H590" t="s">
        <v>157</v>
      </c>
      <c r="I590" s="4">
        <v>2200</v>
      </c>
      <c r="J590" s="23" t="str">
        <f>VLOOKUP(bron[[#This Row],[voertuig]],Voertuigen!A:C,3,FALSE)</f>
        <v>Bus</v>
      </c>
      <c r="K590" s="23" t="str">
        <f>VLOOKUP(bron[[#This Row],[voertuig]],Voertuigen!A:C,2,FALSE)</f>
        <v>Gelede</v>
      </c>
      <c r="L590" s="23">
        <f>COUNTIF(A:A,bron[[#This Row],[personeelsnr]])</f>
        <v>3</v>
      </c>
    </row>
    <row r="591" spans="1:12" hidden="1" x14ac:dyDescent="0.25">
      <c r="A591" s="20">
        <v>41012</v>
      </c>
      <c r="B591" t="str">
        <f>VLOOKUP(bron[[#This Row],[personeelsnr]],[1]Blad1!$A:$H,2,FALSE)</f>
        <v>Natad Younes</v>
      </c>
      <c r="C591" t="str">
        <f>VLOOKUP(bron[[#This Row],[personeelsnr]],[1]Blad1!$A:$H,3,FALSE)</f>
        <v>Natad</v>
      </c>
      <c r="D591" t="str">
        <f>VLOOKUP(bron[[#This Row],[personeelsnr]],[1]Blad1!$A:$H,4,FALSE)</f>
        <v>Younes</v>
      </c>
      <c r="E591" s="2" t="str">
        <f>VLOOKUP(bron[[#This Row],[personeelsnr]],[1]Blad1!$A:$H,8,FALSE)</f>
        <v>Vanhoe Els</v>
      </c>
      <c r="F591" s="3">
        <v>45706</v>
      </c>
      <c r="G591" s="5" t="s">
        <v>879</v>
      </c>
      <c r="H591" t="s">
        <v>341</v>
      </c>
      <c r="I591" s="4">
        <v>5923</v>
      </c>
      <c r="J591" s="23" t="str">
        <f>VLOOKUP(bron[[#This Row],[voertuig]],Voertuigen!A:C,3,FALSE)</f>
        <v>Bus</v>
      </c>
      <c r="K591" s="23" t="str">
        <f>VLOOKUP(bron[[#This Row],[voertuig]],Voertuigen!A:C,2,FALSE)</f>
        <v>Standaard</v>
      </c>
      <c r="L591" s="23">
        <f>COUNTIF(A:A,bron[[#This Row],[personeelsnr]])</f>
        <v>2</v>
      </c>
    </row>
    <row r="592" spans="1:12" hidden="1" x14ac:dyDescent="0.25">
      <c r="A592" s="20">
        <v>41032</v>
      </c>
      <c r="B592" t="str">
        <f>VLOOKUP(bron[[#This Row],[personeelsnr]],[1]Blad1!$A:$H,2,FALSE)</f>
        <v>Rocabado Hinojosa Lukas</v>
      </c>
      <c r="C592" t="str">
        <f>VLOOKUP(bron[[#This Row],[personeelsnr]],[1]Blad1!$A:$H,3,FALSE)</f>
        <v>Rocabado Hinojosa</v>
      </c>
      <c r="D592" t="str">
        <f>VLOOKUP(bron[[#This Row],[personeelsnr]],[1]Blad1!$A:$H,4,FALSE)</f>
        <v>Lukas</v>
      </c>
      <c r="E592" s="2" t="str">
        <f>VLOOKUP(bron[[#This Row],[personeelsnr]],[1]Blad1!$A:$H,8,FALSE)</f>
        <v>Vanhoe Els</v>
      </c>
      <c r="F592" s="3">
        <v>45706</v>
      </c>
      <c r="G592" s="5" t="s">
        <v>880</v>
      </c>
      <c r="H592" t="s">
        <v>30</v>
      </c>
      <c r="I592" s="4">
        <v>5925</v>
      </c>
      <c r="J592" s="23" t="str">
        <f>VLOOKUP(bron[[#This Row],[voertuig]],Voertuigen!A:C,3,FALSE)</f>
        <v>Bus</v>
      </c>
      <c r="K592" s="23" t="str">
        <f>VLOOKUP(bron[[#This Row],[voertuig]],Voertuigen!A:C,2,FALSE)</f>
        <v>Standaard</v>
      </c>
      <c r="L592" s="23">
        <f>COUNTIF(A:A,bron[[#This Row],[personeelsnr]])</f>
        <v>4</v>
      </c>
    </row>
    <row r="593" spans="1:12" hidden="1" x14ac:dyDescent="0.25">
      <c r="A593" s="20">
        <v>41162</v>
      </c>
      <c r="B593" t="str">
        <f>VLOOKUP(bron[[#This Row],[personeelsnr]],[1]Blad1!$A:$H,2,FALSE)</f>
        <v>Hoeckman Jeroen</v>
      </c>
      <c r="C593" t="str">
        <f>VLOOKUP(bron[[#This Row],[personeelsnr]],[1]Blad1!$A:$H,3,FALSE)</f>
        <v>Hoeckman</v>
      </c>
      <c r="D593" t="str">
        <f>VLOOKUP(bron[[#This Row],[personeelsnr]],[1]Blad1!$A:$H,4,FALSE)</f>
        <v>Jeroen</v>
      </c>
      <c r="E593" s="2" t="str">
        <f>VLOOKUP(bron[[#This Row],[personeelsnr]],[1]Blad1!$A:$H,8,FALSE)</f>
        <v>De Clercq Dominique</v>
      </c>
      <c r="F593" s="3">
        <v>45706</v>
      </c>
      <c r="G593" s="5" t="s">
        <v>881</v>
      </c>
      <c r="H593" t="s">
        <v>136</v>
      </c>
      <c r="I593" s="4">
        <v>5927</v>
      </c>
      <c r="J593" s="23" t="str">
        <f>VLOOKUP(bron[[#This Row],[voertuig]],Voertuigen!A:C,3,FALSE)</f>
        <v>Bus</v>
      </c>
      <c r="K593" s="23" t="str">
        <f>VLOOKUP(bron[[#This Row],[voertuig]],Voertuigen!A:C,2,FALSE)</f>
        <v>Standaard</v>
      </c>
      <c r="L593" s="23">
        <f>COUNTIF(A:A,bron[[#This Row],[personeelsnr]])</f>
        <v>5</v>
      </c>
    </row>
    <row r="594" spans="1:12" hidden="1" x14ac:dyDescent="0.25">
      <c r="A594" s="20">
        <v>39660</v>
      </c>
      <c r="B594" t="e">
        <f>VLOOKUP(bron[[#This Row],[personeelsnr]],[1]Blad1!$A:$H,2,FALSE)</f>
        <v>#N/A</v>
      </c>
      <c r="C594" t="e">
        <f>VLOOKUP(bron[[#This Row],[personeelsnr]],[1]Blad1!$A:$H,3,FALSE)</f>
        <v>#N/A</v>
      </c>
      <c r="D594" t="e">
        <f>VLOOKUP(bron[[#This Row],[personeelsnr]],[1]Blad1!$A:$H,4,FALSE)</f>
        <v>#N/A</v>
      </c>
      <c r="E594" s="2" t="s">
        <v>221</v>
      </c>
      <c r="F594" s="3">
        <v>45707</v>
      </c>
      <c r="G594" s="5" t="s">
        <v>882</v>
      </c>
      <c r="H594" t="s">
        <v>26</v>
      </c>
      <c r="I594" s="4">
        <v>2195</v>
      </c>
      <c r="J594" s="23" t="str">
        <f>VLOOKUP(bron[[#This Row],[voertuig]],Voertuigen!A:C,3,FALSE)</f>
        <v>Bus</v>
      </c>
      <c r="K594" s="23" t="str">
        <f>VLOOKUP(bron[[#This Row],[voertuig]],Voertuigen!A:C,2,FALSE)</f>
        <v>Gelede</v>
      </c>
      <c r="L594" s="23">
        <f>COUNTIF(A:A,bron[[#This Row],[personeelsnr]])</f>
        <v>6</v>
      </c>
    </row>
    <row r="595" spans="1:12" hidden="1" x14ac:dyDescent="0.25">
      <c r="A595" s="20">
        <v>41246</v>
      </c>
      <c r="B595" t="str">
        <f>VLOOKUP(bron[[#This Row],[personeelsnr]],[1]Blad1!$A:$H,2,FALSE)</f>
        <v>Van Holsbeeck Yana</v>
      </c>
      <c r="C595" t="str">
        <f>VLOOKUP(bron[[#This Row],[personeelsnr]],[1]Blad1!$A:$H,3,FALSE)</f>
        <v>Van Holsbeeck</v>
      </c>
      <c r="D595" t="str">
        <f>VLOOKUP(bron[[#This Row],[personeelsnr]],[1]Blad1!$A:$H,4,FALSE)</f>
        <v>Yana</v>
      </c>
      <c r="E595" s="2" t="str">
        <f>VLOOKUP(bron[[#This Row],[personeelsnr]],[1]Blad1!$A:$H,8,FALSE)</f>
        <v>De Clercq Dominique</v>
      </c>
      <c r="F595" s="3">
        <v>45708</v>
      </c>
      <c r="G595" s="5" t="s">
        <v>883</v>
      </c>
      <c r="H595" t="s">
        <v>38</v>
      </c>
      <c r="I595" s="4">
        <v>5916</v>
      </c>
      <c r="J595" s="23" t="str">
        <f>VLOOKUP(bron[[#This Row],[voertuig]],Voertuigen!A:C,3,FALSE)</f>
        <v>Bus</v>
      </c>
      <c r="K595" s="23" t="str">
        <f>VLOOKUP(bron[[#This Row],[voertuig]],Voertuigen!A:C,2,FALSE)</f>
        <v>Standaard</v>
      </c>
      <c r="L595" s="23">
        <f>COUNTIF(A:A,bron[[#This Row],[personeelsnr]])</f>
        <v>3</v>
      </c>
    </row>
    <row r="596" spans="1:12" hidden="1" x14ac:dyDescent="0.25">
      <c r="A596" s="20">
        <v>36569</v>
      </c>
      <c r="B596" t="e">
        <f>VLOOKUP(bron[[#This Row],[personeelsnr]],[1]Blad1!$A:$H,2,FALSE)</f>
        <v>#N/A</v>
      </c>
      <c r="C596" t="e">
        <f>VLOOKUP(bron[[#This Row],[personeelsnr]],[1]Blad1!$A:$H,3,FALSE)</f>
        <v>#N/A</v>
      </c>
      <c r="D596" t="e">
        <f>VLOOKUP(bron[[#This Row],[personeelsnr]],[1]Blad1!$A:$H,4,FALSE)</f>
        <v>#N/A</v>
      </c>
      <c r="E596" s="2" t="s">
        <v>221</v>
      </c>
      <c r="F596" s="3">
        <v>45708</v>
      </c>
      <c r="G596" s="5" t="s">
        <v>884</v>
      </c>
      <c r="H596" t="s">
        <v>7</v>
      </c>
      <c r="I596" s="4">
        <v>6333</v>
      </c>
      <c r="J596" s="23" t="str">
        <f>VLOOKUP(bron[[#This Row],[voertuig]],Voertuigen!A:C,3,FALSE)</f>
        <v>Tram</v>
      </c>
      <c r="K596" s="23" t="str">
        <f>VLOOKUP(bron[[#This Row],[voertuig]],Voertuigen!A:C,2,FALSE)</f>
        <v>Hermelijn</v>
      </c>
      <c r="L596" s="23">
        <f>COUNTIF(A:A,bron[[#This Row],[personeelsnr]])</f>
        <v>6</v>
      </c>
    </row>
    <row r="597" spans="1:12" hidden="1" x14ac:dyDescent="0.25">
      <c r="A597" s="20">
        <v>39712</v>
      </c>
      <c r="B597" t="str">
        <f>VLOOKUP(bron[[#This Row],[personeelsnr]],[1]Blad1!$A:$H,2,FALSE)</f>
        <v>Repaj Ramazan</v>
      </c>
      <c r="C597" t="str">
        <f>VLOOKUP(bron[[#This Row],[personeelsnr]],[1]Blad1!$A:$H,3,FALSE)</f>
        <v>Repaj</v>
      </c>
      <c r="D597" t="str">
        <f>VLOOKUP(bron[[#This Row],[personeelsnr]],[1]Blad1!$A:$H,4,FALSE)</f>
        <v>Ramazan</v>
      </c>
      <c r="E597" s="2" t="str">
        <f>VLOOKUP(bron[[#This Row],[personeelsnr]],[1]Blad1!$A:$H,8,FALSE)</f>
        <v>Van Der Beken Bart</v>
      </c>
      <c r="F597" s="3">
        <v>45709</v>
      </c>
      <c r="G597" t="s">
        <v>3350</v>
      </c>
      <c r="H597" t="s">
        <v>12</v>
      </c>
      <c r="I597" s="4">
        <v>5229</v>
      </c>
      <c r="J597" s="23" t="str">
        <f>VLOOKUP(bron[[#This Row],[voertuig]],Voertuigen!A:C,3,FALSE)</f>
        <v>Bus</v>
      </c>
      <c r="K597" s="23" t="str">
        <f>VLOOKUP(bron[[#This Row],[voertuig]],Voertuigen!A:C,2,FALSE)</f>
        <v>Gelede</v>
      </c>
      <c r="L597" s="23">
        <f>COUNTIF(A:A,bron[[#This Row],[personeelsnr]])</f>
        <v>5</v>
      </c>
    </row>
    <row r="598" spans="1:12" hidden="1" x14ac:dyDescent="0.25">
      <c r="A598" s="20">
        <v>39972</v>
      </c>
      <c r="B598" t="e">
        <f>VLOOKUP(bron[[#This Row],[personeelsnr]],[1]Blad1!$A:$H,2,FALSE)</f>
        <v>#N/A</v>
      </c>
      <c r="C598" t="e">
        <f>VLOOKUP(bron[[#This Row],[personeelsnr]],[1]Blad1!$A:$H,3,FALSE)</f>
        <v>#N/A</v>
      </c>
      <c r="D598" t="e">
        <f>VLOOKUP(bron[[#This Row],[personeelsnr]],[1]Blad1!$A:$H,4,FALSE)</f>
        <v>#N/A</v>
      </c>
      <c r="E598" s="2" t="s">
        <v>221</v>
      </c>
      <c r="F598" s="3">
        <v>45709</v>
      </c>
      <c r="G598" s="5" t="s">
        <v>887</v>
      </c>
      <c r="H598" t="s">
        <v>12</v>
      </c>
      <c r="I598" s="4">
        <v>5229</v>
      </c>
      <c r="J598" s="23" t="str">
        <f>VLOOKUP(bron[[#This Row],[voertuig]],Voertuigen!A:C,3,FALSE)</f>
        <v>Bus</v>
      </c>
      <c r="K598" s="23" t="str">
        <f>VLOOKUP(bron[[#This Row],[voertuig]],Voertuigen!A:C,2,FALSE)</f>
        <v>Gelede</v>
      </c>
      <c r="L598" s="23">
        <f>COUNTIF(A:A,bron[[#This Row],[personeelsnr]])</f>
        <v>1</v>
      </c>
    </row>
    <row r="599" spans="1:12" hidden="1" x14ac:dyDescent="0.25">
      <c r="A599" s="20">
        <v>40744</v>
      </c>
      <c r="B599" t="str">
        <f>VLOOKUP(bron[[#This Row],[personeelsnr]],[1]Blad1!$A:$H,2,FALSE)</f>
        <v>Gözüküçük Ugur</v>
      </c>
      <c r="C599" t="str">
        <f>VLOOKUP(bron[[#This Row],[personeelsnr]],[1]Blad1!$A:$H,3,FALSE)</f>
        <v>Gözüküçük</v>
      </c>
      <c r="D599" t="str">
        <f>VLOOKUP(bron[[#This Row],[personeelsnr]],[1]Blad1!$A:$H,4,FALSE)</f>
        <v>Ugur</v>
      </c>
      <c r="E599" s="2" t="str">
        <f>VLOOKUP(bron[[#This Row],[personeelsnr]],[1]Blad1!$A:$H,8,FALSE)</f>
        <v>Van Der Beken Bart</v>
      </c>
      <c r="F599" s="3">
        <v>45709</v>
      </c>
      <c r="G599" s="5" t="s">
        <v>888</v>
      </c>
      <c r="H599" t="s">
        <v>9</v>
      </c>
      <c r="I599" s="4">
        <v>5929</v>
      </c>
      <c r="J599" s="23" t="str">
        <f>VLOOKUP(bron[[#This Row],[voertuig]],Voertuigen!A:C,3,FALSE)</f>
        <v>Bus</v>
      </c>
      <c r="K599" s="23" t="str">
        <f>VLOOKUP(bron[[#This Row],[voertuig]],Voertuigen!A:C,2,FALSE)</f>
        <v>Standaard</v>
      </c>
      <c r="L599" s="23">
        <f>COUNTIF(A:A,bron[[#This Row],[personeelsnr]])</f>
        <v>6</v>
      </c>
    </row>
    <row r="600" spans="1:12" hidden="1" x14ac:dyDescent="0.25">
      <c r="A600" s="20">
        <v>37509</v>
      </c>
      <c r="B600" t="str">
        <f>VLOOKUP(bron[[#This Row],[personeelsnr]],[1]Blad1!$A:$H,2,FALSE)</f>
        <v>Abdulkader Sabah</v>
      </c>
      <c r="C600" t="str">
        <f>VLOOKUP(bron[[#This Row],[personeelsnr]],[1]Blad1!$A:$H,3,FALSE)</f>
        <v>Abdulkader</v>
      </c>
      <c r="D600" t="str">
        <f>VLOOKUP(bron[[#This Row],[personeelsnr]],[1]Blad1!$A:$H,4,FALSE)</f>
        <v>Sabah</v>
      </c>
      <c r="E600" s="2" t="str">
        <f>VLOOKUP(bron[[#This Row],[personeelsnr]],[1]Blad1!$A:$H,8,FALSE)</f>
        <v>Van Der Beken Bart</v>
      </c>
      <c r="F600" s="3">
        <v>45710</v>
      </c>
      <c r="G600" s="5" t="s">
        <v>889</v>
      </c>
      <c r="H600" t="s">
        <v>341</v>
      </c>
      <c r="I600" s="4">
        <v>5043</v>
      </c>
      <c r="J600" s="23" t="str">
        <f>VLOOKUP(bron[[#This Row],[voertuig]],Voertuigen!A:C,3,FALSE)</f>
        <v>Bus</v>
      </c>
      <c r="K600" s="23" t="str">
        <f>VLOOKUP(bron[[#This Row],[voertuig]],Voertuigen!A:C,2,FALSE)</f>
        <v>Gelede</v>
      </c>
      <c r="L600" s="23">
        <f>COUNTIF(A:A,bron[[#This Row],[personeelsnr]])</f>
        <v>3</v>
      </c>
    </row>
    <row r="601" spans="1:12" hidden="1" x14ac:dyDescent="0.25">
      <c r="A601" s="20">
        <v>39818</v>
      </c>
      <c r="B601" t="e">
        <f>VLOOKUP(bron[[#This Row],[personeelsnr]],[1]Blad1!$A:$H,2,FALSE)</f>
        <v>#N/A</v>
      </c>
      <c r="C601" t="e">
        <f>VLOOKUP(bron[[#This Row],[personeelsnr]],[1]Blad1!$A:$H,3,FALSE)</f>
        <v>#N/A</v>
      </c>
      <c r="D601" t="e">
        <f>VLOOKUP(bron[[#This Row],[personeelsnr]],[1]Blad1!$A:$H,4,FALSE)</f>
        <v>#N/A</v>
      </c>
      <c r="E601" s="2" t="s">
        <v>221</v>
      </c>
      <c r="F601" s="6">
        <v>45710</v>
      </c>
      <c r="G601" s="5" t="s">
        <v>890</v>
      </c>
      <c r="H601" t="s">
        <v>891</v>
      </c>
      <c r="I601" s="4">
        <v>5929</v>
      </c>
      <c r="J601" s="23" t="str">
        <f>VLOOKUP(bron[[#This Row],[voertuig]],Voertuigen!A:C,3,FALSE)</f>
        <v>Bus</v>
      </c>
      <c r="K601" s="23" t="str">
        <f>VLOOKUP(bron[[#This Row],[voertuig]],Voertuigen!A:C,2,FALSE)</f>
        <v>Standaard</v>
      </c>
      <c r="L601" s="23">
        <f>COUNTIF(A:A,bron[[#This Row],[personeelsnr]])</f>
        <v>1</v>
      </c>
    </row>
    <row r="602" spans="1:12" hidden="1" x14ac:dyDescent="0.25">
      <c r="A602" s="20">
        <v>39831</v>
      </c>
      <c r="B602" t="str">
        <f>VLOOKUP(bron[[#This Row],[personeelsnr]],[1]Blad1!$A:$H,2,FALSE)</f>
        <v>Dolgiev Mukhamed</v>
      </c>
      <c r="C602" t="str">
        <f>VLOOKUP(bron[[#This Row],[personeelsnr]],[1]Blad1!$A:$H,3,FALSE)</f>
        <v>Dolgiev</v>
      </c>
      <c r="D602" t="str">
        <f>VLOOKUP(bron[[#This Row],[personeelsnr]],[1]Blad1!$A:$H,4,FALSE)</f>
        <v>Mukhamed</v>
      </c>
      <c r="E602" s="2" t="str">
        <f>VLOOKUP(bron[[#This Row],[personeelsnr]],[1]Blad1!$A:$H,8,FALSE)</f>
        <v>Dewulf Els</v>
      </c>
      <c r="F602" s="3">
        <v>45710</v>
      </c>
      <c r="G602" s="5" t="s">
        <v>3348</v>
      </c>
      <c r="H602" t="s">
        <v>22</v>
      </c>
      <c r="I602" s="4">
        <v>5043</v>
      </c>
      <c r="J602" s="23" t="str">
        <f>VLOOKUP(bron[[#This Row],[voertuig]],Voertuigen!A:C,3,FALSE)</f>
        <v>Bus</v>
      </c>
      <c r="K602" s="23" t="str">
        <f>VLOOKUP(bron[[#This Row],[voertuig]],Voertuigen!A:C,2,FALSE)</f>
        <v>Gelede</v>
      </c>
      <c r="L602" s="23">
        <f>COUNTIF(A:A,bron[[#This Row],[personeelsnr]])</f>
        <v>2</v>
      </c>
    </row>
    <row r="603" spans="1:12" hidden="1" x14ac:dyDescent="0.25">
      <c r="A603" s="20">
        <v>32387</v>
      </c>
      <c r="B603" t="str">
        <f>VLOOKUP(bron[[#This Row],[personeelsnr]],[1]Blad1!$A:$H,2,FALSE)</f>
        <v>Meersman Herman</v>
      </c>
      <c r="C603" t="str">
        <f>VLOOKUP(bron[[#This Row],[personeelsnr]],[1]Blad1!$A:$H,3,FALSE)</f>
        <v>Meersman</v>
      </c>
      <c r="D603" t="str">
        <f>VLOOKUP(bron[[#This Row],[personeelsnr]],[1]Blad1!$A:$H,4,FALSE)</f>
        <v>Herman</v>
      </c>
      <c r="E603" s="2" t="str">
        <f>VLOOKUP(bron[[#This Row],[personeelsnr]],[1]Blad1!$A:$H,8,FALSE)</f>
        <v>Storm Steven</v>
      </c>
      <c r="F603" s="3">
        <v>45711</v>
      </c>
      <c r="G603" s="5" t="s">
        <v>892</v>
      </c>
      <c r="H603" t="s">
        <v>16</v>
      </c>
      <c r="I603" s="4">
        <v>5771</v>
      </c>
      <c r="J603" s="23" t="str">
        <f>VLOOKUP(bron[[#This Row],[voertuig]],Voertuigen!A:C,3,FALSE)</f>
        <v>Bus</v>
      </c>
      <c r="K603" s="23" t="str">
        <f>VLOOKUP(bron[[#This Row],[voertuig]],Voertuigen!A:C,2,FALSE)</f>
        <v>Standaard</v>
      </c>
      <c r="L603" s="23">
        <f>COUNTIF(A:A,bron[[#This Row],[personeelsnr]])</f>
        <v>4</v>
      </c>
    </row>
    <row r="604" spans="1:12" hidden="1" x14ac:dyDescent="0.25">
      <c r="A604" s="20">
        <v>40223</v>
      </c>
      <c r="B604" t="e">
        <f>VLOOKUP(bron[[#This Row],[personeelsnr]],[1]Blad1!$A:$H,2,FALSE)</f>
        <v>#N/A</v>
      </c>
      <c r="C604" t="e">
        <f>VLOOKUP(bron[[#This Row],[personeelsnr]],[1]Blad1!$A:$H,3,FALSE)</f>
        <v>#N/A</v>
      </c>
      <c r="D604" t="e">
        <f>VLOOKUP(bron[[#This Row],[personeelsnr]],[1]Blad1!$A:$H,4,FALSE)</f>
        <v>#N/A</v>
      </c>
      <c r="E604" s="2" t="s">
        <v>221</v>
      </c>
      <c r="F604" s="3">
        <v>45711</v>
      </c>
      <c r="G604" s="5" t="s">
        <v>893</v>
      </c>
      <c r="H604" t="s">
        <v>12</v>
      </c>
      <c r="I604" s="4">
        <v>5049</v>
      </c>
      <c r="J604" s="23" t="str">
        <f>VLOOKUP(bron[[#This Row],[voertuig]],Voertuigen!A:C,3,FALSE)</f>
        <v>Bus</v>
      </c>
      <c r="K604" s="23" t="str">
        <f>VLOOKUP(bron[[#This Row],[voertuig]],Voertuigen!A:C,2,FALSE)</f>
        <v>Gelede</v>
      </c>
      <c r="L604" s="23">
        <f>COUNTIF(A:A,bron[[#This Row],[personeelsnr]])</f>
        <v>8</v>
      </c>
    </row>
    <row r="605" spans="1:12" hidden="1" x14ac:dyDescent="0.25">
      <c r="A605" s="20">
        <v>9824</v>
      </c>
      <c r="B605" t="str">
        <f>VLOOKUP(bron[[#This Row],[personeelsnr]],[1]Blad1!$A:$H,2,FALSE)</f>
        <v>De Meulenaere Eric</v>
      </c>
      <c r="C605" t="str">
        <f>VLOOKUP(bron[[#This Row],[personeelsnr]],[1]Blad1!$A:$H,3,FALSE)</f>
        <v>De Meulenaere</v>
      </c>
      <c r="D605" t="str">
        <f>VLOOKUP(bron[[#This Row],[personeelsnr]],[1]Blad1!$A:$H,4,FALSE)</f>
        <v>Eric</v>
      </c>
      <c r="E605" s="2" t="str">
        <f>VLOOKUP(bron[[#This Row],[personeelsnr]],[1]Blad1!$A:$H,8,FALSE)</f>
        <v>Storm Steven</v>
      </c>
      <c r="F605" s="3">
        <v>45711</v>
      </c>
      <c r="G605" s="5" t="s">
        <v>894</v>
      </c>
      <c r="H605" t="s">
        <v>7</v>
      </c>
      <c r="I605" s="4">
        <v>6364</v>
      </c>
      <c r="J605" s="23" t="str">
        <f>VLOOKUP(bron[[#This Row],[voertuig]],Voertuigen!A:C,3,FALSE)</f>
        <v>Tram</v>
      </c>
      <c r="K605" s="23" t="str">
        <f>VLOOKUP(bron[[#This Row],[voertuig]],Voertuigen!A:C,2,FALSE)</f>
        <v>Flexity</v>
      </c>
      <c r="L605" s="23">
        <f>COUNTIF(A:A,bron[[#This Row],[personeelsnr]])</f>
        <v>1</v>
      </c>
    </row>
    <row r="606" spans="1:12" hidden="1" x14ac:dyDescent="0.25">
      <c r="A606" s="20">
        <v>30121</v>
      </c>
      <c r="B606" t="str">
        <f>VLOOKUP(bron[[#This Row],[personeelsnr]],[1]Blad1!$A:$H,2,FALSE)</f>
        <v>Simons Andreas</v>
      </c>
      <c r="C606" t="str">
        <f>VLOOKUP(bron[[#This Row],[personeelsnr]],[1]Blad1!$A:$H,3,FALSE)</f>
        <v>Simons</v>
      </c>
      <c r="D606" t="str">
        <f>VLOOKUP(bron[[#This Row],[personeelsnr]],[1]Blad1!$A:$H,4,FALSE)</f>
        <v>Andreas</v>
      </c>
      <c r="E606" s="2" t="str">
        <f>VLOOKUP(bron[[#This Row],[personeelsnr]],[1]Blad1!$A:$H,8,FALSE)</f>
        <v>Rotty Christoff</v>
      </c>
      <c r="F606" s="3">
        <v>45712</v>
      </c>
      <c r="G606" s="5" t="s">
        <v>895</v>
      </c>
      <c r="H606" t="s">
        <v>129</v>
      </c>
      <c r="I606" s="4">
        <v>2206</v>
      </c>
      <c r="J606" s="23" t="str">
        <f>VLOOKUP(bron[[#This Row],[voertuig]],Voertuigen!A:C,3,FALSE)</f>
        <v>Bus</v>
      </c>
      <c r="K606" s="23" t="str">
        <f>VLOOKUP(bron[[#This Row],[voertuig]],Voertuigen!A:C,2,FALSE)</f>
        <v>Gelede</v>
      </c>
      <c r="L606" s="23">
        <f>COUNTIF(A:A,bron[[#This Row],[personeelsnr]])</f>
        <v>3</v>
      </c>
    </row>
    <row r="607" spans="1:12" hidden="1" x14ac:dyDescent="0.25">
      <c r="A607" s="20">
        <v>35397</v>
      </c>
      <c r="B607" t="str">
        <f>VLOOKUP(bron[[#This Row],[personeelsnr]],[1]Blad1!$A:$H,2,FALSE)</f>
        <v>Minbari Ako</v>
      </c>
      <c r="C607" t="str">
        <f>VLOOKUP(bron[[#This Row],[personeelsnr]],[1]Blad1!$A:$H,3,FALSE)</f>
        <v>Minbari</v>
      </c>
      <c r="D607" t="str">
        <f>VLOOKUP(bron[[#This Row],[personeelsnr]],[1]Blad1!$A:$H,4,FALSE)</f>
        <v>Ako</v>
      </c>
      <c r="E607" s="2" t="str">
        <f>VLOOKUP(bron[[#This Row],[personeelsnr]],[1]Blad1!$A:$H,8,FALSE)</f>
        <v>Van De Velde Lucie</v>
      </c>
      <c r="F607" s="3">
        <v>45713</v>
      </c>
      <c r="G607" s="5" t="s">
        <v>896</v>
      </c>
      <c r="H607" t="s">
        <v>35</v>
      </c>
      <c r="I607" s="4">
        <v>5914</v>
      </c>
      <c r="J607" s="23" t="str">
        <f>VLOOKUP(bron[[#This Row],[voertuig]],Voertuigen!A:C,3,FALSE)</f>
        <v>Bus</v>
      </c>
      <c r="K607" s="23" t="str">
        <f>VLOOKUP(bron[[#This Row],[voertuig]],Voertuigen!A:C,2,FALSE)</f>
        <v>Standaard</v>
      </c>
      <c r="L607" s="23">
        <f>COUNTIF(A:A,bron[[#This Row],[personeelsnr]])</f>
        <v>3</v>
      </c>
    </row>
    <row r="608" spans="1:12" hidden="1" x14ac:dyDescent="0.25">
      <c r="A608" s="20">
        <v>39779</v>
      </c>
      <c r="B608" t="str">
        <f>VLOOKUP(bron[[#This Row],[personeelsnr]],[1]Blad1!$A:$H,2,FALSE)</f>
        <v>Avci Muhammet Abdullah</v>
      </c>
      <c r="C608" t="str">
        <f>VLOOKUP(bron[[#This Row],[personeelsnr]],[1]Blad1!$A:$H,3,FALSE)</f>
        <v>Avci</v>
      </c>
      <c r="D608" t="str">
        <f>VLOOKUP(bron[[#This Row],[personeelsnr]],[1]Blad1!$A:$H,4,FALSE)</f>
        <v>Muhammet Abdullah</v>
      </c>
      <c r="E608" s="2" t="str">
        <f>VLOOKUP(bron[[#This Row],[personeelsnr]],[1]Blad1!$A:$H,8,FALSE)</f>
        <v>Van Der Beken Bart</v>
      </c>
      <c r="F608" s="3">
        <v>45715</v>
      </c>
      <c r="G608" s="5" t="s">
        <v>897</v>
      </c>
      <c r="H608" t="s">
        <v>101</v>
      </c>
      <c r="I608" s="4">
        <v>5923</v>
      </c>
      <c r="J608" s="23" t="str">
        <f>VLOOKUP(bron[[#This Row],[voertuig]],Voertuigen!A:C,3,FALSE)</f>
        <v>Bus</v>
      </c>
      <c r="K608" s="23" t="str">
        <f>VLOOKUP(bron[[#This Row],[voertuig]],Voertuigen!A:C,2,FALSE)</f>
        <v>Standaard</v>
      </c>
      <c r="L608" s="23">
        <f>COUNTIF(A:A,bron[[#This Row],[personeelsnr]])</f>
        <v>7</v>
      </c>
    </row>
    <row r="609" spans="1:12" hidden="1" x14ac:dyDescent="0.25">
      <c r="A609" s="20">
        <v>39829</v>
      </c>
      <c r="B609" t="str">
        <f>VLOOKUP(bron[[#This Row],[personeelsnr]],[1]Blad1!$A:$H,2,FALSE)</f>
        <v>Demirkaya Serkan</v>
      </c>
      <c r="C609" t="str">
        <f>VLOOKUP(bron[[#This Row],[personeelsnr]],[1]Blad1!$A:$H,3,FALSE)</f>
        <v>Demirkaya</v>
      </c>
      <c r="D609" t="str">
        <f>VLOOKUP(bron[[#This Row],[personeelsnr]],[1]Blad1!$A:$H,4,FALSE)</f>
        <v>Serkan</v>
      </c>
      <c r="E609" s="2" t="str">
        <f>VLOOKUP(bron[[#This Row],[personeelsnr]],[1]Blad1!$A:$H,8,FALSE)</f>
        <v>Van De Velde Lucie</v>
      </c>
      <c r="F609" s="3">
        <v>45715</v>
      </c>
      <c r="G609" s="5" t="s">
        <v>898</v>
      </c>
      <c r="H609" t="s">
        <v>7</v>
      </c>
      <c r="I609" s="4">
        <v>5046</v>
      </c>
      <c r="J609" s="23" t="str">
        <f>VLOOKUP(bron[[#This Row],[voertuig]],Voertuigen!A:C,3,FALSE)</f>
        <v>Bus</v>
      </c>
      <c r="K609" s="23" t="str">
        <f>VLOOKUP(bron[[#This Row],[voertuig]],Voertuigen!A:C,2,FALSE)</f>
        <v>Gelede</v>
      </c>
      <c r="L609" s="23">
        <f>COUNTIF(A:A,bron[[#This Row],[personeelsnr]])</f>
        <v>2</v>
      </c>
    </row>
    <row r="610" spans="1:12" hidden="1" x14ac:dyDescent="0.25">
      <c r="A610" s="20">
        <v>40744</v>
      </c>
      <c r="B610" t="str">
        <f>VLOOKUP(bron[[#This Row],[personeelsnr]],[1]Blad1!$A:$H,2,FALSE)</f>
        <v>Gözüküçük Ugur</v>
      </c>
      <c r="C610" t="str">
        <f>VLOOKUP(bron[[#This Row],[personeelsnr]],[1]Blad1!$A:$H,3,FALSE)</f>
        <v>Gözüküçük</v>
      </c>
      <c r="D610" t="str">
        <f>VLOOKUP(bron[[#This Row],[personeelsnr]],[1]Blad1!$A:$H,4,FALSE)</f>
        <v>Ugur</v>
      </c>
      <c r="E610" s="2" t="str">
        <f>VLOOKUP(bron[[#This Row],[personeelsnr]],[1]Blad1!$A:$H,8,FALSE)</f>
        <v>Van Der Beken Bart</v>
      </c>
      <c r="F610" s="3">
        <v>45715</v>
      </c>
      <c r="G610" s="5" t="s">
        <v>899</v>
      </c>
      <c r="H610" t="s">
        <v>59</v>
      </c>
      <c r="I610" s="4">
        <v>2546</v>
      </c>
      <c r="J610" s="23" t="str">
        <f>VLOOKUP(bron[[#This Row],[voertuig]],Voertuigen!A:C,3,FALSE)</f>
        <v>Bus</v>
      </c>
      <c r="K610" s="23" t="str">
        <f>VLOOKUP(bron[[#This Row],[voertuig]],Voertuigen!A:C,2,FALSE)</f>
        <v>E-bus</v>
      </c>
      <c r="L610" s="23">
        <f>COUNTIF(A:A,bron[[#This Row],[personeelsnr]])</f>
        <v>6</v>
      </c>
    </row>
    <row r="611" spans="1:12" hidden="1" x14ac:dyDescent="0.25">
      <c r="A611" s="20">
        <v>28737</v>
      </c>
      <c r="B611" t="str">
        <f>VLOOKUP(bron[[#This Row],[personeelsnr]],[1]Blad1!$A:$H,2,FALSE)</f>
        <v>El-Mohamed Mohamed</v>
      </c>
      <c r="C611" t="str">
        <f>VLOOKUP(bron[[#This Row],[personeelsnr]],[1]Blad1!$A:$H,3,FALSE)</f>
        <v>El-Mohamed</v>
      </c>
      <c r="D611" t="str">
        <f>VLOOKUP(bron[[#This Row],[personeelsnr]],[1]Blad1!$A:$H,4,FALSE)</f>
        <v>Mohamed</v>
      </c>
      <c r="E611" s="2" t="str">
        <f>VLOOKUP(bron[[#This Row],[personeelsnr]],[1]Blad1!$A:$H,8,FALSE)</f>
        <v>Van De Velde Lucie</v>
      </c>
      <c r="F611" s="3">
        <v>45715</v>
      </c>
      <c r="G611" s="5" t="s">
        <v>900</v>
      </c>
      <c r="H611" t="s">
        <v>51</v>
      </c>
      <c r="I611" s="4">
        <v>6320</v>
      </c>
      <c r="J611" s="23" t="str">
        <f>VLOOKUP(bron[[#This Row],[voertuig]],Voertuigen!A:C,3,FALSE)</f>
        <v>Tram</v>
      </c>
      <c r="K611" s="23" t="str">
        <f>VLOOKUP(bron[[#This Row],[voertuig]],Voertuigen!A:C,2,FALSE)</f>
        <v>Hermelijn</v>
      </c>
      <c r="L611" s="23">
        <f>COUNTIF(A:A,bron[[#This Row],[personeelsnr]])</f>
        <v>4</v>
      </c>
    </row>
    <row r="612" spans="1:12" hidden="1" x14ac:dyDescent="0.25">
      <c r="A612" s="20">
        <v>41092</v>
      </c>
      <c r="B612" t="str">
        <f>VLOOKUP(bron[[#This Row],[personeelsnr]],[1]Blad1!$A:$H,2,FALSE)</f>
        <v>De Keyser Dorien</v>
      </c>
      <c r="C612" t="str">
        <f>VLOOKUP(bron[[#This Row],[personeelsnr]],[1]Blad1!$A:$H,3,FALSE)</f>
        <v>De Keyser</v>
      </c>
      <c r="D612" t="str">
        <f>VLOOKUP(bron[[#This Row],[personeelsnr]],[1]Blad1!$A:$H,4,FALSE)</f>
        <v>Dorien</v>
      </c>
      <c r="E612" s="2" t="str">
        <f>VLOOKUP(bron[[#This Row],[personeelsnr]],[1]Blad1!$A:$H,8,FALSE)</f>
        <v>De Clercq Dominique</v>
      </c>
      <c r="F612" s="3">
        <v>45716</v>
      </c>
      <c r="G612" s="5" t="s">
        <v>901</v>
      </c>
      <c r="H612" t="s">
        <v>14</v>
      </c>
      <c r="I612" s="4">
        <v>2548</v>
      </c>
      <c r="J612" s="23" t="str">
        <f>VLOOKUP(bron[[#This Row],[voertuig]],Voertuigen!A:C,3,FALSE)</f>
        <v>Bus</v>
      </c>
      <c r="K612" s="23" t="str">
        <f>VLOOKUP(bron[[#This Row],[voertuig]],Voertuigen!A:C,2,FALSE)</f>
        <v>E-bus</v>
      </c>
      <c r="L612" s="23">
        <f>COUNTIF(A:A,bron[[#This Row],[personeelsnr]])</f>
        <v>9</v>
      </c>
    </row>
    <row r="613" spans="1:12" hidden="1" x14ac:dyDescent="0.25">
      <c r="A613" s="22">
        <v>40138</v>
      </c>
      <c r="B613" t="str">
        <f>VLOOKUP(bron[[#This Row],[personeelsnr]],[1]Blad1!$A:$H,2,FALSE)</f>
        <v>Moerman Tjimmy</v>
      </c>
      <c r="C613" t="str">
        <f>VLOOKUP(bron[[#This Row],[personeelsnr]],[1]Blad1!$A:$H,3,FALSE)</f>
        <v>Moerman</v>
      </c>
      <c r="D613" t="str">
        <f>VLOOKUP(bron[[#This Row],[personeelsnr]],[1]Blad1!$A:$H,4,FALSE)</f>
        <v>Tjimmy</v>
      </c>
      <c r="E613" s="2" t="str">
        <f>VLOOKUP(bron[[#This Row],[personeelsnr]],[1]Blad1!$A:$H,8,FALSE)</f>
        <v>Rotty Christoff</v>
      </c>
      <c r="F613" s="10">
        <v>45717</v>
      </c>
      <c r="G613" s="9" t="s">
        <v>902</v>
      </c>
      <c r="H613" s="7" t="s">
        <v>87</v>
      </c>
      <c r="I613" s="4">
        <v>5047</v>
      </c>
      <c r="J613" s="23" t="str">
        <f>VLOOKUP(bron[[#This Row],[voertuig]],Voertuigen!A:C,3,FALSE)</f>
        <v>Bus</v>
      </c>
      <c r="K613" s="23" t="str">
        <f>VLOOKUP(bron[[#This Row],[voertuig]],Voertuigen!A:C,2,FALSE)</f>
        <v>Gelede</v>
      </c>
      <c r="L613" s="23">
        <f>COUNTIF(A:A,bron[[#This Row],[personeelsnr]])</f>
        <v>10</v>
      </c>
    </row>
    <row r="614" spans="1:12" hidden="1" x14ac:dyDescent="0.25">
      <c r="A614" s="20">
        <v>38807</v>
      </c>
      <c r="B614" t="str">
        <f>VLOOKUP(bron[[#This Row],[personeelsnr]],[1]Blad1!$A:$H,2,FALSE)</f>
        <v>Dossche Caroline</v>
      </c>
      <c r="C614" t="str">
        <f>VLOOKUP(bron[[#This Row],[personeelsnr]],[1]Blad1!$A:$H,3,FALSE)</f>
        <v>Dossche</v>
      </c>
      <c r="D614" t="str">
        <f>VLOOKUP(bron[[#This Row],[personeelsnr]],[1]Blad1!$A:$H,4,FALSE)</f>
        <v>Caroline</v>
      </c>
      <c r="E614" s="2" t="str">
        <f>VLOOKUP(bron[[#This Row],[personeelsnr]],[1]Blad1!$A:$H,8,FALSE)</f>
        <v>Rotty Christoff</v>
      </c>
      <c r="F614" s="3">
        <v>45718</v>
      </c>
      <c r="G614" s="5" t="s">
        <v>903</v>
      </c>
      <c r="H614" t="s">
        <v>33</v>
      </c>
      <c r="I614" s="4">
        <v>5929</v>
      </c>
      <c r="J614" s="23" t="str">
        <f>VLOOKUP(bron[[#This Row],[voertuig]],Voertuigen!A:C,3,FALSE)</f>
        <v>Bus</v>
      </c>
      <c r="K614" s="23" t="str">
        <f>VLOOKUP(bron[[#This Row],[voertuig]],Voertuigen!A:C,2,FALSE)</f>
        <v>Standaard</v>
      </c>
      <c r="L614" s="23">
        <f>COUNTIF(A:A,bron[[#This Row],[personeelsnr]])</f>
        <v>5</v>
      </c>
    </row>
    <row r="615" spans="1:12" hidden="1" x14ac:dyDescent="0.25">
      <c r="A615" s="20">
        <v>26137</v>
      </c>
      <c r="B615" t="str">
        <f>VLOOKUP(bron[[#This Row],[personeelsnr]],[1]Blad1!$A:$H,2,FALSE)</f>
        <v>Hublau Roland</v>
      </c>
      <c r="C615" t="str">
        <f>VLOOKUP(bron[[#This Row],[personeelsnr]],[1]Blad1!$A:$H,3,FALSE)</f>
        <v>Hublau</v>
      </c>
      <c r="D615" t="str">
        <f>VLOOKUP(bron[[#This Row],[personeelsnr]],[1]Blad1!$A:$H,4,FALSE)</f>
        <v>Roland</v>
      </c>
      <c r="E615" s="2" t="str">
        <f>VLOOKUP(bron[[#This Row],[personeelsnr]],[1]Blad1!$A:$H,8,FALSE)</f>
        <v>Storm Steven</v>
      </c>
      <c r="F615" s="6">
        <v>45719</v>
      </c>
      <c r="G615" s="5" t="s">
        <v>904</v>
      </c>
      <c r="H615" t="s">
        <v>8</v>
      </c>
      <c r="I615" s="4">
        <v>6375</v>
      </c>
      <c r="J615" s="23" t="str">
        <f>VLOOKUP(bron[[#This Row],[voertuig]],Voertuigen!A:C,3,FALSE)</f>
        <v>Tram</v>
      </c>
      <c r="K615" s="23" t="str">
        <f>VLOOKUP(bron[[#This Row],[voertuig]],Voertuigen!A:C,2,FALSE)</f>
        <v>Flexity</v>
      </c>
      <c r="L615" s="23">
        <f>COUNTIF(A:A,bron[[#This Row],[personeelsnr]])</f>
        <v>4</v>
      </c>
    </row>
    <row r="616" spans="1:12" hidden="1" x14ac:dyDescent="0.25">
      <c r="A616" s="20">
        <v>19520</v>
      </c>
      <c r="B616" t="str">
        <f>VLOOKUP(bron[[#This Row],[personeelsnr]],[1]Blad1!$A:$H,2,FALSE)</f>
        <v>Van Steenbergen Kris</v>
      </c>
      <c r="C616" t="str">
        <f>VLOOKUP(bron[[#This Row],[personeelsnr]],[1]Blad1!$A:$H,3,FALSE)</f>
        <v>Van Steenbergen</v>
      </c>
      <c r="D616" t="str">
        <f>VLOOKUP(bron[[#This Row],[personeelsnr]],[1]Blad1!$A:$H,4,FALSE)</f>
        <v>Kris</v>
      </c>
      <c r="E616" s="2" t="str">
        <f>VLOOKUP(bron[[#This Row],[personeelsnr]],[1]Blad1!$A:$H,8,FALSE)</f>
        <v>Dewulf Els</v>
      </c>
      <c r="F616" s="3">
        <v>45720</v>
      </c>
      <c r="G616" s="5" t="s">
        <v>905</v>
      </c>
      <c r="H616" t="s">
        <v>17</v>
      </c>
      <c r="I616" s="4">
        <v>2196</v>
      </c>
      <c r="J616" s="23" t="str">
        <f>VLOOKUP(bron[[#This Row],[voertuig]],Voertuigen!A:C,3,FALSE)</f>
        <v>Bus</v>
      </c>
      <c r="K616" s="23" t="str">
        <f>VLOOKUP(bron[[#This Row],[voertuig]],Voertuigen!A:C,2,FALSE)</f>
        <v>Gelede</v>
      </c>
      <c r="L616" s="23">
        <f>COUNTIF(A:A,bron[[#This Row],[personeelsnr]])</f>
        <v>1</v>
      </c>
    </row>
    <row r="617" spans="1:12" hidden="1" x14ac:dyDescent="0.25">
      <c r="A617" s="20">
        <v>34019</v>
      </c>
      <c r="B617" t="str">
        <f>VLOOKUP(bron[[#This Row],[personeelsnr]],[1]Blad1!$A:$H,2,FALSE)</f>
        <v>Hoste Tom</v>
      </c>
      <c r="C617" t="str">
        <f>VLOOKUP(bron[[#This Row],[personeelsnr]],[1]Blad1!$A:$H,3,FALSE)</f>
        <v>Hoste</v>
      </c>
      <c r="D617" t="str">
        <f>VLOOKUP(bron[[#This Row],[personeelsnr]],[1]Blad1!$A:$H,4,FALSE)</f>
        <v>Tom</v>
      </c>
      <c r="E617" s="2" t="str">
        <f>VLOOKUP(bron[[#This Row],[personeelsnr]],[1]Blad1!$A:$H,8,FALSE)</f>
        <v>Rotty Christoff</v>
      </c>
      <c r="F617" s="3">
        <v>45721</v>
      </c>
      <c r="G617" s="5" t="s">
        <v>906</v>
      </c>
      <c r="H617" t="s">
        <v>60</v>
      </c>
      <c r="I617" s="4">
        <v>5911</v>
      </c>
      <c r="J617" s="23" t="str">
        <f>VLOOKUP(bron[[#This Row],[voertuig]],Voertuigen!A:C,3,FALSE)</f>
        <v>Bus</v>
      </c>
      <c r="K617" s="23" t="str">
        <f>VLOOKUP(bron[[#This Row],[voertuig]],Voertuigen!A:C,2,FALSE)</f>
        <v>Standaard</v>
      </c>
      <c r="L617" s="23">
        <f>COUNTIF(A:A,bron[[#This Row],[personeelsnr]])</f>
        <v>1</v>
      </c>
    </row>
    <row r="618" spans="1:12" hidden="1" x14ac:dyDescent="0.25">
      <c r="A618" s="20">
        <v>40591</v>
      </c>
      <c r="B618" t="str">
        <f>VLOOKUP(bron[[#This Row],[personeelsnr]],[1]Blad1!$A:$H,2,FALSE)</f>
        <v>Hiloui Mahmoud</v>
      </c>
      <c r="C618" t="str">
        <f>VLOOKUP(bron[[#This Row],[personeelsnr]],[1]Blad1!$A:$H,3,FALSE)</f>
        <v>Hiloui</v>
      </c>
      <c r="D618" t="str">
        <f>VLOOKUP(bron[[#This Row],[personeelsnr]],[1]Blad1!$A:$H,4,FALSE)</f>
        <v>Mahmoud</v>
      </c>
      <c r="E618" s="2" t="str">
        <f>VLOOKUP(bron[[#This Row],[personeelsnr]],[1]Blad1!$A:$H,8,FALSE)</f>
        <v>De Clercq Dominique</v>
      </c>
      <c r="F618" s="3">
        <v>45721</v>
      </c>
      <c r="G618" s="5" t="s">
        <v>907</v>
      </c>
      <c r="H618" t="s">
        <v>20</v>
      </c>
      <c r="I618" s="4">
        <v>5042</v>
      </c>
      <c r="J618" s="23" t="str">
        <f>VLOOKUP(bron[[#This Row],[voertuig]],Voertuigen!A:C,3,FALSE)</f>
        <v>Bus</v>
      </c>
      <c r="K618" s="23" t="str">
        <f>VLOOKUP(bron[[#This Row],[voertuig]],Voertuigen!A:C,2,FALSE)</f>
        <v>Gelede</v>
      </c>
      <c r="L618" s="23">
        <f>COUNTIF(A:A,bron[[#This Row],[personeelsnr]])</f>
        <v>2</v>
      </c>
    </row>
    <row r="619" spans="1:12" hidden="1" x14ac:dyDescent="0.25">
      <c r="A619" s="20">
        <v>26960</v>
      </c>
      <c r="B619" t="str">
        <f>VLOOKUP(bron[[#This Row],[personeelsnr]],[1]Blad1!$A:$H,2,FALSE)</f>
        <v>Toubadie Mossa</v>
      </c>
      <c r="C619" t="str">
        <f>VLOOKUP(bron[[#This Row],[personeelsnr]],[1]Blad1!$A:$H,3,FALSE)</f>
        <v>Toubadie</v>
      </c>
      <c r="D619" t="str">
        <f>VLOOKUP(bron[[#This Row],[personeelsnr]],[1]Blad1!$A:$H,4,FALSE)</f>
        <v>Mossa</v>
      </c>
      <c r="E619" s="2" t="str">
        <f>VLOOKUP(bron[[#This Row],[personeelsnr]],[1]Blad1!$A:$H,8,FALSE)</f>
        <v>Vanhoe Els</v>
      </c>
      <c r="F619" s="3">
        <v>45722</v>
      </c>
      <c r="G619" s="5" t="s">
        <v>908</v>
      </c>
      <c r="H619" t="s">
        <v>37</v>
      </c>
      <c r="I619" s="4">
        <v>5916</v>
      </c>
      <c r="J619" s="23" t="str">
        <f>VLOOKUP(bron[[#This Row],[voertuig]],Voertuigen!A:C,3,FALSE)</f>
        <v>Bus</v>
      </c>
      <c r="K619" s="23" t="str">
        <f>VLOOKUP(bron[[#This Row],[voertuig]],Voertuigen!A:C,2,FALSE)</f>
        <v>Standaard</v>
      </c>
      <c r="L619" s="23">
        <f>COUNTIF(A:A,bron[[#This Row],[personeelsnr]])</f>
        <v>3</v>
      </c>
    </row>
    <row r="620" spans="1:12" hidden="1" x14ac:dyDescent="0.25">
      <c r="A620" s="20">
        <v>32091</v>
      </c>
      <c r="B620" t="str">
        <f>VLOOKUP(bron[[#This Row],[personeelsnr]],[1]Blad1!$A:$H,2,FALSE)</f>
        <v>Köroglu Ercan</v>
      </c>
      <c r="C620" t="str">
        <f>VLOOKUP(bron[[#This Row],[personeelsnr]],[1]Blad1!$A:$H,3,FALSE)</f>
        <v>Köroglu</v>
      </c>
      <c r="D620" t="str">
        <f>VLOOKUP(bron[[#This Row],[personeelsnr]],[1]Blad1!$A:$H,4,FALSE)</f>
        <v>Ercan</v>
      </c>
      <c r="E620" s="2" t="str">
        <f>VLOOKUP(bron[[#This Row],[personeelsnr]],[1]Blad1!$A:$H,8,FALSE)</f>
        <v>De Rick Kenneth</v>
      </c>
      <c r="F620" s="3">
        <v>45722</v>
      </c>
      <c r="G620" s="5" t="s">
        <v>909</v>
      </c>
      <c r="H620" t="s">
        <v>8</v>
      </c>
      <c r="I620" s="4">
        <v>5911</v>
      </c>
      <c r="J620" s="23" t="str">
        <f>VLOOKUP(bron[[#This Row],[voertuig]],Voertuigen!A:C,3,FALSE)</f>
        <v>Bus</v>
      </c>
      <c r="K620" s="23" t="str">
        <f>VLOOKUP(bron[[#This Row],[voertuig]],Voertuigen!A:C,2,FALSE)</f>
        <v>Standaard</v>
      </c>
      <c r="L620" s="23">
        <f>COUNTIF(A:A,bron[[#This Row],[personeelsnr]])</f>
        <v>1</v>
      </c>
    </row>
    <row r="621" spans="1:12" hidden="1" x14ac:dyDescent="0.25">
      <c r="A621" s="20">
        <v>41092</v>
      </c>
      <c r="B621" t="str">
        <f>VLOOKUP(bron[[#This Row],[personeelsnr]],[1]Blad1!$A:$H,2,FALSE)</f>
        <v>De Keyser Dorien</v>
      </c>
      <c r="C621" t="str">
        <f>VLOOKUP(bron[[#This Row],[personeelsnr]],[1]Blad1!$A:$H,3,FALSE)</f>
        <v>De Keyser</v>
      </c>
      <c r="D621" t="str">
        <f>VLOOKUP(bron[[#This Row],[personeelsnr]],[1]Blad1!$A:$H,4,FALSE)</f>
        <v>Dorien</v>
      </c>
      <c r="E621" s="2" t="str">
        <f>VLOOKUP(bron[[#This Row],[personeelsnr]],[1]Blad1!$A:$H,8,FALSE)</f>
        <v>De Clercq Dominique</v>
      </c>
      <c r="F621" s="3">
        <v>45722</v>
      </c>
      <c r="G621" s="5" t="s">
        <v>910</v>
      </c>
      <c r="H621" t="s">
        <v>121</v>
      </c>
      <c r="I621" s="4">
        <v>5909</v>
      </c>
      <c r="J621" s="23" t="str">
        <f>VLOOKUP(bron[[#This Row],[voertuig]],Voertuigen!A:C,3,FALSE)</f>
        <v>Bus</v>
      </c>
      <c r="K621" s="23" t="str">
        <f>VLOOKUP(bron[[#This Row],[voertuig]],Voertuigen!A:C,2,FALSE)</f>
        <v>Standaard</v>
      </c>
      <c r="L621" s="23">
        <f>COUNTIF(A:A,bron[[#This Row],[personeelsnr]])</f>
        <v>9</v>
      </c>
    </row>
    <row r="622" spans="1:12" hidden="1" x14ac:dyDescent="0.25">
      <c r="A622" s="20">
        <v>29674</v>
      </c>
      <c r="B622" t="str">
        <f>VLOOKUP(bron[[#This Row],[personeelsnr]],[1]Blad1!$A:$H,2,FALSE)</f>
        <v>Martens Geoffrey</v>
      </c>
      <c r="C622" t="str">
        <f>VLOOKUP(bron[[#This Row],[personeelsnr]],[1]Blad1!$A:$H,3,FALSE)</f>
        <v>Martens</v>
      </c>
      <c r="D622" t="str">
        <f>VLOOKUP(bron[[#This Row],[personeelsnr]],[1]Blad1!$A:$H,4,FALSE)</f>
        <v>Geoffrey</v>
      </c>
      <c r="E622" s="2" t="str">
        <f>VLOOKUP(bron[[#This Row],[personeelsnr]],[1]Blad1!$A:$H,8,FALSE)</f>
        <v>De Clercq Dominique</v>
      </c>
      <c r="F622" s="3">
        <v>45722</v>
      </c>
      <c r="G622" s="5" t="s">
        <v>911</v>
      </c>
      <c r="H622" t="s">
        <v>7</v>
      </c>
      <c r="I622" s="4">
        <v>6313</v>
      </c>
      <c r="J622" s="23" t="str">
        <f>VLOOKUP(bron[[#This Row],[voertuig]],Voertuigen!A:C,3,FALSE)</f>
        <v>Tram</v>
      </c>
      <c r="K622" s="23" t="str">
        <f>VLOOKUP(bron[[#This Row],[voertuig]],Voertuigen!A:C,2,FALSE)</f>
        <v>Hermelijn</v>
      </c>
      <c r="L622" s="23">
        <f>COUNTIF(A:A,bron[[#This Row],[personeelsnr]])</f>
        <v>1</v>
      </c>
    </row>
    <row r="623" spans="1:12" hidden="1" x14ac:dyDescent="0.25">
      <c r="A623" s="20">
        <v>16897</v>
      </c>
      <c r="B623" t="str">
        <f>VLOOKUP(bron[[#This Row],[personeelsnr]],[1]Blad1!$A:$H,2,FALSE)</f>
        <v>VandenDaele Andy</v>
      </c>
      <c r="C623" t="str">
        <f>VLOOKUP(bron[[#This Row],[personeelsnr]],[1]Blad1!$A:$H,3,FALSE)</f>
        <v>VandenDaele</v>
      </c>
      <c r="D623" t="str">
        <f>VLOOKUP(bron[[#This Row],[personeelsnr]],[1]Blad1!$A:$H,4,FALSE)</f>
        <v>Andy</v>
      </c>
      <c r="E623" s="2" t="str">
        <f>VLOOKUP(bron[[#This Row],[personeelsnr]],[1]Blad1!$A:$H,8,FALSE)</f>
        <v>Storm Steven</v>
      </c>
      <c r="F623" s="3">
        <v>45722</v>
      </c>
      <c r="G623" s="5" t="s">
        <v>912</v>
      </c>
      <c r="H623" t="s">
        <v>25</v>
      </c>
      <c r="I623" s="4">
        <v>6314</v>
      </c>
      <c r="J623" s="23" t="str">
        <f>VLOOKUP(bron[[#This Row],[voertuig]],Voertuigen!A:C,3,FALSE)</f>
        <v>Tram</v>
      </c>
      <c r="K623" s="23" t="str">
        <f>VLOOKUP(bron[[#This Row],[voertuig]],Voertuigen!A:C,2,FALSE)</f>
        <v>Hermelijn</v>
      </c>
      <c r="L623" s="23">
        <f>COUNTIF(A:A,bron[[#This Row],[personeelsnr]])</f>
        <v>2</v>
      </c>
    </row>
    <row r="624" spans="1:12" hidden="1" x14ac:dyDescent="0.25">
      <c r="A624" s="20">
        <v>25487</v>
      </c>
      <c r="B624" t="str">
        <f>VLOOKUP(bron[[#This Row],[personeelsnr]],[1]Blad1!$A:$H,2,FALSE)</f>
        <v>Devos Stefaan</v>
      </c>
      <c r="C624" t="str">
        <f>VLOOKUP(bron[[#This Row],[personeelsnr]],[1]Blad1!$A:$H,3,FALSE)</f>
        <v>Devos</v>
      </c>
      <c r="D624" t="str">
        <f>VLOOKUP(bron[[#This Row],[personeelsnr]],[1]Blad1!$A:$H,4,FALSE)</f>
        <v>Stefaan</v>
      </c>
      <c r="E624" s="2" t="str">
        <f>VLOOKUP(bron[[#This Row],[personeelsnr]],[1]Blad1!$A:$H,8,FALSE)</f>
        <v>Storm Steven</v>
      </c>
      <c r="F624" s="3">
        <v>45725</v>
      </c>
      <c r="G624" s="5" t="s">
        <v>913</v>
      </c>
      <c r="H624" t="s">
        <v>133</v>
      </c>
      <c r="I624" s="4">
        <v>6303</v>
      </c>
      <c r="J624" s="23" t="str">
        <f>VLOOKUP(bron[[#This Row],[voertuig]],Voertuigen!A:C,3,FALSE)</f>
        <v>Tram</v>
      </c>
      <c r="K624" s="23" t="str">
        <f>VLOOKUP(bron[[#This Row],[voertuig]],Voertuigen!A:C,2,FALSE)</f>
        <v>Hermelijn</v>
      </c>
      <c r="L624" s="23">
        <f>COUNTIF(A:A,bron[[#This Row],[personeelsnr]])</f>
        <v>4</v>
      </c>
    </row>
    <row r="625" spans="1:12" hidden="1" x14ac:dyDescent="0.25">
      <c r="A625" s="20">
        <v>28910</v>
      </c>
      <c r="B625" t="str">
        <f>VLOOKUP(bron[[#This Row],[personeelsnr]],[1]Blad1!$A:$H,2,FALSE)</f>
        <v>Gassa Osmane</v>
      </c>
      <c r="C625" t="str">
        <f>VLOOKUP(bron[[#This Row],[personeelsnr]],[1]Blad1!$A:$H,3,FALSE)</f>
        <v>Gassa</v>
      </c>
      <c r="D625" t="str">
        <f>VLOOKUP(bron[[#This Row],[personeelsnr]],[1]Blad1!$A:$H,4,FALSE)</f>
        <v>Osmane</v>
      </c>
      <c r="E625" s="2" t="str">
        <f>VLOOKUP(bron[[#This Row],[personeelsnr]],[1]Blad1!$A:$H,8,FALSE)</f>
        <v>Van Der Beken Bart</v>
      </c>
      <c r="F625" s="3">
        <v>45725</v>
      </c>
      <c r="G625" s="5" t="s">
        <v>914</v>
      </c>
      <c r="H625" t="s">
        <v>115</v>
      </c>
      <c r="I625" s="4">
        <v>5040</v>
      </c>
      <c r="J625" s="23" t="str">
        <f>VLOOKUP(bron[[#This Row],[voertuig]],Voertuigen!A:C,3,FALSE)</f>
        <v>Bus</v>
      </c>
      <c r="K625" s="23" t="str">
        <f>VLOOKUP(bron[[#This Row],[voertuig]],Voertuigen!A:C,2,FALSE)</f>
        <v>Gelede</v>
      </c>
      <c r="L625" s="23">
        <f>COUNTIF(A:A,bron[[#This Row],[personeelsnr]])</f>
        <v>2</v>
      </c>
    </row>
    <row r="626" spans="1:12" hidden="1" x14ac:dyDescent="0.25">
      <c r="A626" s="20">
        <v>40939</v>
      </c>
      <c r="B626" t="str">
        <f>VLOOKUP(bron[[#This Row],[personeelsnr]],[1]Blad1!$A:$H,2,FALSE)</f>
        <v>Cisse Sayon</v>
      </c>
      <c r="C626" t="str">
        <f>VLOOKUP(bron[[#This Row],[personeelsnr]],[1]Blad1!$A:$H,3,FALSE)</f>
        <v>Cisse</v>
      </c>
      <c r="D626" t="str">
        <f>VLOOKUP(bron[[#This Row],[personeelsnr]],[1]Blad1!$A:$H,4,FALSE)</f>
        <v>Sayon</v>
      </c>
      <c r="E626" s="2" t="str">
        <f>VLOOKUP(bron[[#This Row],[personeelsnr]],[1]Blad1!$A:$H,8,FALSE)</f>
        <v>De Rick Kenneth</v>
      </c>
      <c r="F626" s="3">
        <v>45725</v>
      </c>
      <c r="G626" s="5" t="s">
        <v>915</v>
      </c>
      <c r="H626" t="s">
        <v>10</v>
      </c>
      <c r="I626" s="4">
        <v>5932</v>
      </c>
      <c r="J626" s="23" t="str">
        <f>VLOOKUP(bron[[#This Row],[voertuig]],Voertuigen!A:C,3,FALSE)</f>
        <v>Bus</v>
      </c>
      <c r="K626" s="23" t="str">
        <f>VLOOKUP(bron[[#This Row],[voertuig]],Voertuigen!A:C,2,FALSE)</f>
        <v>Standaard</v>
      </c>
      <c r="L626" s="23">
        <f>COUNTIF(A:A,bron[[#This Row],[personeelsnr]])</f>
        <v>4</v>
      </c>
    </row>
    <row r="627" spans="1:12" hidden="1" x14ac:dyDescent="0.25">
      <c r="A627" s="20">
        <v>35645</v>
      </c>
      <c r="B627" t="str">
        <f>VLOOKUP(bron[[#This Row],[personeelsnr]],[1]Blad1!$A:$H,2,FALSE)</f>
        <v>Jalili Yaseeb</v>
      </c>
      <c r="C627" t="str">
        <f>VLOOKUP(bron[[#This Row],[personeelsnr]],[1]Blad1!$A:$H,3,FALSE)</f>
        <v>Jalili</v>
      </c>
      <c r="D627" t="str">
        <f>VLOOKUP(bron[[#This Row],[personeelsnr]],[1]Blad1!$A:$H,4,FALSE)</f>
        <v>Yaseeb</v>
      </c>
      <c r="E627" s="2" t="str">
        <f>VLOOKUP(bron[[#This Row],[personeelsnr]],[1]Blad1!$A:$H,8,FALSE)</f>
        <v>Storm Steven</v>
      </c>
      <c r="F627" s="3">
        <v>45726</v>
      </c>
      <c r="G627" s="5" t="s">
        <v>916</v>
      </c>
      <c r="H627" t="s">
        <v>19</v>
      </c>
      <c r="I627" s="4">
        <v>5938</v>
      </c>
      <c r="J627" s="23" t="str">
        <f>VLOOKUP(bron[[#This Row],[voertuig]],Voertuigen!A:C,3,FALSE)</f>
        <v>Bus</v>
      </c>
      <c r="K627" s="23" t="str">
        <f>VLOOKUP(bron[[#This Row],[voertuig]],Voertuigen!A:C,2,FALSE)</f>
        <v>Standaard</v>
      </c>
      <c r="L627" s="23">
        <f>COUNTIF(A:A,bron[[#This Row],[personeelsnr]])</f>
        <v>4</v>
      </c>
    </row>
    <row r="628" spans="1:12" hidden="1" x14ac:dyDescent="0.25">
      <c r="A628" s="20">
        <v>40138</v>
      </c>
      <c r="B628" t="str">
        <f>VLOOKUP(bron[[#This Row],[personeelsnr]],[1]Blad1!$A:$H,2,FALSE)</f>
        <v>Moerman Tjimmy</v>
      </c>
      <c r="C628" t="str">
        <f>VLOOKUP(bron[[#This Row],[personeelsnr]],[1]Blad1!$A:$H,3,FALSE)</f>
        <v>Moerman</v>
      </c>
      <c r="D628" t="str">
        <f>VLOOKUP(bron[[#This Row],[personeelsnr]],[1]Blad1!$A:$H,4,FALSE)</f>
        <v>Tjimmy</v>
      </c>
      <c r="E628" s="2" t="str">
        <f>VLOOKUP(bron[[#This Row],[personeelsnr]],[1]Blad1!$A:$H,8,FALSE)</f>
        <v>Rotty Christoff</v>
      </c>
      <c r="F628" s="3">
        <v>45727</v>
      </c>
      <c r="G628" s="5" t="s">
        <v>917</v>
      </c>
      <c r="H628" t="s">
        <v>17</v>
      </c>
      <c r="I628" s="4">
        <v>5325</v>
      </c>
      <c r="J628" s="23" t="str">
        <f>VLOOKUP(bron[[#This Row],[voertuig]],Voertuigen!A:C,3,FALSE)</f>
        <v>Bus</v>
      </c>
      <c r="K628" s="23" t="str">
        <f>VLOOKUP(bron[[#This Row],[voertuig]],Voertuigen!A:C,2,FALSE)</f>
        <v>Gelede</v>
      </c>
      <c r="L628" s="23">
        <f>COUNTIF(A:A,bron[[#This Row],[personeelsnr]])</f>
        <v>10</v>
      </c>
    </row>
    <row r="629" spans="1:12" hidden="1" x14ac:dyDescent="0.25">
      <c r="A629" s="20">
        <v>39532</v>
      </c>
      <c r="B629" t="str">
        <f>VLOOKUP(bron[[#This Row],[personeelsnr]],[1]Blad1!$A:$H,2,FALSE)</f>
        <v>Sahin Orhan</v>
      </c>
      <c r="C629" t="str">
        <f>VLOOKUP(bron[[#This Row],[personeelsnr]],[1]Blad1!$A:$H,3,FALSE)</f>
        <v>Sahin</v>
      </c>
      <c r="D629" t="str">
        <f>VLOOKUP(bron[[#This Row],[personeelsnr]],[1]Blad1!$A:$H,4,FALSE)</f>
        <v>Orhan</v>
      </c>
      <c r="E629" s="2" t="str">
        <f>VLOOKUP(bron[[#This Row],[personeelsnr]],[1]Blad1!$A:$H,8,FALSE)</f>
        <v>Rotty Christoff</v>
      </c>
      <c r="F629" s="6">
        <v>45728</v>
      </c>
      <c r="G629" s="5" t="s">
        <v>918</v>
      </c>
      <c r="H629" t="s">
        <v>23</v>
      </c>
      <c r="I629" s="4">
        <v>5237</v>
      </c>
      <c r="J629" s="23" t="str">
        <f>VLOOKUP(bron[[#This Row],[voertuig]],Voertuigen!A:C,3,FALSE)</f>
        <v>Bus</v>
      </c>
      <c r="K629" s="23" t="str">
        <f>VLOOKUP(bron[[#This Row],[voertuig]],Voertuigen!A:C,2,FALSE)</f>
        <v>Gelede</v>
      </c>
      <c r="L629" s="23">
        <f>COUNTIF(A:A,bron[[#This Row],[personeelsnr]])</f>
        <v>7</v>
      </c>
    </row>
    <row r="630" spans="1:12" hidden="1" x14ac:dyDescent="0.25">
      <c r="A630" s="20">
        <v>35379</v>
      </c>
      <c r="B630" t="str">
        <f>VLOOKUP(bron[[#This Row],[personeelsnr]],[1]Blad1!$A:$H,2,FALSE)</f>
        <v>Engels Sam</v>
      </c>
      <c r="C630" t="str">
        <f>VLOOKUP(bron[[#This Row],[personeelsnr]],[1]Blad1!$A:$H,3,FALSE)</f>
        <v>Engels</v>
      </c>
      <c r="D630" t="str">
        <f>VLOOKUP(bron[[#This Row],[personeelsnr]],[1]Blad1!$A:$H,4,FALSE)</f>
        <v>Sam</v>
      </c>
      <c r="E630" s="2" t="str">
        <f>VLOOKUP(bron[[#This Row],[personeelsnr]],[1]Blad1!$A:$H,8,FALSE)</f>
        <v>Vanhoe Els</v>
      </c>
      <c r="F630" s="3">
        <v>45729</v>
      </c>
      <c r="G630" s="5" t="s">
        <v>919</v>
      </c>
      <c r="H630" t="s">
        <v>78</v>
      </c>
      <c r="I630" s="4">
        <v>5240</v>
      </c>
      <c r="J630" s="23" t="str">
        <f>VLOOKUP(bron[[#This Row],[voertuig]],Voertuigen!A:C,3,FALSE)</f>
        <v>Bus</v>
      </c>
      <c r="K630" s="23" t="str">
        <f>VLOOKUP(bron[[#This Row],[voertuig]],Voertuigen!A:C,2,FALSE)</f>
        <v>Gelede</v>
      </c>
      <c r="L630" s="23">
        <f>COUNTIF(A:A,bron[[#This Row],[personeelsnr]])</f>
        <v>2</v>
      </c>
    </row>
    <row r="631" spans="1:12" hidden="1" x14ac:dyDescent="0.25">
      <c r="A631" s="20">
        <v>37662</v>
      </c>
      <c r="B631" t="str">
        <f>VLOOKUP(bron[[#This Row],[personeelsnr]],[1]Blad1!$A:$H,2,FALSE)</f>
        <v>Van den Meerssche Steven</v>
      </c>
      <c r="C631" t="str">
        <f>VLOOKUP(bron[[#This Row],[personeelsnr]],[1]Blad1!$A:$H,3,FALSE)</f>
        <v>Van den Meerssche</v>
      </c>
      <c r="D631" t="str">
        <f>VLOOKUP(bron[[#This Row],[personeelsnr]],[1]Blad1!$A:$H,4,FALSE)</f>
        <v>Steven</v>
      </c>
      <c r="E631" s="2" t="str">
        <f>VLOOKUP(bron[[#This Row],[personeelsnr]],[1]Blad1!$A:$H,8,FALSE)</f>
        <v>Van Der Beken Bart</v>
      </c>
      <c r="F631" s="3">
        <v>45729</v>
      </c>
      <c r="G631" s="5" t="s">
        <v>920</v>
      </c>
      <c r="H631" t="s">
        <v>83</v>
      </c>
      <c r="I631" s="4">
        <v>5915</v>
      </c>
      <c r="J631" s="23" t="str">
        <f>VLOOKUP(bron[[#This Row],[voertuig]],Voertuigen!A:C,3,FALSE)</f>
        <v>Bus</v>
      </c>
      <c r="K631" s="23" t="str">
        <f>VLOOKUP(bron[[#This Row],[voertuig]],Voertuigen!A:C,2,FALSE)</f>
        <v>Standaard</v>
      </c>
      <c r="L631" s="23">
        <f>COUNTIF(A:A,bron[[#This Row],[personeelsnr]])</f>
        <v>9</v>
      </c>
    </row>
    <row r="632" spans="1:12" hidden="1" x14ac:dyDescent="0.25">
      <c r="A632" s="20">
        <v>35495</v>
      </c>
      <c r="B632" t="str">
        <f>VLOOKUP(bron[[#This Row],[personeelsnr]],[1]Blad1!$A:$H,2,FALSE)</f>
        <v>Razzaz Mahmoud</v>
      </c>
      <c r="C632" t="str">
        <f>VLOOKUP(bron[[#This Row],[personeelsnr]],[1]Blad1!$A:$H,3,FALSE)</f>
        <v>Razzaz</v>
      </c>
      <c r="D632" t="str">
        <f>VLOOKUP(bron[[#This Row],[personeelsnr]],[1]Blad1!$A:$H,4,FALSE)</f>
        <v>Mahmoud</v>
      </c>
      <c r="E632" s="2" t="str">
        <f>VLOOKUP(bron[[#This Row],[personeelsnr]],[1]Blad1!$A:$H,8,FALSE)</f>
        <v>De Rick Kenneth</v>
      </c>
      <c r="F632" s="3">
        <v>45731</v>
      </c>
      <c r="G632" s="5" t="s">
        <v>921</v>
      </c>
      <c r="H632" t="s">
        <v>74</v>
      </c>
      <c r="I632" s="4">
        <v>6326</v>
      </c>
      <c r="J632" s="23" t="str">
        <f>VLOOKUP(bron[[#This Row],[voertuig]],Voertuigen!A:C,3,FALSE)</f>
        <v>Tram</v>
      </c>
      <c r="K632" s="23" t="str">
        <f>VLOOKUP(bron[[#This Row],[voertuig]],Voertuigen!A:C,2,FALSE)</f>
        <v>Hermelijn</v>
      </c>
      <c r="L632" s="23">
        <f>COUNTIF(A:A,bron[[#This Row],[personeelsnr]])</f>
        <v>1</v>
      </c>
    </row>
    <row r="633" spans="1:12" hidden="1" x14ac:dyDescent="0.25">
      <c r="A633" s="22">
        <v>41246</v>
      </c>
      <c r="B633" t="str">
        <f>VLOOKUP(bron[[#This Row],[personeelsnr]],[1]Blad1!$A:$H,2,FALSE)</f>
        <v>Van Holsbeeck Yana</v>
      </c>
      <c r="C633" t="str">
        <f>VLOOKUP(bron[[#This Row],[personeelsnr]],[1]Blad1!$A:$H,3,FALSE)</f>
        <v>Van Holsbeeck</v>
      </c>
      <c r="D633" t="str">
        <f>VLOOKUP(bron[[#This Row],[personeelsnr]],[1]Blad1!$A:$H,4,FALSE)</f>
        <v>Yana</v>
      </c>
      <c r="E633" s="2" t="str">
        <f>VLOOKUP(bron[[#This Row],[personeelsnr]],[1]Blad1!$A:$H,8,FALSE)</f>
        <v>De Clercq Dominique</v>
      </c>
      <c r="F633" s="8">
        <v>45732</v>
      </c>
      <c r="G633" s="9" t="s">
        <v>922</v>
      </c>
      <c r="H633" s="7" t="s">
        <v>82</v>
      </c>
      <c r="I633" s="4">
        <v>5928</v>
      </c>
      <c r="J633" s="23" t="str">
        <f>VLOOKUP(bron[[#This Row],[voertuig]],Voertuigen!A:C,3,FALSE)</f>
        <v>Bus</v>
      </c>
      <c r="K633" s="23" t="str">
        <f>VLOOKUP(bron[[#This Row],[voertuig]],Voertuigen!A:C,2,FALSE)</f>
        <v>Standaard</v>
      </c>
      <c r="L633" s="23">
        <f>COUNTIF(A:A,bron[[#This Row],[personeelsnr]])</f>
        <v>3</v>
      </c>
    </row>
    <row r="634" spans="1:12" hidden="1" x14ac:dyDescent="0.25">
      <c r="A634" s="20">
        <v>36635</v>
      </c>
      <c r="B634" t="str">
        <f>VLOOKUP(bron[[#This Row],[personeelsnr]],[1]Blad1!$A:$H,2,FALSE)</f>
        <v>Fadel Husam</v>
      </c>
      <c r="C634" t="str">
        <f>VLOOKUP(bron[[#This Row],[personeelsnr]],[1]Blad1!$A:$H,3,FALSE)</f>
        <v>Fadel</v>
      </c>
      <c r="D634" t="str">
        <f>VLOOKUP(bron[[#This Row],[personeelsnr]],[1]Blad1!$A:$H,4,FALSE)</f>
        <v>Husam</v>
      </c>
      <c r="E634" s="2" t="str">
        <f>VLOOKUP(bron[[#This Row],[personeelsnr]],[1]Blad1!$A:$H,8,FALSE)</f>
        <v>De Rick Kenneth</v>
      </c>
      <c r="F634" s="3">
        <v>45733</v>
      </c>
      <c r="G634" s="5" t="s">
        <v>923</v>
      </c>
      <c r="H634" t="s">
        <v>72</v>
      </c>
      <c r="I634" s="4">
        <v>6331</v>
      </c>
      <c r="J634" s="23" t="str">
        <f>VLOOKUP(bron[[#This Row],[voertuig]],Voertuigen!A:C,3,FALSE)</f>
        <v>Tram</v>
      </c>
      <c r="K634" s="23" t="str">
        <f>VLOOKUP(bron[[#This Row],[voertuig]],Voertuigen!A:C,2,FALSE)</f>
        <v>Hermelijn</v>
      </c>
      <c r="L634" s="23">
        <f>COUNTIF(A:A,bron[[#This Row],[personeelsnr]])</f>
        <v>4</v>
      </c>
    </row>
    <row r="635" spans="1:12" hidden="1" x14ac:dyDescent="0.25">
      <c r="A635" s="20">
        <v>35246</v>
      </c>
      <c r="B635" t="str">
        <f>VLOOKUP(bron[[#This Row],[personeelsnr]],[1]Blad1!$A:$H,2,FALSE)</f>
        <v>De Meyer Karel</v>
      </c>
      <c r="C635" t="str">
        <f>VLOOKUP(bron[[#This Row],[personeelsnr]],[1]Blad1!$A:$H,3,FALSE)</f>
        <v>De Meyer</v>
      </c>
      <c r="D635" t="str">
        <f>VLOOKUP(bron[[#This Row],[personeelsnr]],[1]Blad1!$A:$H,4,FALSE)</f>
        <v>Karel</v>
      </c>
      <c r="E635" s="2" t="str">
        <f>VLOOKUP(bron[[#This Row],[personeelsnr]],[1]Blad1!$A:$H,8,FALSE)</f>
        <v>Vanhoe Els</v>
      </c>
      <c r="F635" s="3">
        <v>45734</v>
      </c>
      <c r="G635" s="5" t="s">
        <v>924</v>
      </c>
      <c r="H635" t="s">
        <v>33</v>
      </c>
      <c r="I635" s="4">
        <v>5922</v>
      </c>
      <c r="J635" s="23" t="str">
        <f>VLOOKUP(bron[[#This Row],[voertuig]],Voertuigen!A:C,3,FALSE)</f>
        <v>Bus</v>
      </c>
      <c r="K635" s="23" t="str">
        <f>VLOOKUP(bron[[#This Row],[voertuig]],Voertuigen!A:C,2,FALSE)</f>
        <v>Standaard</v>
      </c>
      <c r="L635" s="23">
        <f>COUNTIF(A:A,bron[[#This Row],[personeelsnr]])</f>
        <v>2</v>
      </c>
    </row>
    <row r="636" spans="1:12" hidden="1" x14ac:dyDescent="0.25">
      <c r="A636" s="20">
        <v>41012</v>
      </c>
      <c r="B636" t="str">
        <f>VLOOKUP(bron[[#This Row],[personeelsnr]],[1]Blad1!$A:$H,2,FALSE)</f>
        <v>Natad Younes</v>
      </c>
      <c r="C636" t="str">
        <f>VLOOKUP(bron[[#This Row],[personeelsnr]],[1]Blad1!$A:$H,3,FALSE)</f>
        <v>Natad</v>
      </c>
      <c r="D636" t="str">
        <f>VLOOKUP(bron[[#This Row],[personeelsnr]],[1]Blad1!$A:$H,4,FALSE)</f>
        <v>Younes</v>
      </c>
      <c r="E636" s="2" t="str">
        <f>VLOOKUP(bron[[#This Row],[personeelsnr]],[1]Blad1!$A:$H,8,FALSE)</f>
        <v>Vanhoe Els</v>
      </c>
      <c r="F636" s="3">
        <v>45734</v>
      </c>
      <c r="G636" s="5" t="s">
        <v>925</v>
      </c>
      <c r="H636" t="s">
        <v>12</v>
      </c>
      <c r="I636" s="4">
        <v>5045</v>
      </c>
      <c r="J636" s="23" t="str">
        <f>VLOOKUP(bron[[#This Row],[voertuig]],Voertuigen!A:C,3,FALSE)</f>
        <v>Bus</v>
      </c>
      <c r="K636" s="23" t="str">
        <f>VLOOKUP(bron[[#This Row],[voertuig]],Voertuigen!A:C,2,FALSE)</f>
        <v>Gelede</v>
      </c>
      <c r="L636" s="23">
        <f>COUNTIF(A:A,bron[[#This Row],[personeelsnr]])</f>
        <v>2</v>
      </c>
    </row>
    <row r="637" spans="1:12" hidden="1" x14ac:dyDescent="0.25">
      <c r="A637" s="20">
        <v>41064</v>
      </c>
      <c r="B637" t="str">
        <f>VLOOKUP(bron[[#This Row],[personeelsnr]],[1]Blad1!$A:$H,2,FALSE)</f>
        <v>Ardic Atilla</v>
      </c>
      <c r="C637" t="str">
        <f>VLOOKUP(bron[[#This Row],[personeelsnr]],[1]Blad1!$A:$H,3,FALSE)</f>
        <v>Ardic</v>
      </c>
      <c r="D637" t="str">
        <f>VLOOKUP(bron[[#This Row],[personeelsnr]],[1]Blad1!$A:$H,4,FALSE)</f>
        <v>Atilla</v>
      </c>
      <c r="E637" s="2" t="str">
        <f>VLOOKUP(bron[[#This Row],[personeelsnr]],[1]Blad1!$A:$H,8,FALSE)</f>
        <v>De Clercq Dominique</v>
      </c>
      <c r="F637" s="3">
        <v>45734</v>
      </c>
      <c r="G637" s="5" t="s">
        <v>926</v>
      </c>
      <c r="H637" t="s">
        <v>8</v>
      </c>
      <c r="I637" s="4">
        <v>2549</v>
      </c>
      <c r="J637" s="23" t="str">
        <f>VLOOKUP(bron[[#This Row],[voertuig]],Voertuigen!A:C,3,FALSE)</f>
        <v>Bus</v>
      </c>
      <c r="K637" s="23" t="str">
        <f>VLOOKUP(bron[[#This Row],[voertuig]],Voertuigen!A:C,2,FALSE)</f>
        <v>E-bus</v>
      </c>
      <c r="L637" s="23">
        <f>COUNTIF(A:A,bron[[#This Row],[personeelsnr]])</f>
        <v>2</v>
      </c>
    </row>
    <row r="638" spans="1:12" hidden="1" x14ac:dyDescent="0.25">
      <c r="A638" s="20">
        <v>41092</v>
      </c>
      <c r="B638" t="str">
        <f>VLOOKUP(bron[[#This Row],[personeelsnr]],[1]Blad1!$A:$H,2,FALSE)</f>
        <v>De Keyser Dorien</v>
      </c>
      <c r="C638" t="str">
        <f>VLOOKUP(bron[[#This Row],[personeelsnr]],[1]Blad1!$A:$H,3,FALSE)</f>
        <v>De Keyser</v>
      </c>
      <c r="D638" t="str">
        <f>VLOOKUP(bron[[#This Row],[personeelsnr]],[1]Blad1!$A:$H,4,FALSE)</f>
        <v>Dorien</v>
      </c>
      <c r="E638" s="2" t="str">
        <f>VLOOKUP(bron[[#This Row],[personeelsnr]],[1]Blad1!$A:$H,8,FALSE)</f>
        <v>De Clercq Dominique</v>
      </c>
      <c r="F638" s="3">
        <v>45734</v>
      </c>
      <c r="G638" s="5" t="s">
        <v>927</v>
      </c>
      <c r="H638" t="s">
        <v>55</v>
      </c>
      <c r="I638" s="4">
        <v>5770</v>
      </c>
      <c r="J638" s="23" t="str">
        <f>VLOOKUP(bron[[#This Row],[voertuig]],Voertuigen!A:C,3,FALSE)</f>
        <v>Bus</v>
      </c>
      <c r="K638" s="23" t="str">
        <f>VLOOKUP(bron[[#This Row],[voertuig]],Voertuigen!A:C,2,FALSE)</f>
        <v>Standaard</v>
      </c>
      <c r="L638" s="23">
        <f>COUNTIF(A:A,bron[[#This Row],[personeelsnr]])</f>
        <v>9</v>
      </c>
    </row>
    <row r="639" spans="1:12" hidden="1" x14ac:dyDescent="0.25">
      <c r="A639" s="20">
        <v>35216</v>
      </c>
      <c r="B639" t="str">
        <f>VLOOKUP(bron[[#This Row],[personeelsnr]],[1]Blad1!$A:$H,2,FALSE)</f>
        <v>Coban Mehmet</v>
      </c>
      <c r="C639" t="str">
        <f>VLOOKUP(bron[[#This Row],[personeelsnr]],[1]Blad1!$A:$H,3,FALSE)</f>
        <v>Coban</v>
      </c>
      <c r="D639" t="str">
        <f>VLOOKUP(bron[[#This Row],[personeelsnr]],[1]Blad1!$A:$H,4,FALSE)</f>
        <v>Mehmet</v>
      </c>
      <c r="E639" s="2" t="str">
        <f>VLOOKUP(bron[[#This Row],[personeelsnr]],[1]Blad1!$A:$H,8,FALSE)</f>
        <v>Van De Velde Lucie</v>
      </c>
      <c r="F639" s="3">
        <v>45735</v>
      </c>
      <c r="G639" s="5" t="s">
        <v>928</v>
      </c>
      <c r="H639" t="s">
        <v>148</v>
      </c>
      <c r="I639" s="4">
        <v>5924</v>
      </c>
      <c r="J639" s="23" t="str">
        <f>VLOOKUP(bron[[#This Row],[voertuig]],Voertuigen!A:C,3,FALSE)</f>
        <v>Bus</v>
      </c>
      <c r="K639" s="23" t="str">
        <f>VLOOKUP(bron[[#This Row],[voertuig]],Voertuigen!A:C,2,FALSE)</f>
        <v>Standaard</v>
      </c>
      <c r="L639" s="23">
        <f>COUNTIF(A:A,bron[[#This Row],[personeelsnr]])</f>
        <v>2</v>
      </c>
    </row>
    <row r="640" spans="1:12" hidden="1" x14ac:dyDescent="0.25">
      <c r="A640" s="20">
        <v>35450</v>
      </c>
      <c r="B640" t="str">
        <f>VLOOKUP(bron[[#This Row],[personeelsnr]],[1]Blad1!$A:$H,2,FALSE)</f>
        <v>Roos Hugo</v>
      </c>
      <c r="C640" t="str">
        <f>VLOOKUP(bron[[#This Row],[personeelsnr]],[1]Blad1!$A:$H,3,FALSE)</f>
        <v>Roos</v>
      </c>
      <c r="D640" t="str">
        <f>VLOOKUP(bron[[#This Row],[personeelsnr]],[1]Blad1!$A:$H,4,FALSE)</f>
        <v>Hugo</v>
      </c>
      <c r="E640" s="2" t="str">
        <f>VLOOKUP(bron[[#This Row],[personeelsnr]],[1]Blad1!$A:$H,8,FALSE)</f>
        <v>Dewulf Els</v>
      </c>
      <c r="F640" s="3">
        <v>45735</v>
      </c>
      <c r="G640" s="5" t="s">
        <v>929</v>
      </c>
      <c r="H640" t="s">
        <v>198</v>
      </c>
      <c r="I640" s="4">
        <v>4665</v>
      </c>
      <c r="J640" s="23" t="str">
        <f>VLOOKUP(bron[[#This Row],[voertuig]],Voertuigen!A:C,3,FALSE)</f>
        <v>Bus</v>
      </c>
      <c r="K640" s="23" t="str">
        <f>VLOOKUP(bron[[#This Row],[voertuig]],Voertuigen!A:C,2,FALSE)</f>
        <v>Citybus</v>
      </c>
      <c r="L640" s="23">
        <f>COUNTIF(A:A,bron[[#This Row],[personeelsnr]])</f>
        <v>4</v>
      </c>
    </row>
    <row r="641" spans="1:12" hidden="1" x14ac:dyDescent="0.25">
      <c r="A641" s="20">
        <v>39779</v>
      </c>
      <c r="B641" t="str">
        <f>VLOOKUP(bron[[#This Row],[personeelsnr]],[1]Blad1!$A:$H,2,FALSE)</f>
        <v>Avci Muhammet Abdullah</v>
      </c>
      <c r="C641" t="str">
        <f>VLOOKUP(bron[[#This Row],[personeelsnr]],[1]Blad1!$A:$H,3,FALSE)</f>
        <v>Avci</v>
      </c>
      <c r="D641" t="str">
        <f>VLOOKUP(bron[[#This Row],[personeelsnr]],[1]Blad1!$A:$H,4,FALSE)</f>
        <v>Muhammet Abdullah</v>
      </c>
      <c r="E641" s="2" t="str">
        <f>VLOOKUP(bron[[#This Row],[personeelsnr]],[1]Blad1!$A:$H,8,FALSE)</f>
        <v>Van Der Beken Bart</v>
      </c>
      <c r="F641" s="3">
        <v>45735</v>
      </c>
      <c r="G641" s="5" t="s">
        <v>930</v>
      </c>
      <c r="H641" t="s">
        <v>25</v>
      </c>
      <c r="I641" s="4">
        <v>5054</v>
      </c>
      <c r="J641" s="23" t="str">
        <f>VLOOKUP(bron[[#This Row],[voertuig]],Voertuigen!A:C,3,FALSE)</f>
        <v>Bus</v>
      </c>
      <c r="K641" s="23" t="str">
        <f>VLOOKUP(bron[[#This Row],[voertuig]],Voertuigen!A:C,2,FALSE)</f>
        <v>Gelede</v>
      </c>
      <c r="L641" s="23">
        <f>COUNTIF(A:A,bron[[#This Row],[personeelsnr]])</f>
        <v>7</v>
      </c>
    </row>
    <row r="642" spans="1:12" hidden="1" x14ac:dyDescent="0.25">
      <c r="A642" s="20">
        <v>11120</v>
      </c>
      <c r="B642" t="str">
        <f>VLOOKUP(bron[[#This Row],[personeelsnr]],[1]Blad1!$A:$H,2,FALSE)</f>
        <v>De Vrieze Ludo</v>
      </c>
      <c r="C642" t="str">
        <f>VLOOKUP(bron[[#This Row],[personeelsnr]],[1]Blad1!$A:$H,3,FALSE)</f>
        <v>De Vrieze</v>
      </c>
      <c r="D642" t="str">
        <f>VLOOKUP(bron[[#This Row],[personeelsnr]],[1]Blad1!$A:$H,4,FALSE)</f>
        <v>Ludo</v>
      </c>
      <c r="E642" s="2" t="str">
        <f>VLOOKUP(bron[[#This Row],[personeelsnr]],[1]Blad1!$A:$H,8,FALSE)</f>
        <v>Van De Velde Lucie</v>
      </c>
      <c r="F642" s="3">
        <v>45735</v>
      </c>
      <c r="G642" s="5" t="s">
        <v>931</v>
      </c>
      <c r="H642" t="s">
        <v>204</v>
      </c>
      <c r="I642" s="4">
        <v>6322</v>
      </c>
      <c r="J642" s="23" t="str">
        <f>VLOOKUP(bron[[#This Row],[voertuig]],Voertuigen!A:C,3,FALSE)</f>
        <v>Tram</v>
      </c>
      <c r="K642" s="23" t="str">
        <f>VLOOKUP(bron[[#This Row],[voertuig]],Voertuigen!A:C,2,FALSE)</f>
        <v>Hermelijn</v>
      </c>
      <c r="L642" s="23">
        <f>COUNTIF(A:A,bron[[#This Row],[personeelsnr]])</f>
        <v>1</v>
      </c>
    </row>
    <row r="643" spans="1:12" hidden="1" x14ac:dyDescent="0.25">
      <c r="A643" s="20">
        <v>41520</v>
      </c>
      <c r="B643" t="str">
        <f>VLOOKUP(bron[[#This Row],[personeelsnr]],[1]Blad1!$A:$H,2,FALSE)</f>
        <v>Smets Avery</v>
      </c>
      <c r="C643" t="str">
        <f>VLOOKUP(bron[[#This Row],[personeelsnr]],[1]Blad1!$A:$H,3,FALSE)</f>
        <v>Smets</v>
      </c>
      <c r="D643" t="str">
        <f>VLOOKUP(bron[[#This Row],[personeelsnr]],[1]Blad1!$A:$H,4,FALSE)</f>
        <v>Avery</v>
      </c>
      <c r="E643" s="2" t="str">
        <f>VLOOKUP(bron[[#This Row],[personeelsnr]],[1]Blad1!$A:$H,8,FALSE)</f>
        <v>Rotty Christoff</v>
      </c>
      <c r="F643" s="3">
        <v>45736</v>
      </c>
      <c r="G643" s="5" t="s">
        <v>932</v>
      </c>
      <c r="H643" t="s">
        <v>93</v>
      </c>
      <c r="I643" s="4">
        <v>8138</v>
      </c>
      <c r="J643" s="23" t="str">
        <f>VLOOKUP(bron[[#This Row],[voertuig]],Voertuigen!A:C,3,FALSE)</f>
        <v>Rijschool</v>
      </c>
      <c r="K643" s="23" t="str">
        <f>VLOOKUP(bron[[#This Row],[voertuig]],Voertuigen!A:C,2,FALSE)</f>
        <v>Rijschool</v>
      </c>
      <c r="L643" s="23">
        <f>COUNTIF(A:A,bron[[#This Row],[personeelsnr]])</f>
        <v>3</v>
      </c>
    </row>
    <row r="644" spans="1:12" hidden="1" x14ac:dyDescent="0.25">
      <c r="A644" s="20">
        <v>31600</v>
      </c>
      <c r="B644" t="str">
        <f>VLOOKUP(bron[[#This Row],[personeelsnr]],[1]Blad1!$A:$H,2,FALSE)</f>
        <v>Mertens Tom</v>
      </c>
      <c r="C644" t="str">
        <f>VLOOKUP(bron[[#This Row],[personeelsnr]],[1]Blad1!$A:$H,3,FALSE)</f>
        <v>Mertens</v>
      </c>
      <c r="D644" t="str">
        <f>VLOOKUP(bron[[#This Row],[personeelsnr]],[1]Blad1!$A:$H,4,FALSE)</f>
        <v>Tom</v>
      </c>
      <c r="E644" s="2" t="str">
        <f>VLOOKUP(bron[[#This Row],[personeelsnr]],[1]Blad1!$A:$H,8,FALSE)</f>
        <v>Dewulf Els</v>
      </c>
      <c r="F644" s="3">
        <v>45737</v>
      </c>
      <c r="G644" s="5" t="s">
        <v>933</v>
      </c>
      <c r="H644" t="s">
        <v>934</v>
      </c>
      <c r="I644" s="4">
        <v>2197</v>
      </c>
      <c r="J644" s="23" t="str">
        <f>VLOOKUP(bron[[#This Row],[voertuig]],Voertuigen!A:C,3,FALSE)</f>
        <v>Bus</v>
      </c>
      <c r="K644" s="23" t="str">
        <f>VLOOKUP(bron[[#This Row],[voertuig]],Voertuigen!A:C,2,FALSE)</f>
        <v>Gelede</v>
      </c>
      <c r="L644" s="23">
        <f>COUNTIF(A:A,bron[[#This Row],[personeelsnr]])</f>
        <v>2</v>
      </c>
    </row>
    <row r="645" spans="1:12" hidden="1" x14ac:dyDescent="0.25">
      <c r="A645" s="20">
        <v>32611</v>
      </c>
      <c r="B645" t="str">
        <f>VLOOKUP(bron[[#This Row],[personeelsnr]],[1]Blad1!$A:$H,2,FALSE)</f>
        <v>Özer Özgur</v>
      </c>
      <c r="C645" t="str">
        <f>VLOOKUP(bron[[#This Row],[personeelsnr]],[1]Blad1!$A:$H,3,FALSE)</f>
        <v>Özer</v>
      </c>
      <c r="D645" t="str">
        <f>VLOOKUP(bron[[#This Row],[personeelsnr]],[1]Blad1!$A:$H,4,FALSE)</f>
        <v>Özgur</v>
      </c>
      <c r="E645" s="2" t="str">
        <f>VLOOKUP(bron[[#This Row],[personeelsnr]],[1]Blad1!$A:$H,8,FALSE)</f>
        <v>De Rick Kenneth</v>
      </c>
      <c r="F645" s="3">
        <v>45737</v>
      </c>
      <c r="G645" s="5" t="s">
        <v>935</v>
      </c>
      <c r="H645" t="s">
        <v>43</v>
      </c>
      <c r="I645" s="4">
        <v>5922</v>
      </c>
      <c r="J645" s="23" t="str">
        <f>VLOOKUP(bron[[#This Row],[voertuig]],Voertuigen!A:C,3,FALSE)</f>
        <v>Bus</v>
      </c>
      <c r="K645" s="23" t="str">
        <f>VLOOKUP(bron[[#This Row],[voertuig]],Voertuigen!A:C,2,FALSE)</f>
        <v>Standaard</v>
      </c>
      <c r="L645" s="23">
        <f>COUNTIF(A:A,bron[[#This Row],[personeelsnr]])</f>
        <v>3</v>
      </c>
    </row>
    <row r="646" spans="1:12" hidden="1" x14ac:dyDescent="0.25">
      <c r="A646" s="20">
        <v>37809</v>
      </c>
      <c r="B646" t="str">
        <f>VLOOKUP(bron[[#This Row],[personeelsnr]],[1]Blad1!$A:$H,2,FALSE)</f>
        <v>Sturtewagen Kenny</v>
      </c>
      <c r="C646" t="str">
        <f>VLOOKUP(bron[[#This Row],[personeelsnr]],[1]Blad1!$A:$H,3,FALSE)</f>
        <v>Sturtewagen</v>
      </c>
      <c r="D646" t="str">
        <f>VLOOKUP(bron[[#This Row],[personeelsnr]],[1]Blad1!$A:$H,4,FALSE)</f>
        <v>Kenny</v>
      </c>
      <c r="E646" s="2" t="str">
        <f>VLOOKUP(bron[[#This Row],[personeelsnr]],[1]Blad1!$A:$H,8,FALSE)</f>
        <v>Storm Steven</v>
      </c>
      <c r="F646" s="3">
        <v>45740</v>
      </c>
      <c r="G646" s="5" t="s">
        <v>936</v>
      </c>
      <c r="H646" t="s">
        <v>20</v>
      </c>
      <c r="I646" s="4">
        <v>5235</v>
      </c>
      <c r="J646" s="23" t="str">
        <f>VLOOKUP(bron[[#This Row],[voertuig]],Voertuigen!A:C,3,FALSE)</f>
        <v>Bus</v>
      </c>
      <c r="K646" s="23" t="str">
        <f>VLOOKUP(bron[[#This Row],[voertuig]],Voertuigen!A:C,2,FALSE)</f>
        <v>Gelede</v>
      </c>
      <c r="L646" s="23">
        <f>COUNTIF(A:A,bron[[#This Row],[personeelsnr]])</f>
        <v>3</v>
      </c>
    </row>
    <row r="647" spans="1:12" hidden="1" x14ac:dyDescent="0.25">
      <c r="A647" s="20">
        <v>37179</v>
      </c>
      <c r="B647" t="str">
        <f>VLOOKUP(bron[[#This Row],[personeelsnr]],[1]Blad1!$A:$H,2,FALSE)</f>
        <v>Bashir Muhammad Salman</v>
      </c>
      <c r="C647" t="str">
        <f>VLOOKUP(bron[[#This Row],[personeelsnr]],[1]Blad1!$A:$H,3,FALSE)</f>
        <v>Bashir</v>
      </c>
      <c r="D647" t="str">
        <f>VLOOKUP(bron[[#This Row],[personeelsnr]],[1]Blad1!$A:$H,4,FALSE)</f>
        <v>Muhammad Salman</v>
      </c>
      <c r="E647" s="2" t="str">
        <f>VLOOKUP(bron[[#This Row],[personeelsnr]],[1]Blad1!$A:$H,8,FALSE)</f>
        <v>Van Der Beken Bart</v>
      </c>
      <c r="F647" s="3">
        <v>45742</v>
      </c>
      <c r="G647" s="5" t="s">
        <v>937</v>
      </c>
      <c r="H647" t="s">
        <v>15</v>
      </c>
      <c r="I647" s="4">
        <v>5266</v>
      </c>
      <c r="J647" s="23" t="str">
        <f>VLOOKUP(bron[[#This Row],[voertuig]],Voertuigen!A:C,3,FALSE)</f>
        <v>Bus</v>
      </c>
      <c r="K647" s="23" t="str">
        <f>VLOOKUP(bron[[#This Row],[voertuig]],Voertuigen!A:C,2,FALSE)</f>
        <v>Gelede</v>
      </c>
      <c r="L647" s="23">
        <f>COUNTIF(A:A,bron[[#This Row],[personeelsnr]])</f>
        <v>2</v>
      </c>
    </row>
    <row r="648" spans="1:12" hidden="1" x14ac:dyDescent="0.25">
      <c r="A648" s="20">
        <v>38580</v>
      </c>
      <c r="B648" t="str">
        <f>VLOOKUP(bron[[#This Row],[personeelsnr]],[1]Blad1!$A:$H,2,FALSE)</f>
        <v>Smajla Samet</v>
      </c>
      <c r="C648" t="str">
        <f>VLOOKUP(bron[[#This Row],[personeelsnr]],[1]Blad1!$A:$H,3,FALSE)</f>
        <v>Smajla</v>
      </c>
      <c r="D648" t="str">
        <f>VLOOKUP(bron[[#This Row],[personeelsnr]],[1]Blad1!$A:$H,4,FALSE)</f>
        <v>Samet</v>
      </c>
      <c r="E648" s="2" t="str">
        <f>VLOOKUP(bron[[#This Row],[personeelsnr]],[1]Blad1!$A:$H,8,FALSE)</f>
        <v>Dewulf Els</v>
      </c>
      <c r="F648" s="3">
        <v>45742</v>
      </c>
      <c r="G648" s="5" t="s">
        <v>938</v>
      </c>
      <c r="H648" t="s">
        <v>31</v>
      </c>
      <c r="I648" s="4">
        <v>5043</v>
      </c>
      <c r="J648" s="23" t="str">
        <f>VLOOKUP(bron[[#This Row],[voertuig]],Voertuigen!A:C,3,FALSE)</f>
        <v>Bus</v>
      </c>
      <c r="K648" s="23" t="str">
        <f>VLOOKUP(bron[[#This Row],[voertuig]],Voertuigen!A:C,2,FALSE)</f>
        <v>Gelede</v>
      </c>
      <c r="L648" s="23">
        <f>COUNTIF(A:A,bron[[#This Row],[personeelsnr]])</f>
        <v>2</v>
      </c>
    </row>
    <row r="649" spans="1:12" hidden="1" x14ac:dyDescent="0.25">
      <c r="A649" s="20">
        <v>31118</v>
      </c>
      <c r="B649" t="str">
        <f>VLOOKUP(bron[[#This Row],[personeelsnr]],[1]Blad1!$A:$H,2,FALSE)</f>
        <v>De Sutter Michiel</v>
      </c>
      <c r="C649" t="str">
        <f>VLOOKUP(bron[[#This Row],[personeelsnr]],[1]Blad1!$A:$H,3,FALSE)</f>
        <v>De Sutter</v>
      </c>
      <c r="D649" t="str">
        <f>VLOOKUP(bron[[#This Row],[personeelsnr]],[1]Blad1!$A:$H,4,FALSE)</f>
        <v>Michiel</v>
      </c>
      <c r="E649" s="2" t="str">
        <f>VLOOKUP(bron[[#This Row],[personeelsnr]],[1]Blad1!$A:$H,8,FALSE)</f>
        <v>Dewulf Els</v>
      </c>
      <c r="F649" s="3">
        <v>45743</v>
      </c>
      <c r="G649" s="5" t="s">
        <v>939</v>
      </c>
      <c r="H649" t="s">
        <v>341</v>
      </c>
      <c r="I649" s="4">
        <v>5922</v>
      </c>
      <c r="J649" s="23" t="str">
        <f>VLOOKUP(bron[[#This Row],[voertuig]],Voertuigen!A:C,3,FALSE)</f>
        <v>Bus</v>
      </c>
      <c r="K649" s="23" t="str">
        <f>VLOOKUP(bron[[#This Row],[voertuig]],Voertuigen!A:C,2,FALSE)</f>
        <v>Standaard</v>
      </c>
      <c r="L649" s="23">
        <f>COUNTIF(A:A,bron[[#This Row],[personeelsnr]])</f>
        <v>2</v>
      </c>
    </row>
    <row r="650" spans="1:12" hidden="1" x14ac:dyDescent="0.25">
      <c r="A650" s="20">
        <v>39581</v>
      </c>
      <c r="B650" t="str">
        <f>VLOOKUP(bron[[#This Row],[personeelsnr]],[1]Blad1!$A:$H,2,FALSE)</f>
        <v>Vandenhaute Linus</v>
      </c>
      <c r="C650" t="str">
        <f>VLOOKUP(bron[[#This Row],[personeelsnr]],[1]Blad1!$A:$H,3,FALSE)</f>
        <v>Vandenhaute</v>
      </c>
      <c r="D650" t="str">
        <f>VLOOKUP(bron[[#This Row],[personeelsnr]],[1]Blad1!$A:$H,4,FALSE)</f>
        <v>Linus</v>
      </c>
      <c r="E650" s="2" t="str">
        <f>VLOOKUP(bron[[#This Row],[personeelsnr]],[1]Blad1!$A:$H,8,FALSE)</f>
        <v>Dewulf Els</v>
      </c>
      <c r="F650" s="3">
        <v>45744</v>
      </c>
      <c r="G650" s="5" t="s">
        <v>940</v>
      </c>
      <c r="H650" t="s">
        <v>15</v>
      </c>
      <c r="I650" s="4">
        <v>5261</v>
      </c>
      <c r="J650" s="23" t="str">
        <f>VLOOKUP(bron[[#This Row],[voertuig]],Voertuigen!A:C,3,FALSE)</f>
        <v>Bus</v>
      </c>
      <c r="K650" s="23" t="str">
        <f>VLOOKUP(bron[[#This Row],[voertuig]],Voertuigen!A:C,2,FALSE)</f>
        <v>Gelede</v>
      </c>
      <c r="L650" s="23">
        <f>COUNTIF(A:A,bron[[#This Row],[personeelsnr]])</f>
        <v>5</v>
      </c>
    </row>
    <row r="651" spans="1:12" hidden="1" x14ac:dyDescent="0.25">
      <c r="A651" s="20">
        <v>36569</v>
      </c>
      <c r="B651" t="e">
        <f>VLOOKUP(bron[[#This Row],[personeelsnr]],[1]Blad1!$A:$H,2,FALSE)</f>
        <v>#N/A</v>
      </c>
      <c r="C651" t="e">
        <f>VLOOKUP(bron[[#This Row],[personeelsnr]],[1]Blad1!$A:$H,3,FALSE)</f>
        <v>#N/A</v>
      </c>
      <c r="D651" t="e">
        <f>VLOOKUP(bron[[#This Row],[personeelsnr]],[1]Blad1!$A:$H,4,FALSE)</f>
        <v>#N/A</v>
      </c>
      <c r="E651" s="2" t="s">
        <v>221</v>
      </c>
      <c r="F651" s="3">
        <v>45744</v>
      </c>
      <c r="G651" s="5" t="s">
        <v>941</v>
      </c>
      <c r="H651" t="s">
        <v>100</v>
      </c>
      <c r="I651" s="4">
        <v>6325</v>
      </c>
      <c r="J651" s="23" t="str">
        <f>VLOOKUP(bron[[#This Row],[voertuig]],Voertuigen!A:C,3,FALSE)</f>
        <v>Tram</v>
      </c>
      <c r="K651" s="23" t="str">
        <f>VLOOKUP(bron[[#This Row],[voertuig]],Voertuigen!A:C,2,FALSE)</f>
        <v>Hermelijn</v>
      </c>
      <c r="L651" s="23">
        <f>COUNTIF(A:A,bron[[#This Row],[personeelsnr]])</f>
        <v>6</v>
      </c>
    </row>
    <row r="652" spans="1:12" hidden="1" x14ac:dyDescent="0.25">
      <c r="A652" s="20">
        <v>36358</v>
      </c>
      <c r="B652" t="str">
        <f>VLOOKUP(bron[[#This Row],[personeelsnr]],[1]Blad1!$A:$H,2,FALSE)</f>
        <v>De Nys Elise</v>
      </c>
      <c r="C652" t="str">
        <f>VLOOKUP(bron[[#This Row],[personeelsnr]],[1]Blad1!$A:$H,3,FALSE)</f>
        <v>De Nys</v>
      </c>
      <c r="D652" t="str">
        <f>VLOOKUP(bron[[#This Row],[personeelsnr]],[1]Blad1!$A:$H,4,FALSE)</f>
        <v>Elise</v>
      </c>
      <c r="E652" s="2" t="str">
        <f>VLOOKUP(bron[[#This Row],[personeelsnr]],[1]Blad1!$A:$H,8,FALSE)</f>
        <v>Dewulf Els</v>
      </c>
      <c r="F652" s="3">
        <v>45744</v>
      </c>
      <c r="G652" s="5" t="s">
        <v>942</v>
      </c>
      <c r="H652" t="s">
        <v>37</v>
      </c>
      <c r="I652" s="4">
        <v>6370</v>
      </c>
      <c r="J652" s="23" t="str">
        <f>VLOOKUP(bron[[#This Row],[voertuig]],Voertuigen!A:C,3,FALSE)</f>
        <v>Tram</v>
      </c>
      <c r="K652" s="23" t="str">
        <f>VLOOKUP(bron[[#This Row],[voertuig]],Voertuigen!A:C,2,FALSE)</f>
        <v>Flexity</v>
      </c>
      <c r="L652" s="23">
        <f>COUNTIF(A:A,bron[[#This Row],[personeelsnr]])</f>
        <v>2</v>
      </c>
    </row>
    <row r="653" spans="1:12" hidden="1" x14ac:dyDescent="0.25">
      <c r="A653" s="20">
        <v>31668</v>
      </c>
      <c r="B653" t="str">
        <f>VLOOKUP(bron[[#This Row],[personeelsnr]],[1]Blad1!$A:$H,2,FALSE)</f>
        <v>Weemhof Maurice</v>
      </c>
      <c r="C653" t="str">
        <f>VLOOKUP(bron[[#This Row],[personeelsnr]],[1]Blad1!$A:$H,3,FALSE)</f>
        <v>Weemhof</v>
      </c>
      <c r="D653" t="str">
        <f>VLOOKUP(bron[[#This Row],[personeelsnr]],[1]Blad1!$A:$H,4,FALSE)</f>
        <v>Maurice</v>
      </c>
      <c r="E653" s="2" t="str">
        <f>VLOOKUP(bron[[#This Row],[personeelsnr]],[1]Blad1!$A:$H,8,FALSE)</f>
        <v>De Clercq Dominique</v>
      </c>
      <c r="F653" s="3">
        <v>45745</v>
      </c>
      <c r="G653" s="5" t="s">
        <v>943</v>
      </c>
      <c r="H653" t="s">
        <v>8</v>
      </c>
      <c r="I653" s="4">
        <v>5918</v>
      </c>
      <c r="J653" s="23" t="str">
        <f>VLOOKUP(bron[[#This Row],[voertuig]],Voertuigen!A:C,3,FALSE)</f>
        <v>Bus</v>
      </c>
      <c r="K653" s="23" t="str">
        <f>VLOOKUP(bron[[#This Row],[voertuig]],Voertuigen!A:C,2,FALSE)</f>
        <v>Standaard</v>
      </c>
      <c r="L653" s="23">
        <f>COUNTIF(A:A,bron[[#This Row],[personeelsnr]])</f>
        <v>5</v>
      </c>
    </row>
    <row r="654" spans="1:12" hidden="1" x14ac:dyDescent="0.25">
      <c r="A654" s="20">
        <v>17566</v>
      </c>
      <c r="B654" t="str">
        <f>VLOOKUP(bron[[#This Row],[personeelsnr]],[1]Blad1!$A:$H,2,FALSE)</f>
        <v>Praet Reginald</v>
      </c>
      <c r="C654" t="str">
        <f>VLOOKUP(bron[[#This Row],[personeelsnr]],[1]Blad1!$A:$H,3,FALSE)</f>
        <v>Praet</v>
      </c>
      <c r="D654" t="str">
        <f>VLOOKUP(bron[[#This Row],[personeelsnr]],[1]Blad1!$A:$H,4,FALSE)</f>
        <v>Reginald</v>
      </c>
      <c r="E654" s="2" t="str">
        <f>VLOOKUP(bron[[#This Row],[personeelsnr]],[1]Blad1!$A:$H,8,FALSE)</f>
        <v>Van Der Beken Bart</v>
      </c>
      <c r="F654" s="3">
        <v>45749</v>
      </c>
      <c r="G654" s="5" t="s">
        <v>944</v>
      </c>
      <c r="H654" t="s">
        <v>13</v>
      </c>
      <c r="I654" s="4">
        <v>6324</v>
      </c>
      <c r="J654" s="23" t="str">
        <f>VLOOKUP(bron[[#This Row],[voertuig]],Voertuigen!A:C,3,FALSE)</f>
        <v>Tram</v>
      </c>
      <c r="K654" s="23" t="str">
        <f>VLOOKUP(bron[[#This Row],[voertuig]],Voertuigen!A:C,2,FALSE)</f>
        <v>Hermelijn</v>
      </c>
      <c r="L654" s="23">
        <f>COUNTIF(A:A,bron[[#This Row],[personeelsnr]])</f>
        <v>2</v>
      </c>
    </row>
    <row r="655" spans="1:12" hidden="1" x14ac:dyDescent="0.25">
      <c r="A655" s="20">
        <v>32620</v>
      </c>
      <c r="B655" t="str">
        <f>VLOOKUP(bron[[#This Row],[personeelsnr]],[1]Blad1!$A:$H,2,FALSE)</f>
        <v>Saey Elias</v>
      </c>
      <c r="C655" t="str">
        <f>VLOOKUP(bron[[#This Row],[personeelsnr]],[1]Blad1!$A:$H,3,FALSE)</f>
        <v>Saey</v>
      </c>
      <c r="D655" t="str">
        <f>VLOOKUP(bron[[#This Row],[personeelsnr]],[1]Blad1!$A:$H,4,FALSE)</f>
        <v>Elias</v>
      </c>
      <c r="E655" s="2" t="str">
        <f>VLOOKUP(bron[[#This Row],[personeelsnr]],[1]Blad1!$A:$H,8,FALSE)</f>
        <v>Vanhoe Els</v>
      </c>
      <c r="F655" s="3">
        <v>45749</v>
      </c>
      <c r="G655" s="5" t="s">
        <v>945</v>
      </c>
      <c r="H655" t="s">
        <v>19</v>
      </c>
      <c r="I655" s="4">
        <v>6329</v>
      </c>
      <c r="J655" s="23" t="str">
        <f>VLOOKUP(bron[[#This Row],[voertuig]],Voertuigen!A:C,3,FALSE)</f>
        <v>Tram</v>
      </c>
      <c r="K655" s="23" t="str">
        <f>VLOOKUP(bron[[#This Row],[voertuig]],Voertuigen!A:C,2,FALSE)</f>
        <v>Hermelijn</v>
      </c>
      <c r="L655" s="23">
        <f>COUNTIF(A:A,bron[[#This Row],[personeelsnr]])</f>
        <v>3</v>
      </c>
    </row>
    <row r="656" spans="1:12" hidden="1" x14ac:dyDescent="0.25">
      <c r="A656" s="20">
        <v>38807</v>
      </c>
      <c r="B656" t="str">
        <f>VLOOKUP(bron[[#This Row],[personeelsnr]],[1]Blad1!$A:$H,2,FALSE)</f>
        <v>Dossche Caroline</v>
      </c>
      <c r="C656" t="str">
        <f>VLOOKUP(bron[[#This Row],[personeelsnr]],[1]Blad1!$A:$H,3,FALSE)</f>
        <v>Dossche</v>
      </c>
      <c r="D656" t="str">
        <f>VLOOKUP(bron[[#This Row],[personeelsnr]],[1]Blad1!$A:$H,4,FALSE)</f>
        <v>Caroline</v>
      </c>
      <c r="E656" s="2" t="str">
        <f>VLOOKUP(bron[[#This Row],[personeelsnr]],[1]Blad1!$A:$H,8,FALSE)</f>
        <v>Rotty Christoff</v>
      </c>
      <c r="F656" s="3">
        <v>45750</v>
      </c>
      <c r="G656" s="5" t="s">
        <v>946</v>
      </c>
      <c r="H656" t="s">
        <v>17</v>
      </c>
      <c r="I656" s="4">
        <v>5046</v>
      </c>
      <c r="J656" s="23" t="str">
        <f>VLOOKUP(bron[[#This Row],[voertuig]],Voertuigen!A:C,3,FALSE)</f>
        <v>Bus</v>
      </c>
      <c r="K656" s="23" t="str">
        <f>VLOOKUP(bron[[#This Row],[voertuig]],Voertuigen!A:C,2,FALSE)</f>
        <v>Gelede</v>
      </c>
      <c r="L656" s="23">
        <f>COUNTIF(A:A,bron[[#This Row],[personeelsnr]])</f>
        <v>5</v>
      </c>
    </row>
    <row r="657" spans="1:12" hidden="1" x14ac:dyDescent="0.25">
      <c r="A657" s="20">
        <v>32951</v>
      </c>
      <c r="B657" t="str">
        <f>VLOOKUP(bron[[#This Row],[personeelsnr]],[1]Blad1!$A:$H,2,FALSE)</f>
        <v>De Bruyne Sonia</v>
      </c>
      <c r="C657" t="str">
        <f>VLOOKUP(bron[[#This Row],[personeelsnr]],[1]Blad1!$A:$H,3,FALSE)</f>
        <v>De Bruyne</v>
      </c>
      <c r="D657" t="str">
        <f>VLOOKUP(bron[[#This Row],[personeelsnr]],[1]Blad1!$A:$H,4,FALSE)</f>
        <v>Sonia</v>
      </c>
      <c r="E657" s="2" t="str">
        <f>VLOOKUP(bron[[#This Row],[personeelsnr]],[1]Blad1!$A:$H,8,FALSE)</f>
        <v>Van De Velde Lucie</v>
      </c>
      <c r="F657" s="3">
        <v>45751</v>
      </c>
      <c r="G657" s="5" t="s">
        <v>947</v>
      </c>
      <c r="H657" t="s">
        <v>26</v>
      </c>
      <c r="I657" s="4">
        <v>2198</v>
      </c>
      <c r="J657" s="23" t="str">
        <f>VLOOKUP(bron[[#This Row],[voertuig]],Voertuigen!A:C,3,FALSE)</f>
        <v>Bus</v>
      </c>
      <c r="K657" s="23" t="str">
        <f>VLOOKUP(bron[[#This Row],[voertuig]],Voertuigen!A:C,2,FALSE)</f>
        <v>Gelede</v>
      </c>
      <c r="L657" s="23">
        <f>COUNTIF(A:A,bron[[#This Row],[personeelsnr]])</f>
        <v>6</v>
      </c>
    </row>
    <row r="658" spans="1:12" hidden="1" x14ac:dyDescent="0.25">
      <c r="A658" s="20">
        <v>40939</v>
      </c>
      <c r="B658" t="str">
        <f>VLOOKUP(bron[[#This Row],[personeelsnr]],[1]Blad1!$A:$H,2,FALSE)</f>
        <v>Cisse Sayon</v>
      </c>
      <c r="C658" t="str">
        <f>VLOOKUP(bron[[#This Row],[personeelsnr]],[1]Blad1!$A:$H,3,FALSE)</f>
        <v>Cisse</v>
      </c>
      <c r="D658" t="str">
        <f>VLOOKUP(bron[[#This Row],[personeelsnr]],[1]Blad1!$A:$H,4,FALSE)</f>
        <v>Sayon</v>
      </c>
      <c r="E658" s="2" t="str">
        <f>VLOOKUP(bron[[#This Row],[personeelsnr]],[1]Blad1!$A:$H,8,FALSE)</f>
        <v>De Rick Kenneth</v>
      </c>
      <c r="F658" s="3">
        <v>45751</v>
      </c>
      <c r="G658" s="5" t="s">
        <v>948</v>
      </c>
      <c r="H658" t="s">
        <v>26</v>
      </c>
      <c r="I658" s="4">
        <v>2198</v>
      </c>
      <c r="J658" s="23" t="str">
        <f>VLOOKUP(bron[[#This Row],[voertuig]],Voertuigen!A:C,3,FALSE)</f>
        <v>Bus</v>
      </c>
      <c r="K658" s="23" t="str">
        <f>VLOOKUP(bron[[#This Row],[voertuig]],Voertuigen!A:C,2,FALSE)</f>
        <v>Gelede</v>
      </c>
      <c r="L658" s="23">
        <f>COUNTIF(A:A,bron[[#This Row],[personeelsnr]])</f>
        <v>4</v>
      </c>
    </row>
    <row r="659" spans="1:12" hidden="1" x14ac:dyDescent="0.25">
      <c r="A659" s="20">
        <v>39677</v>
      </c>
      <c r="B659" t="str">
        <f>VLOOKUP(bron[[#This Row],[personeelsnr]],[1]Blad1!$A:$H,2,FALSE)</f>
        <v>Tacq Joey</v>
      </c>
      <c r="C659" t="str">
        <f>VLOOKUP(bron[[#This Row],[personeelsnr]],[1]Blad1!$A:$H,3,FALSE)</f>
        <v>Tacq</v>
      </c>
      <c r="D659" t="str">
        <f>VLOOKUP(bron[[#This Row],[personeelsnr]],[1]Blad1!$A:$H,4,FALSE)</f>
        <v>Joey</v>
      </c>
      <c r="E659" s="2" t="str">
        <f>VLOOKUP(bron[[#This Row],[personeelsnr]],[1]Blad1!$A:$H,8,FALSE)</f>
        <v>De Rick Kenneth</v>
      </c>
      <c r="F659" s="3">
        <v>45754</v>
      </c>
      <c r="G659" s="5" t="s">
        <v>949</v>
      </c>
      <c r="H659" t="s">
        <v>98</v>
      </c>
      <c r="I659" s="4">
        <v>2197</v>
      </c>
      <c r="J659" s="23" t="str">
        <f>VLOOKUP(bron[[#This Row],[voertuig]],Voertuigen!A:C,3,FALSE)</f>
        <v>Bus</v>
      </c>
      <c r="K659" s="23" t="str">
        <f>VLOOKUP(bron[[#This Row],[voertuig]],Voertuigen!A:C,2,FALSE)</f>
        <v>Gelede</v>
      </c>
      <c r="L659" s="23">
        <f>COUNTIF(A:A,bron[[#This Row],[personeelsnr]])</f>
        <v>1</v>
      </c>
    </row>
    <row r="660" spans="1:12" hidden="1" x14ac:dyDescent="0.25">
      <c r="A660" s="20">
        <v>41092</v>
      </c>
      <c r="B660" t="str">
        <f>VLOOKUP(bron[[#This Row],[personeelsnr]],[1]Blad1!$A:$H,2,FALSE)</f>
        <v>De Keyser Dorien</v>
      </c>
      <c r="C660" t="str">
        <f>VLOOKUP(bron[[#This Row],[personeelsnr]],[1]Blad1!$A:$H,3,FALSE)</f>
        <v>De Keyser</v>
      </c>
      <c r="D660" t="str">
        <f>VLOOKUP(bron[[#This Row],[personeelsnr]],[1]Blad1!$A:$H,4,FALSE)</f>
        <v>Dorien</v>
      </c>
      <c r="E660" s="2" t="str">
        <f>VLOOKUP(bron[[#This Row],[personeelsnr]],[1]Blad1!$A:$H,8,FALSE)</f>
        <v>De Clercq Dominique</v>
      </c>
      <c r="F660" s="3">
        <v>45754</v>
      </c>
      <c r="G660" s="5" t="s">
        <v>950</v>
      </c>
      <c r="H660" t="s">
        <v>29</v>
      </c>
      <c r="I660" s="4">
        <v>5766</v>
      </c>
      <c r="J660" s="23" t="str">
        <f>VLOOKUP(bron[[#This Row],[voertuig]],Voertuigen!A:C,3,FALSE)</f>
        <v>Bus</v>
      </c>
      <c r="K660" s="23" t="str">
        <f>VLOOKUP(bron[[#This Row],[voertuig]],Voertuigen!A:C,2,FALSE)</f>
        <v>Standaard</v>
      </c>
      <c r="L660" s="23">
        <f>COUNTIF(A:A,bron[[#This Row],[personeelsnr]])</f>
        <v>9</v>
      </c>
    </row>
    <row r="661" spans="1:12" hidden="1" x14ac:dyDescent="0.25">
      <c r="A661" s="20">
        <v>35619</v>
      </c>
      <c r="B661" t="str">
        <f>VLOOKUP(bron[[#This Row],[personeelsnr]],[1]Blad1!$A:$H,2,FALSE)</f>
        <v>El Mezroui Zouheir</v>
      </c>
      <c r="C661" t="str">
        <f>VLOOKUP(bron[[#This Row],[personeelsnr]],[1]Blad1!$A:$H,3,FALSE)</f>
        <v>El Mezroui</v>
      </c>
      <c r="D661" t="str">
        <f>VLOOKUP(bron[[#This Row],[personeelsnr]],[1]Blad1!$A:$H,4,FALSE)</f>
        <v>Zouheir</v>
      </c>
      <c r="E661" s="2" t="str">
        <f>VLOOKUP(bron[[#This Row],[personeelsnr]],[1]Blad1!$A:$H,8,FALSE)</f>
        <v>Storm Steven</v>
      </c>
      <c r="F661" s="3">
        <v>45755</v>
      </c>
      <c r="G661" s="5" t="s">
        <v>951</v>
      </c>
      <c r="H661" t="s">
        <v>41</v>
      </c>
      <c r="I661" s="4">
        <v>6306</v>
      </c>
      <c r="J661" s="23" t="str">
        <f>VLOOKUP(bron[[#This Row],[voertuig]],Voertuigen!A:C,3,FALSE)</f>
        <v>Tram</v>
      </c>
      <c r="K661" s="23" t="str">
        <f>VLOOKUP(bron[[#This Row],[voertuig]],Voertuigen!A:C,2,FALSE)</f>
        <v>Hermelijn</v>
      </c>
      <c r="L661" s="23">
        <f>COUNTIF(A:A,bron[[#This Row],[personeelsnr]])</f>
        <v>1</v>
      </c>
    </row>
    <row r="662" spans="1:12" hidden="1" x14ac:dyDescent="0.25">
      <c r="A662" s="20">
        <v>25679</v>
      </c>
      <c r="B662" t="str">
        <f>VLOOKUP(bron[[#This Row],[personeelsnr]],[1]Blad1!$A:$H,2,FALSE)</f>
        <v>Vanrenterghem Serge</v>
      </c>
      <c r="C662" t="str">
        <f>VLOOKUP(bron[[#This Row],[personeelsnr]],[1]Blad1!$A:$H,3,FALSE)</f>
        <v>Vanrenterghem</v>
      </c>
      <c r="D662" t="str">
        <f>VLOOKUP(bron[[#This Row],[personeelsnr]],[1]Blad1!$A:$H,4,FALSE)</f>
        <v>Serge</v>
      </c>
      <c r="E662" s="2" t="str">
        <f>VLOOKUP(bron[[#This Row],[personeelsnr]],[1]Blad1!$A:$H,8,FALSE)</f>
        <v>Rotty Christoff</v>
      </c>
      <c r="F662" s="3">
        <v>45756</v>
      </c>
      <c r="G662" s="5" t="s">
        <v>952</v>
      </c>
      <c r="H662" t="s">
        <v>7</v>
      </c>
      <c r="I662" s="4">
        <v>6308</v>
      </c>
      <c r="J662" s="23" t="str">
        <f>VLOOKUP(bron[[#This Row],[voertuig]],Voertuigen!A:C,3,FALSE)</f>
        <v>Tram</v>
      </c>
      <c r="K662" s="23" t="str">
        <f>VLOOKUP(bron[[#This Row],[voertuig]],Voertuigen!A:C,2,FALSE)</f>
        <v>Hermelijn</v>
      </c>
      <c r="L662" s="23">
        <f>COUNTIF(A:A,bron[[#This Row],[personeelsnr]])</f>
        <v>2</v>
      </c>
    </row>
    <row r="663" spans="1:12" hidden="1" x14ac:dyDescent="0.25">
      <c r="A663" s="20">
        <v>38035</v>
      </c>
      <c r="B663" t="str">
        <f>VLOOKUP(bron[[#This Row],[personeelsnr]],[1]Blad1!$A:$H,2,FALSE)</f>
        <v>Simsek Isa</v>
      </c>
      <c r="C663" t="str">
        <f>VLOOKUP(bron[[#This Row],[personeelsnr]],[1]Blad1!$A:$H,3,FALSE)</f>
        <v>Simsek</v>
      </c>
      <c r="D663" t="str">
        <f>VLOOKUP(bron[[#This Row],[personeelsnr]],[1]Blad1!$A:$H,4,FALSE)</f>
        <v>Isa</v>
      </c>
      <c r="E663" s="2" t="str">
        <f>VLOOKUP(bron[[#This Row],[personeelsnr]],[1]Blad1!$A:$H,8,FALSE)</f>
        <v>Van Der Beken Bart</v>
      </c>
      <c r="F663" s="3">
        <v>45756</v>
      </c>
      <c r="G663" s="5" t="s">
        <v>953</v>
      </c>
      <c r="H663" t="s">
        <v>20</v>
      </c>
      <c r="I663" s="4">
        <v>5765</v>
      </c>
      <c r="J663" s="23" t="str">
        <f>VLOOKUP(bron[[#This Row],[voertuig]],Voertuigen!A:C,3,FALSE)</f>
        <v>Bus</v>
      </c>
      <c r="K663" s="23" t="str">
        <f>VLOOKUP(bron[[#This Row],[voertuig]],Voertuigen!A:C,2,FALSE)</f>
        <v>Standaard</v>
      </c>
      <c r="L663" s="23">
        <f>COUNTIF(A:A,bron[[#This Row],[personeelsnr]])</f>
        <v>1</v>
      </c>
    </row>
    <row r="664" spans="1:12" hidden="1" x14ac:dyDescent="0.25">
      <c r="A664" s="20">
        <v>39358</v>
      </c>
      <c r="B664" t="str">
        <f>VLOOKUP(bron[[#This Row],[personeelsnr]],[1]Blad1!$A:$H,2,FALSE)</f>
        <v>Weeks Aracena Jimmy Alexander</v>
      </c>
      <c r="C664" t="str">
        <f>VLOOKUP(bron[[#This Row],[personeelsnr]],[1]Blad1!$A:$H,3,FALSE)</f>
        <v>Weeks Aracena</v>
      </c>
      <c r="D664" t="str">
        <f>VLOOKUP(bron[[#This Row],[personeelsnr]],[1]Blad1!$A:$H,4,FALSE)</f>
        <v>Jimmy Alexander</v>
      </c>
      <c r="E664" s="2" t="str">
        <f>VLOOKUP(bron[[#This Row],[personeelsnr]],[1]Blad1!$A:$H,8,FALSE)</f>
        <v>Rotty Christoff</v>
      </c>
      <c r="F664" s="3">
        <v>45756</v>
      </c>
      <c r="G664" s="5" t="s">
        <v>954</v>
      </c>
      <c r="H664" t="s">
        <v>12</v>
      </c>
      <c r="I664" s="4">
        <v>5238</v>
      </c>
      <c r="J664" s="23" t="str">
        <f>VLOOKUP(bron[[#This Row],[voertuig]],Voertuigen!A:C,3,FALSE)</f>
        <v>Bus</v>
      </c>
      <c r="K664" s="23" t="str">
        <f>VLOOKUP(bron[[#This Row],[voertuig]],Voertuigen!A:C,2,FALSE)</f>
        <v>Gelede</v>
      </c>
      <c r="L664" s="23">
        <f>COUNTIF(A:A,bron[[#This Row],[personeelsnr]])</f>
        <v>5</v>
      </c>
    </row>
    <row r="665" spans="1:12" hidden="1" x14ac:dyDescent="0.25">
      <c r="A665" s="20">
        <v>39929</v>
      </c>
      <c r="B665" t="str">
        <f>VLOOKUP(bron[[#This Row],[personeelsnr]],[1]Blad1!$A:$H,2,FALSE)</f>
        <v>Staneva Mariyana</v>
      </c>
      <c r="C665" t="str">
        <f>VLOOKUP(bron[[#This Row],[personeelsnr]],[1]Blad1!$A:$H,3,FALSE)</f>
        <v>Staneva</v>
      </c>
      <c r="D665" t="str">
        <f>VLOOKUP(bron[[#This Row],[personeelsnr]],[1]Blad1!$A:$H,4,FALSE)</f>
        <v>Mariyana</v>
      </c>
      <c r="E665" s="2" t="str">
        <f>VLOOKUP(bron[[#This Row],[personeelsnr]],[1]Blad1!$A:$H,8,FALSE)</f>
        <v>Rotty Christoff</v>
      </c>
      <c r="F665" s="3">
        <v>45756</v>
      </c>
      <c r="G665" s="5" t="s">
        <v>955</v>
      </c>
      <c r="H665" t="s">
        <v>131</v>
      </c>
      <c r="I665" s="4">
        <v>2197</v>
      </c>
      <c r="J665" s="23" t="str">
        <f>VLOOKUP(bron[[#This Row],[voertuig]],Voertuigen!A:C,3,FALSE)</f>
        <v>Bus</v>
      </c>
      <c r="K665" s="23" t="str">
        <f>VLOOKUP(bron[[#This Row],[voertuig]],Voertuigen!A:C,2,FALSE)</f>
        <v>Gelede</v>
      </c>
      <c r="L665" s="23">
        <f>COUNTIF(A:A,bron[[#This Row],[personeelsnr]])</f>
        <v>9</v>
      </c>
    </row>
    <row r="666" spans="1:12" hidden="1" x14ac:dyDescent="0.25">
      <c r="A666" s="20">
        <v>34325</v>
      </c>
      <c r="B666" t="str">
        <f>VLOOKUP(bron[[#This Row],[personeelsnr]],[1]Blad1!$A:$H,2,FALSE)</f>
        <v>Eid Mathyn</v>
      </c>
      <c r="C666" t="str">
        <f>VLOOKUP(bron[[#This Row],[personeelsnr]],[1]Blad1!$A:$H,3,FALSE)</f>
        <v>Eid</v>
      </c>
      <c r="D666" t="str">
        <f>VLOOKUP(bron[[#This Row],[personeelsnr]],[1]Blad1!$A:$H,4,FALSE)</f>
        <v>Mathyn</v>
      </c>
      <c r="E666" s="2" t="str">
        <f>VLOOKUP(bron[[#This Row],[personeelsnr]],[1]Blad1!$A:$H,8,FALSE)</f>
        <v>Storm Steven</v>
      </c>
      <c r="F666" s="3">
        <v>45757</v>
      </c>
      <c r="G666" s="5" t="s">
        <v>956</v>
      </c>
      <c r="H666" t="s">
        <v>183</v>
      </c>
      <c r="I666" s="4">
        <v>6364</v>
      </c>
      <c r="J666" s="23" t="str">
        <f>VLOOKUP(bron[[#This Row],[voertuig]],Voertuigen!A:C,3,FALSE)</f>
        <v>Tram</v>
      </c>
      <c r="K666" s="23" t="str">
        <f>VLOOKUP(bron[[#This Row],[voertuig]],Voertuigen!A:C,2,FALSE)</f>
        <v>Flexity</v>
      </c>
      <c r="L666" s="23">
        <f>COUNTIF(A:A,bron[[#This Row],[personeelsnr]])</f>
        <v>5</v>
      </c>
    </row>
    <row r="667" spans="1:12" hidden="1" x14ac:dyDescent="0.25">
      <c r="A667" s="20">
        <v>35645</v>
      </c>
      <c r="B667" t="str">
        <f>VLOOKUP(bron[[#This Row],[personeelsnr]],[1]Blad1!$A:$H,2,FALSE)</f>
        <v>Jalili Yaseeb</v>
      </c>
      <c r="C667" t="str">
        <f>VLOOKUP(bron[[#This Row],[personeelsnr]],[1]Blad1!$A:$H,3,FALSE)</f>
        <v>Jalili</v>
      </c>
      <c r="D667" t="str">
        <f>VLOOKUP(bron[[#This Row],[personeelsnr]],[1]Blad1!$A:$H,4,FALSE)</f>
        <v>Yaseeb</v>
      </c>
      <c r="E667" s="2" t="str">
        <f>VLOOKUP(bron[[#This Row],[personeelsnr]],[1]Blad1!$A:$H,8,FALSE)</f>
        <v>Storm Steven</v>
      </c>
      <c r="F667" s="3">
        <v>45758</v>
      </c>
      <c r="G667" s="5" t="s">
        <v>957</v>
      </c>
      <c r="H667" t="s">
        <v>10</v>
      </c>
      <c r="I667" s="4">
        <v>5238</v>
      </c>
      <c r="J667" s="23" t="str">
        <f>VLOOKUP(bron[[#This Row],[voertuig]],Voertuigen!A:C,3,FALSE)</f>
        <v>Bus</v>
      </c>
      <c r="K667" s="23" t="str">
        <f>VLOOKUP(bron[[#This Row],[voertuig]],Voertuigen!A:C,2,FALSE)</f>
        <v>Gelede</v>
      </c>
      <c r="L667" s="23">
        <f>COUNTIF(A:A,bron[[#This Row],[personeelsnr]])</f>
        <v>4</v>
      </c>
    </row>
    <row r="668" spans="1:12" hidden="1" x14ac:dyDescent="0.25">
      <c r="A668" s="20">
        <v>9158</v>
      </c>
      <c r="B668" t="str">
        <f>VLOOKUP(bron[[#This Row],[personeelsnr]],[1]Blad1!$A:$H,2,FALSE)</f>
        <v>De Weirdt Ronny</v>
      </c>
      <c r="C668" t="str">
        <f>VLOOKUP(bron[[#This Row],[personeelsnr]],[1]Blad1!$A:$H,3,FALSE)</f>
        <v>De Weirdt</v>
      </c>
      <c r="D668" t="str">
        <f>VLOOKUP(bron[[#This Row],[personeelsnr]],[1]Blad1!$A:$H,4,FALSE)</f>
        <v>Ronny</v>
      </c>
      <c r="E668" s="2" t="str">
        <f>VLOOKUP(bron[[#This Row],[personeelsnr]],[1]Blad1!$A:$H,8,FALSE)</f>
        <v>Storm Steven</v>
      </c>
      <c r="F668" s="3">
        <v>45758</v>
      </c>
      <c r="G668" s="5" t="s">
        <v>958</v>
      </c>
      <c r="H668" t="s">
        <v>7</v>
      </c>
      <c r="I668" s="4">
        <v>6373</v>
      </c>
      <c r="J668" s="23" t="str">
        <f>VLOOKUP(bron[[#This Row],[voertuig]],Voertuigen!A:C,3,FALSE)</f>
        <v>Tram</v>
      </c>
      <c r="K668" s="23" t="str">
        <f>VLOOKUP(bron[[#This Row],[voertuig]],Voertuigen!A:C,2,FALSE)</f>
        <v>Flexity</v>
      </c>
      <c r="L668" s="23">
        <f>COUNTIF(A:A,bron[[#This Row],[personeelsnr]])</f>
        <v>1</v>
      </c>
    </row>
    <row r="669" spans="1:12" hidden="1" x14ac:dyDescent="0.25">
      <c r="A669" s="20">
        <v>36820</v>
      </c>
      <c r="B669" t="str">
        <f>VLOOKUP(bron[[#This Row],[personeelsnr]],[1]Blad1!$A:$H,2,FALSE)</f>
        <v>Haché Philip</v>
      </c>
      <c r="C669" t="str">
        <f>VLOOKUP(bron[[#This Row],[personeelsnr]],[1]Blad1!$A:$H,3,FALSE)</f>
        <v>Haché</v>
      </c>
      <c r="D669" t="str">
        <f>VLOOKUP(bron[[#This Row],[personeelsnr]],[1]Blad1!$A:$H,4,FALSE)</f>
        <v>Philip</v>
      </c>
      <c r="E669" s="2" t="str">
        <f>VLOOKUP(bron[[#This Row],[personeelsnr]],[1]Blad1!$A:$H,8,FALSE)</f>
        <v>Storm Steven</v>
      </c>
      <c r="F669" s="3">
        <v>45759</v>
      </c>
      <c r="G669" s="5" t="s">
        <v>959</v>
      </c>
      <c r="H669" t="s">
        <v>341</v>
      </c>
      <c r="I669" s="4">
        <v>5229</v>
      </c>
      <c r="J669" s="23" t="str">
        <f>VLOOKUP(bron[[#This Row],[voertuig]],Voertuigen!A:C,3,FALSE)</f>
        <v>Bus</v>
      </c>
      <c r="K669" s="23" t="str">
        <f>VLOOKUP(bron[[#This Row],[voertuig]],Voertuigen!A:C,2,FALSE)</f>
        <v>Gelede</v>
      </c>
      <c r="L669" s="23">
        <f>COUNTIF(A:A,bron[[#This Row],[personeelsnr]])</f>
        <v>1</v>
      </c>
    </row>
    <row r="670" spans="1:12" hidden="1" x14ac:dyDescent="0.25">
      <c r="A670" s="20">
        <v>25733</v>
      </c>
      <c r="B670" t="str">
        <f>VLOOKUP(bron[[#This Row],[personeelsnr]],[1]Blad1!$A:$H,2,FALSE)</f>
        <v>Simsek Abdullah</v>
      </c>
      <c r="C670" t="str">
        <f>VLOOKUP(bron[[#This Row],[personeelsnr]],[1]Blad1!$A:$H,3,FALSE)</f>
        <v>Simsek</v>
      </c>
      <c r="D670" t="str">
        <f>VLOOKUP(bron[[#This Row],[personeelsnr]],[1]Blad1!$A:$H,4,FALSE)</f>
        <v>Abdullah</v>
      </c>
      <c r="E670" s="2" t="str">
        <f>VLOOKUP(bron[[#This Row],[personeelsnr]],[1]Blad1!$A:$H,8,FALSE)</f>
        <v>Vanhoe Els</v>
      </c>
      <c r="F670" s="3">
        <v>45759</v>
      </c>
      <c r="G670" s="5" t="s">
        <v>960</v>
      </c>
      <c r="H670" t="s">
        <v>53</v>
      </c>
      <c r="I670" s="4">
        <v>6329</v>
      </c>
      <c r="J670" s="23" t="str">
        <f>VLOOKUP(bron[[#This Row],[voertuig]],Voertuigen!A:C,3,FALSE)</f>
        <v>Tram</v>
      </c>
      <c r="K670" s="23" t="str">
        <f>VLOOKUP(bron[[#This Row],[voertuig]],Voertuigen!A:C,2,FALSE)</f>
        <v>Hermelijn</v>
      </c>
      <c r="L670" s="23">
        <f>COUNTIF(A:A,bron[[#This Row],[personeelsnr]])</f>
        <v>2</v>
      </c>
    </row>
    <row r="671" spans="1:12" hidden="1" x14ac:dyDescent="0.25">
      <c r="A671" s="20">
        <v>40443</v>
      </c>
      <c r="B671" t="str">
        <f>VLOOKUP(bron[[#This Row],[personeelsnr]],[1]Blad1!$A:$H,2,FALSE)</f>
        <v>Fakash Mahmoud</v>
      </c>
      <c r="C671" t="str">
        <f>VLOOKUP(bron[[#This Row],[personeelsnr]],[1]Blad1!$A:$H,3,FALSE)</f>
        <v>Fakash</v>
      </c>
      <c r="D671" t="str">
        <f>VLOOKUP(bron[[#This Row],[personeelsnr]],[1]Blad1!$A:$H,4,FALSE)</f>
        <v>Mahmoud</v>
      </c>
      <c r="E671" s="2" t="str">
        <f>VLOOKUP(bron[[#This Row],[personeelsnr]],[1]Blad1!$A:$H,8,FALSE)</f>
        <v>Van Der Beken Bart</v>
      </c>
      <c r="F671" s="3">
        <v>45762</v>
      </c>
      <c r="G671" s="5" t="s">
        <v>961</v>
      </c>
      <c r="H671" t="s">
        <v>21</v>
      </c>
      <c r="I671" s="4">
        <v>5767</v>
      </c>
      <c r="J671" s="23" t="str">
        <f>VLOOKUP(bron[[#This Row],[voertuig]],Voertuigen!A:C,3,FALSE)</f>
        <v>Bus</v>
      </c>
      <c r="K671" s="23" t="str">
        <f>VLOOKUP(bron[[#This Row],[voertuig]],Voertuigen!A:C,2,FALSE)</f>
        <v>Standaard</v>
      </c>
      <c r="L671" s="23">
        <f>COUNTIF(A:A,bron[[#This Row],[personeelsnr]])</f>
        <v>1</v>
      </c>
    </row>
    <row r="672" spans="1:12" hidden="1" x14ac:dyDescent="0.25">
      <c r="A672" s="20">
        <v>23700</v>
      </c>
      <c r="B672" t="str">
        <f>VLOOKUP(bron[[#This Row],[personeelsnr]],[1]Blad1!$A:$H,2,FALSE)</f>
        <v>Byosière Christof</v>
      </c>
      <c r="C672" t="str">
        <f>VLOOKUP(bron[[#This Row],[personeelsnr]],[1]Blad1!$A:$H,3,FALSE)</f>
        <v>Byosière</v>
      </c>
      <c r="D672" t="str">
        <f>VLOOKUP(bron[[#This Row],[personeelsnr]],[1]Blad1!$A:$H,4,FALSE)</f>
        <v>Christof</v>
      </c>
      <c r="E672" s="2" t="str">
        <f>VLOOKUP(bron[[#This Row],[personeelsnr]],[1]Blad1!$A:$H,8,FALSE)</f>
        <v>De Clercq Dominique</v>
      </c>
      <c r="F672" s="3">
        <v>45763</v>
      </c>
      <c r="G672" s="5" t="s">
        <v>962</v>
      </c>
      <c r="H672" t="s">
        <v>7</v>
      </c>
      <c r="I672" s="4">
        <v>5235</v>
      </c>
      <c r="J672" s="23" t="str">
        <f>VLOOKUP(bron[[#This Row],[voertuig]],Voertuigen!A:C,3,FALSE)</f>
        <v>Bus</v>
      </c>
      <c r="K672" s="23" t="str">
        <f>VLOOKUP(bron[[#This Row],[voertuig]],Voertuigen!A:C,2,FALSE)</f>
        <v>Gelede</v>
      </c>
      <c r="L672" s="23">
        <f>COUNTIF(A:A,bron[[#This Row],[personeelsnr]])</f>
        <v>3</v>
      </c>
    </row>
    <row r="673" spans="1:12" hidden="1" x14ac:dyDescent="0.25">
      <c r="A673" s="20">
        <v>34445</v>
      </c>
      <c r="B673" t="str">
        <f>VLOOKUP(bron[[#This Row],[personeelsnr]],[1]Blad1!$A:$H,2,FALSE)</f>
        <v>Wulleput Illya</v>
      </c>
      <c r="C673" t="str">
        <f>VLOOKUP(bron[[#This Row],[personeelsnr]],[1]Blad1!$A:$H,3,FALSE)</f>
        <v>Wulleput</v>
      </c>
      <c r="D673" t="str">
        <f>VLOOKUP(bron[[#This Row],[personeelsnr]],[1]Blad1!$A:$H,4,FALSE)</f>
        <v>Illya</v>
      </c>
      <c r="E673" s="2" t="str">
        <f>VLOOKUP(bron[[#This Row],[personeelsnr]],[1]Blad1!$A:$H,8,FALSE)</f>
        <v>De Clercq Dominique</v>
      </c>
      <c r="F673" s="3">
        <v>45763</v>
      </c>
      <c r="G673" s="5" t="s">
        <v>963</v>
      </c>
      <c r="H673" t="s">
        <v>19</v>
      </c>
      <c r="I673" s="4">
        <v>6357</v>
      </c>
      <c r="J673" s="23" t="str">
        <f>VLOOKUP(bron[[#This Row],[voertuig]],Voertuigen!A:C,3,FALSE)</f>
        <v>Tram</v>
      </c>
      <c r="K673" s="23" t="str">
        <f>VLOOKUP(bron[[#This Row],[voertuig]],Voertuigen!A:C,2,FALSE)</f>
        <v>Flexity</v>
      </c>
      <c r="L673" s="23">
        <f>COUNTIF(A:A,bron[[#This Row],[personeelsnr]])</f>
        <v>6</v>
      </c>
    </row>
    <row r="674" spans="1:12" hidden="1" x14ac:dyDescent="0.25">
      <c r="A674" s="20">
        <v>21582</v>
      </c>
      <c r="B674" t="e">
        <f>VLOOKUP(bron[[#This Row],[personeelsnr]],[1]Blad1!$A:$H,2,FALSE)</f>
        <v>#N/A</v>
      </c>
      <c r="C674" t="e">
        <f>VLOOKUP(bron[[#This Row],[personeelsnr]],[1]Blad1!$A:$H,3,FALSE)</f>
        <v>#N/A</v>
      </c>
      <c r="D674" t="e">
        <f>VLOOKUP(bron[[#This Row],[personeelsnr]],[1]Blad1!$A:$H,4,FALSE)</f>
        <v>#N/A</v>
      </c>
      <c r="E674" s="2" t="s">
        <v>221</v>
      </c>
      <c r="F674" s="3">
        <v>45765</v>
      </c>
      <c r="G674" s="5" t="s">
        <v>964</v>
      </c>
      <c r="H674" t="s">
        <v>8</v>
      </c>
      <c r="I674" s="4">
        <v>6305</v>
      </c>
      <c r="J674" s="23" t="str">
        <f>VLOOKUP(bron[[#This Row],[voertuig]],Voertuigen!A:C,3,FALSE)</f>
        <v>Tram</v>
      </c>
      <c r="K674" s="23" t="str">
        <f>VLOOKUP(bron[[#This Row],[voertuig]],Voertuigen!A:C,2,FALSE)</f>
        <v>Hermelijn</v>
      </c>
      <c r="L674" s="23">
        <f>COUNTIF(A:A,bron[[#This Row],[personeelsnr]])</f>
        <v>3</v>
      </c>
    </row>
    <row r="675" spans="1:12" hidden="1" x14ac:dyDescent="0.25">
      <c r="A675" s="20">
        <v>37744</v>
      </c>
      <c r="B675" t="str">
        <f>VLOOKUP(bron[[#This Row],[personeelsnr]],[1]Blad1!$A:$H,2,FALSE)</f>
        <v>De Lange Frank</v>
      </c>
      <c r="C675" t="str">
        <f>VLOOKUP(bron[[#This Row],[personeelsnr]],[1]Blad1!$A:$H,3,FALSE)</f>
        <v>De Lange</v>
      </c>
      <c r="D675" t="str">
        <f>VLOOKUP(bron[[#This Row],[personeelsnr]],[1]Blad1!$A:$H,4,FALSE)</f>
        <v>Frank</v>
      </c>
      <c r="E675" s="2" t="str">
        <f>VLOOKUP(bron[[#This Row],[personeelsnr]],[1]Blad1!$A:$H,8,FALSE)</f>
        <v>De Clercq Dominique</v>
      </c>
      <c r="F675" s="3">
        <v>45765</v>
      </c>
      <c r="G675" s="5" t="s">
        <v>965</v>
      </c>
      <c r="H675" t="s">
        <v>67</v>
      </c>
      <c r="I675" s="4">
        <v>5325</v>
      </c>
      <c r="J675" s="23" t="str">
        <f>VLOOKUP(bron[[#This Row],[voertuig]],Voertuigen!A:C,3,FALSE)</f>
        <v>Bus</v>
      </c>
      <c r="K675" s="23" t="str">
        <f>VLOOKUP(bron[[#This Row],[voertuig]],Voertuigen!A:C,2,FALSE)</f>
        <v>Gelede</v>
      </c>
      <c r="L675" s="23">
        <f>COUNTIF(A:A,bron[[#This Row],[personeelsnr]])</f>
        <v>1</v>
      </c>
    </row>
    <row r="676" spans="1:12" hidden="1" x14ac:dyDescent="0.25">
      <c r="A676" s="20">
        <v>41230</v>
      </c>
      <c r="B676" t="str">
        <f>VLOOKUP(bron[[#This Row],[personeelsnr]],[1]Blad1!$A:$H,2,FALSE)</f>
        <v>De Witte Bart</v>
      </c>
      <c r="C676" t="str">
        <f>VLOOKUP(bron[[#This Row],[personeelsnr]],[1]Blad1!$A:$H,3,FALSE)</f>
        <v>De Witte</v>
      </c>
      <c r="D676" t="str">
        <f>VLOOKUP(bron[[#This Row],[personeelsnr]],[1]Blad1!$A:$H,4,FALSE)</f>
        <v>Bart</v>
      </c>
      <c r="E676" s="2" t="str">
        <f>VLOOKUP(bron[[#This Row],[personeelsnr]],[1]Blad1!$A:$H,8,FALSE)</f>
        <v>De Clercq Dominique</v>
      </c>
      <c r="F676" s="3">
        <v>45765</v>
      </c>
      <c r="G676" s="5" t="s">
        <v>966</v>
      </c>
      <c r="H676" t="s">
        <v>38</v>
      </c>
      <c r="I676" s="4">
        <v>5910</v>
      </c>
      <c r="J676" s="23" t="str">
        <f>VLOOKUP(bron[[#This Row],[voertuig]],Voertuigen!A:C,3,FALSE)</f>
        <v>Bus</v>
      </c>
      <c r="K676" s="23" t="str">
        <f>VLOOKUP(bron[[#This Row],[voertuig]],Voertuigen!A:C,2,FALSE)</f>
        <v>Standaard</v>
      </c>
      <c r="L676" s="23">
        <f>COUNTIF(A:A,bron[[#This Row],[personeelsnr]])</f>
        <v>2</v>
      </c>
    </row>
    <row r="677" spans="1:12" hidden="1" x14ac:dyDescent="0.25">
      <c r="A677" s="20">
        <v>38938</v>
      </c>
      <c r="B677" t="str">
        <f>VLOOKUP(bron[[#This Row],[personeelsnr]],[1]Blad1!$A:$H,2,FALSE)</f>
        <v>Sedighi Hamid</v>
      </c>
      <c r="C677" t="str">
        <f>VLOOKUP(bron[[#This Row],[personeelsnr]],[1]Blad1!$A:$H,3,FALSE)</f>
        <v>Sedighi</v>
      </c>
      <c r="D677" t="str">
        <f>VLOOKUP(bron[[#This Row],[personeelsnr]],[1]Blad1!$A:$H,4,FALSE)</f>
        <v>Hamid</v>
      </c>
      <c r="E677" s="2" t="str">
        <f>VLOOKUP(bron[[#This Row],[personeelsnr]],[1]Blad1!$A:$H,8,FALSE)</f>
        <v>Van De Velde Lucie</v>
      </c>
      <c r="F677" s="3">
        <v>45765</v>
      </c>
      <c r="G677" s="5" t="s">
        <v>967</v>
      </c>
      <c r="H677" t="s">
        <v>47</v>
      </c>
      <c r="I677" s="4">
        <v>6339</v>
      </c>
      <c r="J677" s="23" t="str">
        <f>VLOOKUP(bron[[#This Row],[voertuig]],Voertuigen!A:C,3,FALSE)</f>
        <v>Tram</v>
      </c>
      <c r="K677" s="23" t="str">
        <f>VLOOKUP(bron[[#This Row],[voertuig]],Voertuigen!A:C,2,FALSE)</f>
        <v>Hermelijn</v>
      </c>
      <c r="L677" s="23">
        <f>COUNTIF(A:A,bron[[#This Row],[personeelsnr]])</f>
        <v>7</v>
      </c>
    </row>
    <row r="678" spans="1:12" hidden="1" x14ac:dyDescent="0.25">
      <c r="A678" s="20">
        <v>32245</v>
      </c>
      <c r="B678" t="str">
        <f>VLOOKUP(bron[[#This Row],[personeelsnr]],[1]Blad1!$A:$H,2,FALSE)</f>
        <v>Verlinden Bianca</v>
      </c>
      <c r="C678" t="str">
        <f>VLOOKUP(bron[[#This Row],[personeelsnr]],[1]Blad1!$A:$H,3,FALSE)</f>
        <v>Verlinden</v>
      </c>
      <c r="D678" t="str">
        <f>VLOOKUP(bron[[#This Row],[personeelsnr]],[1]Blad1!$A:$H,4,FALSE)</f>
        <v>Bianca</v>
      </c>
      <c r="E678" s="2" t="str">
        <f>VLOOKUP(bron[[#This Row],[personeelsnr]],[1]Blad1!$A:$H,8,FALSE)</f>
        <v>Vanhoe Els</v>
      </c>
      <c r="F678" s="3">
        <v>45766</v>
      </c>
      <c r="G678" s="5" t="s">
        <v>968</v>
      </c>
      <c r="H678" t="s">
        <v>10</v>
      </c>
      <c r="I678" s="4">
        <v>5918</v>
      </c>
      <c r="J678" s="23" t="str">
        <f>VLOOKUP(bron[[#This Row],[voertuig]],Voertuigen!A:C,3,FALSE)</f>
        <v>Bus</v>
      </c>
      <c r="K678" s="23" t="str">
        <f>VLOOKUP(bron[[#This Row],[voertuig]],Voertuigen!A:C,2,FALSE)</f>
        <v>Standaard</v>
      </c>
      <c r="L678" s="23">
        <f>COUNTIF(A:A,bron[[#This Row],[personeelsnr]])</f>
        <v>2</v>
      </c>
    </row>
    <row r="679" spans="1:12" hidden="1" x14ac:dyDescent="0.25">
      <c r="A679" s="20">
        <v>40110</v>
      </c>
      <c r="B679" t="str">
        <f>VLOOKUP(bron[[#This Row],[personeelsnr]],[1]Blad1!$A:$H,2,FALSE)</f>
        <v>Vanlerberghe Sandra</v>
      </c>
      <c r="C679" t="str">
        <f>VLOOKUP(bron[[#This Row],[personeelsnr]],[1]Blad1!$A:$H,3,FALSE)</f>
        <v>Vanlerberghe</v>
      </c>
      <c r="D679" t="str">
        <f>VLOOKUP(bron[[#This Row],[personeelsnr]],[1]Blad1!$A:$H,4,FALSE)</f>
        <v>Sandra</v>
      </c>
      <c r="E679" s="2" t="str">
        <f>VLOOKUP(bron[[#This Row],[personeelsnr]],[1]Blad1!$A:$H,8,FALSE)</f>
        <v>Rotty Christoff</v>
      </c>
      <c r="F679" s="3">
        <v>45766</v>
      </c>
      <c r="G679" s="5" t="s">
        <v>969</v>
      </c>
      <c r="H679" t="s">
        <v>150</v>
      </c>
      <c r="I679" s="4">
        <v>2197</v>
      </c>
      <c r="J679" s="23" t="str">
        <f>VLOOKUP(bron[[#This Row],[voertuig]],Voertuigen!A:C,3,FALSE)</f>
        <v>Bus</v>
      </c>
      <c r="K679" s="23" t="str">
        <f>VLOOKUP(bron[[#This Row],[voertuig]],Voertuigen!A:C,2,FALSE)</f>
        <v>Gelede</v>
      </c>
      <c r="L679" s="23">
        <f>COUNTIF(A:A,bron[[#This Row],[personeelsnr]])</f>
        <v>7</v>
      </c>
    </row>
    <row r="680" spans="1:12" hidden="1" x14ac:dyDescent="0.25">
      <c r="A680" s="20">
        <v>41520</v>
      </c>
      <c r="B680" t="str">
        <f>VLOOKUP(bron[[#This Row],[personeelsnr]],[1]Blad1!$A:$H,2,FALSE)</f>
        <v>Smets Avery</v>
      </c>
      <c r="C680" t="str">
        <f>VLOOKUP(bron[[#This Row],[personeelsnr]],[1]Blad1!$A:$H,3,FALSE)</f>
        <v>Smets</v>
      </c>
      <c r="D680" t="str">
        <f>VLOOKUP(bron[[#This Row],[personeelsnr]],[1]Blad1!$A:$H,4,FALSE)</f>
        <v>Avery</v>
      </c>
      <c r="E680" s="2" t="str">
        <f>VLOOKUP(bron[[#This Row],[personeelsnr]],[1]Blad1!$A:$H,8,FALSE)</f>
        <v>Rotty Christoff</v>
      </c>
      <c r="F680" s="3">
        <v>45766</v>
      </c>
      <c r="G680" s="5" t="s">
        <v>970</v>
      </c>
      <c r="H680" t="s">
        <v>971</v>
      </c>
      <c r="I680" s="4">
        <v>5919</v>
      </c>
      <c r="J680" s="23" t="str">
        <f>VLOOKUP(bron[[#This Row],[voertuig]],Voertuigen!A:C,3,FALSE)</f>
        <v>Bus</v>
      </c>
      <c r="K680" s="23" t="str">
        <f>VLOOKUP(bron[[#This Row],[voertuig]],Voertuigen!A:C,2,FALSE)</f>
        <v>Standaard</v>
      </c>
      <c r="L680" s="23">
        <f>COUNTIF(A:A,bron[[#This Row],[personeelsnr]])</f>
        <v>3</v>
      </c>
    </row>
    <row r="681" spans="1:12" hidden="1" x14ac:dyDescent="0.25">
      <c r="A681" s="20">
        <v>40478</v>
      </c>
      <c r="B681" t="str">
        <f>VLOOKUP(bron[[#This Row],[personeelsnr]],[1]Blad1!$A:$H,2,FALSE)</f>
        <v>Hashimi Ali Mir</v>
      </c>
      <c r="C681" t="str">
        <f>VLOOKUP(bron[[#This Row],[personeelsnr]],[1]Blad1!$A:$H,3,FALSE)</f>
        <v>Hashimi</v>
      </c>
      <c r="D681" t="str">
        <f>VLOOKUP(bron[[#This Row],[personeelsnr]],[1]Blad1!$A:$H,4,FALSE)</f>
        <v>Ali Mir</v>
      </c>
      <c r="E681" s="2" t="str">
        <f>VLOOKUP(bron[[#This Row],[personeelsnr]],[1]Blad1!$A:$H,8,FALSE)</f>
        <v>Van Der Beken Bart</v>
      </c>
      <c r="F681" s="3">
        <v>45769</v>
      </c>
      <c r="G681" s="5" t="s">
        <v>972</v>
      </c>
      <c r="H681" t="s">
        <v>168</v>
      </c>
      <c r="I681" s="4">
        <v>5772</v>
      </c>
      <c r="J681" s="23" t="str">
        <f>VLOOKUP(bron[[#This Row],[voertuig]],Voertuigen!A:C,3,FALSE)</f>
        <v>Bus</v>
      </c>
      <c r="K681" s="23" t="str">
        <f>VLOOKUP(bron[[#This Row],[voertuig]],Voertuigen!A:C,2,FALSE)</f>
        <v>Standaard</v>
      </c>
      <c r="L681" s="23">
        <f>COUNTIF(A:A,bron[[#This Row],[personeelsnr]])</f>
        <v>4</v>
      </c>
    </row>
    <row r="682" spans="1:12" hidden="1" x14ac:dyDescent="0.25">
      <c r="A682" s="20">
        <v>41588</v>
      </c>
      <c r="B682" t="str">
        <f>VLOOKUP(bron[[#This Row],[personeelsnr]],[1]Blad1!$A:$H,2,FALSE)</f>
        <v>Naessens Yves</v>
      </c>
      <c r="C682" t="str">
        <f>VLOOKUP(bron[[#This Row],[personeelsnr]],[1]Blad1!$A:$H,3,FALSE)</f>
        <v>Naessens</v>
      </c>
      <c r="D682" t="str">
        <f>VLOOKUP(bron[[#This Row],[personeelsnr]],[1]Blad1!$A:$H,4,FALSE)</f>
        <v>Yves</v>
      </c>
      <c r="E682" s="2" t="str">
        <f>VLOOKUP(bron[[#This Row],[personeelsnr]],[1]Blad1!$A:$H,8,FALSE)</f>
        <v>De Rick Kenneth</v>
      </c>
      <c r="F682" s="3">
        <v>45769</v>
      </c>
      <c r="G682" s="5" t="s">
        <v>973</v>
      </c>
      <c r="H682" t="s">
        <v>110</v>
      </c>
      <c r="I682" s="4">
        <v>7897</v>
      </c>
      <c r="J682" s="23" t="str">
        <f>VLOOKUP(bron[[#This Row],[voertuig]],Voertuigen!A:C,3,FALSE)</f>
        <v>Rijschool</v>
      </c>
      <c r="K682" s="23" t="str">
        <f>VLOOKUP(bron[[#This Row],[voertuig]],Voertuigen!A:C,2,FALSE)</f>
        <v>Rijschool</v>
      </c>
      <c r="L682" s="23">
        <f>COUNTIF(A:A,bron[[#This Row],[personeelsnr]])</f>
        <v>3</v>
      </c>
    </row>
    <row r="683" spans="1:12" hidden="1" x14ac:dyDescent="0.25">
      <c r="A683" s="20">
        <v>36512</v>
      </c>
      <c r="B683" t="str">
        <f>VLOOKUP(bron[[#This Row],[personeelsnr]],[1]Blad1!$A:$H,2,FALSE)</f>
        <v>Van Herreweghe Branco</v>
      </c>
      <c r="C683" t="str">
        <f>VLOOKUP(bron[[#This Row],[personeelsnr]],[1]Blad1!$A:$H,3,FALSE)</f>
        <v>Van Herreweghe</v>
      </c>
      <c r="D683" t="str">
        <f>VLOOKUP(bron[[#This Row],[personeelsnr]],[1]Blad1!$A:$H,4,FALSE)</f>
        <v>Branco</v>
      </c>
      <c r="E683" s="2" t="str">
        <f>VLOOKUP(bron[[#This Row],[personeelsnr]],[1]Blad1!$A:$H,8,FALSE)</f>
        <v>Storm Steven</v>
      </c>
      <c r="F683" s="6">
        <v>45770</v>
      </c>
      <c r="G683" s="5" t="s">
        <v>974</v>
      </c>
      <c r="H683" t="s">
        <v>13</v>
      </c>
      <c r="I683" s="4">
        <v>6313</v>
      </c>
      <c r="J683" s="23" t="str">
        <f>VLOOKUP(bron[[#This Row],[voertuig]],Voertuigen!A:C,3,FALSE)</f>
        <v>Tram</v>
      </c>
      <c r="K683" s="23" t="str">
        <f>VLOOKUP(bron[[#This Row],[voertuig]],Voertuigen!A:C,2,FALSE)</f>
        <v>Hermelijn</v>
      </c>
      <c r="L683" s="23">
        <f>COUNTIF(A:A,bron[[#This Row],[personeelsnr]])</f>
        <v>3</v>
      </c>
    </row>
    <row r="684" spans="1:12" hidden="1" x14ac:dyDescent="0.25">
      <c r="A684" s="20">
        <v>37132</v>
      </c>
      <c r="B684" t="str">
        <f>VLOOKUP(bron[[#This Row],[personeelsnr]],[1]Blad1!$A:$H,2,FALSE)</f>
        <v>Dacic Esmir</v>
      </c>
      <c r="C684" t="str">
        <f>VLOOKUP(bron[[#This Row],[personeelsnr]],[1]Blad1!$A:$H,3,FALSE)</f>
        <v>Dacic</v>
      </c>
      <c r="D684" t="str">
        <f>VLOOKUP(bron[[#This Row],[personeelsnr]],[1]Blad1!$A:$H,4,FALSE)</f>
        <v>Esmir</v>
      </c>
      <c r="E684" s="2" t="str">
        <f>VLOOKUP(bron[[#This Row],[personeelsnr]],[1]Blad1!$A:$H,8,FALSE)</f>
        <v>De Clercq Dominique</v>
      </c>
      <c r="F684" s="3">
        <v>45770</v>
      </c>
      <c r="G684" s="5" t="s">
        <v>975</v>
      </c>
      <c r="H684" t="s">
        <v>187</v>
      </c>
      <c r="I684" s="4">
        <v>6320</v>
      </c>
      <c r="J684" s="23" t="str">
        <f>VLOOKUP(bron[[#This Row],[voertuig]],Voertuigen!A:C,3,FALSE)</f>
        <v>Tram</v>
      </c>
      <c r="K684" s="23" t="str">
        <f>VLOOKUP(bron[[#This Row],[voertuig]],Voertuigen!A:C,2,FALSE)</f>
        <v>Hermelijn</v>
      </c>
      <c r="L684" s="23">
        <f>COUNTIF(A:A,bron[[#This Row],[personeelsnr]])</f>
        <v>2</v>
      </c>
    </row>
    <row r="685" spans="1:12" hidden="1" x14ac:dyDescent="0.25">
      <c r="A685" s="20">
        <v>33965</v>
      </c>
      <c r="B685" t="e">
        <f>VLOOKUP(bron[[#This Row],[personeelsnr]],[1]Blad1!$A:$H,2,FALSE)</f>
        <v>#N/A</v>
      </c>
      <c r="C685" t="e">
        <f>VLOOKUP(bron[[#This Row],[personeelsnr]],[1]Blad1!$A:$H,3,FALSE)</f>
        <v>#N/A</v>
      </c>
      <c r="D685" t="e">
        <f>VLOOKUP(bron[[#This Row],[personeelsnr]],[1]Blad1!$A:$H,4,FALSE)</f>
        <v>#N/A</v>
      </c>
      <c r="E685" s="2" t="s">
        <v>221</v>
      </c>
      <c r="F685" s="3">
        <v>45771</v>
      </c>
      <c r="G685" s="5" t="s">
        <v>976</v>
      </c>
      <c r="H685" t="s">
        <v>46</v>
      </c>
      <c r="I685" s="4">
        <v>5917</v>
      </c>
      <c r="J685" s="23" t="str">
        <f>VLOOKUP(bron[[#This Row],[voertuig]],Voertuigen!A:C,3,FALSE)</f>
        <v>Bus</v>
      </c>
      <c r="K685" s="23" t="str">
        <f>VLOOKUP(bron[[#This Row],[voertuig]],Voertuigen!A:C,2,FALSE)</f>
        <v>Standaard</v>
      </c>
      <c r="L685" s="23">
        <f>COUNTIF(A:A,bron[[#This Row],[personeelsnr]])</f>
        <v>10</v>
      </c>
    </row>
    <row r="686" spans="1:12" hidden="1" x14ac:dyDescent="0.25">
      <c r="A686" s="20">
        <v>38475</v>
      </c>
      <c r="B686" t="str">
        <f>VLOOKUP(bron[[#This Row],[personeelsnr]],[1]Blad1!$A:$H,2,FALSE)</f>
        <v>Verschraegen Katleen</v>
      </c>
      <c r="C686" t="str">
        <f>VLOOKUP(bron[[#This Row],[personeelsnr]],[1]Blad1!$A:$H,3,FALSE)</f>
        <v>Verschraegen</v>
      </c>
      <c r="D686" t="str">
        <f>VLOOKUP(bron[[#This Row],[personeelsnr]],[1]Blad1!$A:$H,4,FALSE)</f>
        <v>Katleen</v>
      </c>
      <c r="E686" s="2" t="str">
        <f>VLOOKUP(bron[[#This Row],[personeelsnr]],[1]Blad1!$A:$H,8,FALSE)</f>
        <v>Dewulf Els</v>
      </c>
      <c r="F686" s="3">
        <v>45771</v>
      </c>
      <c r="G686" s="5" t="s">
        <v>977</v>
      </c>
      <c r="H686" t="s">
        <v>180</v>
      </c>
      <c r="I686" s="4">
        <v>5933</v>
      </c>
      <c r="J686" s="23" t="str">
        <f>VLOOKUP(bron[[#This Row],[voertuig]],Voertuigen!A:C,3,FALSE)</f>
        <v>Bus</v>
      </c>
      <c r="K686" s="23" t="str">
        <f>VLOOKUP(bron[[#This Row],[voertuig]],Voertuigen!A:C,2,FALSE)</f>
        <v>Standaard</v>
      </c>
      <c r="L686" s="23">
        <f>COUNTIF(A:A,bron[[#This Row],[personeelsnr]])</f>
        <v>4</v>
      </c>
    </row>
    <row r="687" spans="1:12" hidden="1" x14ac:dyDescent="0.25">
      <c r="A687" s="20">
        <v>9999</v>
      </c>
      <c r="B687" t="e">
        <f>VLOOKUP(bron[[#This Row],[personeelsnr]],[1]Blad1!$A:$H,2,FALSE)</f>
        <v>#N/A</v>
      </c>
      <c r="C687" t="e">
        <f>VLOOKUP(bron[[#This Row],[personeelsnr]],[1]Blad1!$A:$H,3,FALSE)</f>
        <v>#N/A</v>
      </c>
      <c r="D687" t="e">
        <f>VLOOKUP(bron[[#This Row],[personeelsnr]],[1]Blad1!$A:$H,4,FALSE)</f>
        <v>#N/A</v>
      </c>
      <c r="E687" s="2" t="s">
        <v>221</v>
      </c>
      <c r="F687" s="3">
        <v>45771</v>
      </c>
      <c r="G687" s="5" t="s">
        <v>978</v>
      </c>
      <c r="H687" t="s">
        <v>7</v>
      </c>
      <c r="I687" s="4">
        <v>8232</v>
      </c>
      <c r="J687" s="23" t="str">
        <f>VLOOKUP(bron[[#This Row],[voertuig]],Voertuigen!A:C,3,FALSE)</f>
        <v>Rijschool</v>
      </c>
      <c r="K687" s="23" t="str">
        <f>VLOOKUP(bron[[#This Row],[voertuig]],Voertuigen!A:C,2,FALSE)</f>
        <v>Rijschool</v>
      </c>
      <c r="L687" s="23">
        <f>COUNTIF(A:A,bron[[#This Row],[personeelsnr]])</f>
        <v>59</v>
      </c>
    </row>
    <row r="688" spans="1:12" hidden="1" x14ac:dyDescent="0.25">
      <c r="A688" s="20">
        <v>33085</v>
      </c>
      <c r="B688" t="str">
        <f>VLOOKUP(bron[[#This Row],[personeelsnr]],[1]Blad1!$A:$H,2,FALSE)</f>
        <v>Van Hoe Ivo</v>
      </c>
      <c r="C688" t="str">
        <f>VLOOKUP(bron[[#This Row],[personeelsnr]],[1]Blad1!$A:$H,3,FALSE)</f>
        <v>Van Hoe</v>
      </c>
      <c r="D688" t="str">
        <f>VLOOKUP(bron[[#This Row],[personeelsnr]],[1]Blad1!$A:$H,4,FALSE)</f>
        <v>Ivo</v>
      </c>
      <c r="E688" s="2" t="str">
        <f>VLOOKUP(bron[[#This Row],[personeelsnr]],[1]Blad1!$A:$H,8,FALSE)</f>
        <v>De Rick Kenneth</v>
      </c>
      <c r="F688" s="3">
        <v>45773</v>
      </c>
      <c r="G688" s="5" t="s">
        <v>979</v>
      </c>
      <c r="H688" t="s">
        <v>167</v>
      </c>
      <c r="I688" s="4">
        <v>2198</v>
      </c>
      <c r="J688" s="23" t="str">
        <f>VLOOKUP(bron[[#This Row],[voertuig]],Voertuigen!A:C,3,FALSE)</f>
        <v>Bus</v>
      </c>
      <c r="K688" s="23" t="str">
        <f>VLOOKUP(bron[[#This Row],[voertuig]],Voertuigen!A:C,2,FALSE)</f>
        <v>Gelede</v>
      </c>
      <c r="L688" s="23">
        <f>COUNTIF(A:A,bron[[#This Row],[personeelsnr]])</f>
        <v>2</v>
      </c>
    </row>
    <row r="689" spans="1:12" hidden="1" x14ac:dyDescent="0.25">
      <c r="A689" s="20">
        <v>32002</v>
      </c>
      <c r="B689" t="str">
        <f>VLOOKUP(bron[[#This Row],[personeelsnr]],[1]Blad1!$A:$H,2,FALSE)</f>
        <v>Hasni Helmi</v>
      </c>
      <c r="C689" t="str">
        <f>VLOOKUP(bron[[#This Row],[personeelsnr]],[1]Blad1!$A:$H,3,FALSE)</f>
        <v>Hasni</v>
      </c>
      <c r="D689" t="str">
        <f>VLOOKUP(bron[[#This Row],[personeelsnr]],[1]Blad1!$A:$H,4,FALSE)</f>
        <v>Helmi</v>
      </c>
      <c r="E689" s="2" t="str">
        <f>VLOOKUP(bron[[#This Row],[personeelsnr]],[1]Blad1!$A:$H,8,FALSE)</f>
        <v>Storm Steven</v>
      </c>
      <c r="F689" s="3">
        <v>45773</v>
      </c>
      <c r="G689" s="5" t="s">
        <v>980</v>
      </c>
      <c r="H689" t="s">
        <v>7</v>
      </c>
      <c r="I689" s="4">
        <v>6372</v>
      </c>
      <c r="J689" s="23" t="str">
        <f>VLOOKUP(bron[[#This Row],[voertuig]],Voertuigen!A:C,3,FALSE)</f>
        <v>Tram</v>
      </c>
      <c r="K689" s="23" t="str">
        <f>VLOOKUP(bron[[#This Row],[voertuig]],Voertuigen!A:C,2,FALSE)</f>
        <v>Flexity</v>
      </c>
      <c r="L689" s="23">
        <f>COUNTIF(A:A,bron[[#This Row],[personeelsnr]])</f>
        <v>2</v>
      </c>
    </row>
    <row r="690" spans="1:12" hidden="1" x14ac:dyDescent="0.25">
      <c r="A690" s="20">
        <v>38475</v>
      </c>
      <c r="B690" t="str">
        <f>VLOOKUP(bron[[#This Row],[personeelsnr]],[1]Blad1!$A:$H,2,FALSE)</f>
        <v>Verschraegen Katleen</v>
      </c>
      <c r="C690" t="str">
        <f>VLOOKUP(bron[[#This Row],[personeelsnr]],[1]Blad1!$A:$H,3,FALSE)</f>
        <v>Verschraegen</v>
      </c>
      <c r="D690" t="str">
        <f>VLOOKUP(bron[[#This Row],[personeelsnr]],[1]Blad1!$A:$H,4,FALSE)</f>
        <v>Katleen</v>
      </c>
      <c r="E690" s="2" t="str">
        <f>VLOOKUP(bron[[#This Row],[personeelsnr]],[1]Blad1!$A:$H,8,FALSE)</f>
        <v>Dewulf Els</v>
      </c>
      <c r="F690" s="3">
        <v>45775</v>
      </c>
      <c r="G690" s="5" t="s">
        <v>981</v>
      </c>
      <c r="H690" t="s">
        <v>24</v>
      </c>
      <c r="I690" s="4">
        <v>5930</v>
      </c>
      <c r="J690" s="23" t="str">
        <f>VLOOKUP(bron[[#This Row],[voertuig]],Voertuigen!A:C,3,FALSE)</f>
        <v>Bus</v>
      </c>
      <c r="K690" s="23" t="str">
        <f>VLOOKUP(bron[[#This Row],[voertuig]],Voertuigen!A:C,2,FALSE)</f>
        <v>Standaard</v>
      </c>
      <c r="L690" s="23">
        <f>COUNTIF(A:A,bron[[#This Row],[personeelsnr]])</f>
        <v>4</v>
      </c>
    </row>
    <row r="691" spans="1:12" hidden="1" x14ac:dyDescent="0.25">
      <c r="A691" s="20">
        <v>40134</v>
      </c>
      <c r="B691" t="str">
        <f>VLOOKUP(bron[[#This Row],[personeelsnr]],[1]Blad1!$A:$H,2,FALSE)</f>
        <v>Cardon Sharon</v>
      </c>
      <c r="C691" t="str">
        <f>VLOOKUP(bron[[#This Row],[personeelsnr]],[1]Blad1!$A:$H,3,FALSE)</f>
        <v>Cardon</v>
      </c>
      <c r="D691" t="str">
        <f>VLOOKUP(bron[[#This Row],[personeelsnr]],[1]Blad1!$A:$H,4,FALSE)</f>
        <v>Sharon</v>
      </c>
      <c r="E691" s="2" t="str">
        <f>VLOOKUP(bron[[#This Row],[personeelsnr]],[1]Blad1!$A:$H,8,FALSE)</f>
        <v>De Clercq Dominique</v>
      </c>
      <c r="F691" s="3">
        <v>45775</v>
      </c>
      <c r="G691" s="5" t="s">
        <v>982</v>
      </c>
      <c r="H691" t="s">
        <v>108</v>
      </c>
      <c r="I691" s="4">
        <v>5770</v>
      </c>
      <c r="J691" s="23" t="str">
        <f>VLOOKUP(bron[[#This Row],[voertuig]],Voertuigen!A:C,3,FALSE)</f>
        <v>Bus</v>
      </c>
      <c r="K691" s="23" t="str">
        <f>VLOOKUP(bron[[#This Row],[voertuig]],Voertuigen!A:C,2,FALSE)</f>
        <v>Standaard</v>
      </c>
      <c r="L691" s="23">
        <f>COUNTIF(A:A,bron[[#This Row],[personeelsnr]])</f>
        <v>4</v>
      </c>
    </row>
    <row r="692" spans="1:12" hidden="1" x14ac:dyDescent="0.25">
      <c r="A692" s="20">
        <v>40591</v>
      </c>
      <c r="B692" t="str">
        <f>VLOOKUP(bron[[#This Row],[personeelsnr]],[1]Blad1!$A:$H,2,FALSE)</f>
        <v>Hiloui Mahmoud</v>
      </c>
      <c r="C692" t="str">
        <f>VLOOKUP(bron[[#This Row],[personeelsnr]],[1]Blad1!$A:$H,3,FALSE)</f>
        <v>Hiloui</v>
      </c>
      <c r="D692" t="str">
        <f>VLOOKUP(bron[[#This Row],[personeelsnr]],[1]Blad1!$A:$H,4,FALSE)</f>
        <v>Mahmoud</v>
      </c>
      <c r="E692" s="2" t="str">
        <f>VLOOKUP(bron[[#This Row],[personeelsnr]],[1]Blad1!$A:$H,8,FALSE)</f>
        <v>De Clercq Dominique</v>
      </c>
      <c r="F692" s="3">
        <v>45775</v>
      </c>
      <c r="G692" s="5" t="s">
        <v>983</v>
      </c>
      <c r="H692" t="s">
        <v>193</v>
      </c>
      <c r="I692" s="4">
        <v>2208</v>
      </c>
      <c r="J692" s="23" t="str">
        <f>VLOOKUP(bron[[#This Row],[voertuig]],Voertuigen!A:C,3,FALSE)</f>
        <v>Bus</v>
      </c>
      <c r="K692" s="23" t="str">
        <f>VLOOKUP(bron[[#This Row],[voertuig]],Voertuigen!A:C,2,FALSE)</f>
        <v>Gelede</v>
      </c>
      <c r="L692" s="23">
        <f>COUNTIF(A:A,bron[[#This Row],[personeelsnr]])</f>
        <v>2</v>
      </c>
    </row>
    <row r="693" spans="1:12" hidden="1" x14ac:dyDescent="0.25">
      <c r="A693" s="20">
        <v>24155</v>
      </c>
      <c r="B693" t="str">
        <f>VLOOKUP(bron[[#This Row],[personeelsnr]],[1]Blad1!$A:$H,2,FALSE)</f>
        <v>Luttens Koen</v>
      </c>
      <c r="C693" t="str">
        <f>VLOOKUP(bron[[#This Row],[personeelsnr]],[1]Blad1!$A:$H,3,FALSE)</f>
        <v>Luttens</v>
      </c>
      <c r="D693" t="str">
        <f>VLOOKUP(bron[[#This Row],[personeelsnr]],[1]Blad1!$A:$H,4,FALSE)</f>
        <v>Koen</v>
      </c>
      <c r="E693" s="2" t="str">
        <f>VLOOKUP(bron[[#This Row],[personeelsnr]],[1]Blad1!$A:$H,8,FALSE)</f>
        <v>Vanhoe Els</v>
      </c>
      <c r="F693" s="3">
        <v>45776</v>
      </c>
      <c r="G693" s="5" t="s">
        <v>984</v>
      </c>
      <c r="H693" t="s">
        <v>160</v>
      </c>
      <c r="I693" s="4">
        <v>6368</v>
      </c>
      <c r="J693" s="23" t="str">
        <f>VLOOKUP(bron[[#This Row],[voertuig]],Voertuigen!A:C,3,FALSE)</f>
        <v>Tram</v>
      </c>
      <c r="K693" s="23" t="str">
        <f>VLOOKUP(bron[[#This Row],[voertuig]],Voertuigen!A:C,2,FALSE)</f>
        <v>Flexity</v>
      </c>
      <c r="L693" s="23">
        <f>COUNTIF(A:A,bron[[#This Row],[personeelsnr]])</f>
        <v>1</v>
      </c>
    </row>
    <row r="694" spans="1:12" hidden="1" x14ac:dyDescent="0.25">
      <c r="A694" s="24">
        <v>38740</v>
      </c>
      <c r="B694" t="str">
        <f>VLOOKUP(bron[[#This Row],[personeelsnr]],[1]Blad1!$A:$H,2,FALSE)</f>
        <v>Meskens Anthony</v>
      </c>
      <c r="C694" t="str">
        <f>VLOOKUP(bron[[#This Row],[personeelsnr]],[1]Blad1!$A:$H,3,FALSE)</f>
        <v>Meskens</v>
      </c>
      <c r="D694" t="str">
        <f>VLOOKUP(bron[[#This Row],[personeelsnr]],[1]Blad1!$A:$H,4,FALSE)</f>
        <v>Anthony</v>
      </c>
      <c r="E694" s="2" t="str">
        <f>VLOOKUP(bron[[#This Row],[personeelsnr]],[1]Blad1!$A:$H,8,FALSE)</f>
        <v>Rotty Christoff</v>
      </c>
      <c r="F694" s="31">
        <v>45777</v>
      </c>
      <c r="G694" s="30" t="s">
        <v>985</v>
      </c>
      <c r="H694" s="25" t="s">
        <v>40</v>
      </c>
      <c r="I694" s="27">
        <v>6322</v>
      </c>
      <c r="J694" s="28" t="str">
        <f>VLOOKUP(bron[[#This Row],[voertuig]],Voertuigen!A:C,3,FALSE)</f>
        <v>Tram</v>
      </c>
      <c r="K694" s="28" t="str">
        <f>VLOOKUP(bron[[#This Row],[voertuig]],Voertuigen!A:C,2,FALSE)</f>
        <v>Hermelijn</v>
      </c>
      <c r="L694" s="28">
        <f>COUNTIF(A:A,bron[[#This Row],[personeelsnr]])</f>
        <v>3</v>
      </c>
    </row>
    <row r="695" spans="1:12" hidden="1" x14ac:dyDescent="0.25">
      <c r="A695" s="20">
        <v>37908</v>
      </c>
      <c r="B695" t="str">
        <f>VLOOKUP(bron[[#This Row],[personeelsnr]],[1]Blad1!$A:$H,2,FALSE)</f>
        <v>Vandenberghe Michael</v>
      </c>
      <c r="C695" t="str">
        <f>VLOOKUP(bron[[#This Row],[personeelsnr]],[1]Blad1!$A:$H,3,FALSE)</f>
        <v>Vandenberghe</v>
      </c>
      <c r="D695" t="str">
        <f>VLOOKUP(bron[[#This Row],[personeelsnr]],[1]Blad1!$A:$H,4,FALSE)</f>
        <v>Michael</v>
      </c>
      <c r="E695" s="2" t="str">
        <f>VLOOKUP(bron[[#This Row],[personeelsnr]],[1]Blad1!$A:$H,8,FALSE)</f>
        <v>Storm Steven</v>
      </c>
      <c r="F695" s="3">
        <v>45777</v>
      </c>
      <c r="G695" s="5" t="s">
        <v>986</v>
      </c>
      <c r="H695" t="s">
        <v>12</v>
      </c>
      <c r="I695" s="4">
        <v>5054</v>
      </c>
      <c r="J695" s="23" t="str">
        <f>VLOOKUP(bron[[#This Row],[voertuig]],Voertuigen!A:C,3,FALSE)</f>
        <v>Bus</v>
      </c>
      <c r="K695" s="23" t="str">
        <f>VLOOKUP(bron[[#This Row],[voertuig]],Voertuigen!A:C,2,FALSE)</f>
        <v>Gelede</v>
      </c>
      <c r="L695" s="23">
        <f>COUNTIF(A:A,bron[[#This Row],[personeelsnr]])</f>
        <v>1</v>
      </c>
    </row>
    <row r="696" spans="1:12" hidden="1" x14ac:dyDescent="0.25">
      <c r="A696" s="20">
        <v>41092</v>
      </c>
      <c r="B696" t="str">
        <f>VLOOKUP(bron[[#This Row],[personeelsnr]],[1]Blad1!$A:$H,2,FALSE)</f>
        <v>De Keyser Dorien</v>
      </c>
      <c r="C696" t="str">
        <f>VLOOKUP(bron[[#This Row],[personeelsnr]],[1]Blad1!$A:$H,3,FALSE)</f>
        <v>De Keyser</v>
      </c>
      <c r="D696" t="str">
        <f>VLOOKUP(bron[[#This Row],[personeelsnr]],[1]Blad1!$A:$H,4,FALSE)</f>
        <v>Dorien</v>
      </c>
      <c r="E696" s="2" t="str">
        <f>VLOOKUP(bron[[#This Row],[personeelsnr]],[1]Blad1!$A:$H,8,FALSE)</f>
        <v>De Clercq Dominique</v>
      </c>
      <c r="F696" s="3">
        <v>45777</v>
      </c>
      <c r="G696" s="5" t="s">
        <v>987</v>
      </c>
      <c r="H696" t="s">
        <v>53</v>
      </c>
      <c r="I696" s="4">
        <v>5912</v>
      </c>
      <c r="J696" s="23" t="str">
        <f>VLOOKUP(bron[[#This Row],[voertuig]],Voertuigen!A:C,3,FALSE)</f>
        <v>Bus</v>
      </c>
      <c r="K696" s="23" t="str">
        <f>VLOOKUP(bron[[#This Row],[voertuig]],Voertuigen!A:C,2,FALSE)</f>
        <v>Standaard</v>
      </c>
      <c r="L696" s="23">
        <f>COUNTIF(A:A,bron[[#This Row],[personeelsnr]])</f>
        <v>9</v>
      </c>
    </row>
    <row r="697" spans="1:12" hidden="1" x14ac:dyDescent="0.25">
      <c r="A697" s="20">
        <v>30967</v>
      </c>
      <c r="B697" t="str">
        <f>VLOOKUP(bron[[#This Row],[personeelsnr]],[1]Blad1!$A:$H,2,FALSE)</f>
        <v>Taser Fatih</v>
      </c>
      <c r="C697" t="str">
        <f>VLOOKUP(bron[[#This Row],[personeelsnr]],[1]Blad1!$A:$H,3,FALSE)</f>
        <v>Taser</v>
      </c>
      <c r="D697" t="str">
        <f>VLOOKUP(bron[[#This Row],[personeelsnr]],[1]Blad1!$A:$H,4,FALSE)</f>
        <v>Fatih</v>
      </c>
      <c r="E697" s="2" t="str">
        <f>VLOOKUP(bron[[#This Row],[personeelsnr]],[1]Blad1!$A:$H,8,FALSE)</f>
        <v>De Clercq Dominique</v>
      </c>
      <c r="F697" s="6">
        <v>45778</v>
      </c>
      <c r="G697" s="5" t="s">
        <v>988</v>
      </c>
      <c r="H697" t="s">
        <v>11</v>
      </c>
      <c r="I697" s="4">
        <v>2205</v>
      </c>
      <c r="J697" s="23" t="str">
        <f>VLOOKUP(bron[[#This Row],[voertuig]],Voertuigen!A:C,3,FALSE)</f>
        <v>Bus</v>
      </c>
      <c r="K697" s="23" t="str">
        <f>VLOOKUP(bron[[#This Row],[voertuig]],Voertuigen!A:C,2,FALSE)</f>
        <v>Gelede</v>
      </c>
      <c r="L697" s="23">
        <f>COUNTIF(A:A,bron[[#This Row],[personeelsnr]])</f>
        <v>3</v>
      </c>
    </row>
    <row r="698" spans="1:12" hidden="1" x14ac:dyDescent="0.25">
      <c r="A698" s="20">
        <v>40652</v>
      </c>
      <c r="B698" t="str">
        <f>VLOOKUP(bron[[#This Row],[personeelsnr]],[1]Blad1!$A:$H,2,FALSE)</f>
        <v>Van Damme Gilyann</v>
      </c>
      <c r="C698" t="str">
        <f>VLOOKUP(bron[[#This Row],[personeelsnr]],[1]Blad1!$A:$H,3,FALSE)</f>
        <v>Van Damme</v>
      </c>
      <c r="D698" t="str">
        <f>VLOOKUP(bron[[#This Row],[personeelsnr]],[1]Blad1!$A:$H,4,FALSE)</f>
        <v>Gilyann</v>
      </c>
      <c r="E698" s="2" t="str">
        <f>VLOOKUP(bron[[#This Row],[personeelsnr]],[1]Blad1!$A:$H,8,FALSE)</f>
        <v>Vanhoe Els</v>
      </c>
      <c r="F698" s="3">
        <v>45779</v>
      </c>
      <c r="G698" s="5" t="s">
        <v>833</v>
      </c>
      <c r="H698" t="s">
        <v>17</v>
      </c>
      <c r="I698" s="4">
        <v>5039</v>
      </c>
      <c r="J698" s="23" t="str">
        <f>VLOOKUP(bron[[#This Row],[voertuig]],Voertuigen!A:C,3,FALSE)</f>
        <v>Bus</v>
      </c>
      <c r="K698" s="23" t="str">
        <f>VLOOKUP(bron[[#This Row],[voertuig]],Voertuigen!A:C,2,FALSE)</f>
        <v>Gelede</v>
      </c>
      <c r="L698" s="23">
        <f>COUNTIF(A:A,bron[[#This Row],[personeelsnr]])</f>
        <v>8</v>
      </c>
    </row>
    <row r="699" spans="1:12" hidden="1" x14ac:dyDescent="0.25">
      <c r="A699" s="20">
        <v>40652</v>
      </c>
      <c r="B699" t="str">
        <f>VLOOKUP(bron[[#This Row],[personeelsnr]],[1]Blad1!$A:$H,2,FALSE)</f>
        <v>Van Damme Gilyann</v>
      </c>
      <c r="C699" t="str">
        <f>VLOOKUP(bron[[#This Row],[personeelsnr]],[1]Blad1!$A:$H,3,FALSE)</f>
        <v>Van Damme</v>
      </c>
      <c r="D699" t="str">
        <f>VLOOKUP(bron[[#This Row],[personeelsnr]],[1]Blad1!$A:$H,4,FALSE)</f>
        <v>Gilyann</v>
      </c>
      <c r="E699" s="2" t="str">
        <f>VLOOKUP(bron[[#This Row],[personeelsnr]],[1]Blad1!$A:$H,8,FALSE)</f>
        <v>Vanhoe Els</v>
      </c>
      <c r="F699" s="6">
        <v>45779</v>
      </c>
      <c r="G699" s="5" t="s">
        <v>989</v>
      </c>
      <c r="H699" t="s">
        <v>17</v>
      </c>
      <c r="I699" s="4">
        <v>2198</v>
      </c>
      <c r="J699" s="23" t="str">
        <f>VLOOKUP(bron[[#This Row],[voertuig]],Voertuigen!A:C,3,FALSE)</f>
        <v>Bus</v>
      </c>
      <c r="K699" s="23" t="str">
        <f>VLOOKUP(bron[[#This Row],[voertuig]],Voertuigen!A:C,2,FALSE)</f>
        <v>Gelede</v>
      </c>
      <c r="L699" s="23">
        <f>COUNTIF(A:A,bron[[#This Row],[personeelsnr]])</f>
        <v>8</v>
      </c>
    </row>
    <row r="700" spans="1:12" hidden="1" x14ac:dyDescent="0.25">
      <c r="A700" s="20">
        <v>4608</v>
      </c>
      <c r="B700" t="str">
        <f>VLOOKUP(bron[[#This Row],[personeelsnr]],[1]Blad1!$A:$H,2,FALSE)</f>
        <v>Steenbrugge Johan</v>
      </c>
      <c r="C700" t="str">
        <f>VLOOKUP(bron[[#This Row],[personeelsnr]],[1]Blad1!$A:$H,3,FALSE)</f>
        <v>Steenbrugge</v>
      </c>
      <c r="D700" t="str">
        <f>VLOOKUP(bron[[#This Row],[personeelsnr]],[1]Blad1!$A:$H,4,FALSE)</f>
        <v>Johan</v>
      </c>
      <c r="E700" s="2" t="str">
        <f>VLOOKUP(bron[[#This Row],[personeelsnr]],[1]Blad1!$A:$H,8,FALSE)</f>
        <v>Van De Velde Lucie</v>
      </c>
      <c r="F700" s="3">
        <v>45780</v>
      </c>
      <c r="G700" s="5" t="s">
        <v>990</v>
      </c>
      <c r="H700" t="s">
        <v>14</v>
      </c>
      <c r="I700" s="4">
        <v>2208</v>
      </c>
      <c r="J700" s="23" t="str">
        <f>VLOOKUP(bron[[#This Row],[voertuig]],Voertuigen!A:C,3,FALSE)</f>
        <v>Bus</v>
      </c>
      <c r="K700" s="23" t="str">
        <f>VLOOKUP(bron[[#This Row],[voertuig]],Voertuigen!A:C,2,FALSE)</f>
        <v>Gelede</v>
      </c>
      <c r="L700" s="23">
        <f>COUNTIF(A:A,bron[[#This Row],[personeelsnr]])</f>
        <v>1</v>
      </c>
    </row>
    <row r="701" spans="1:12" hidden="1" x14ac:dyDescent="0.25">
      <c r="A701" s="20">
        <v>33965</v>
      </c>
      <c r="B701" t="e">
        <f>VLOOKUP(bron[[#This Row],[personeelsnr]],[1]Blad1!$A:$H,2,FALSE)</f>
        <v>#N/A</v>
      </c>
      <c r="C701" t="e">
        <f>VLOOKUP(bron[[#This Row],[personeelsnr]],[1]Blad1!$A:$H,3,FALSE)</f>
        <v>#N/A</v>
      </c>
      <c r="D701" t="e">
        <f>VLOOKUP(bron[[#This Row],[personeelsnr]],[1]Blad1!$A:$H,4,FALSE)</f>
        <v>#N/A</v>
      </c>
      <c r="E701" s="2" t="s">
        <v>221</v>
      </c>
      <c r="F701" s="6">
        <v>45781</v>
      </c>
      <c r="G701" s="5" t="s">
        <v>991</v>
      </c>
      <c r="H701" t="s">
        <v>7</v>
      </c>
      <c r="I701" s="4">
        <v>6325</v>
      </c>
      <c r="J701" s="23" t="str">
        <f>VLOOKUP(bron[[#This Row],[voertuig]],Voertuigen!A:C,3,FALSE)</f>
        <v>Tram</v>
      </c>
      <c r="K701" s="23" t="str">
        <f>VLOOKUP(bron[[#This Row],[voertuig]],Voertuigen!A:C,2,FALSE)</f>
        <v>Hermelijn</v>
      </c>
      <c r="L701" s="23">
        <f>COUNTIF(A:A,bron[[#This Row],[personeelsnr]])</f>
        <v>10</v>
      </c>
    </row>
    <row r="702" spans="1:12" hidden="1" x14ac:dyDescent="0.25">
      <c r="A702" s="20">
        <v>38731</v>
      </c>
      <c r="B702" t="str">
        <f>VLOOKUP(bron[[#This Row],[personeelsnr]],[1]Blad1!$A:$H,2,FALSE)</f>
        <v>Ben Sidhom Samir</v>
      </c>
      <c r="C702" t="str">
        <f>VLOOKUP(bron[[#This Row],[personeelsnr]],[1]Blad1!$A:$H,3,FALSE)</f>
        <v>Ben Sidhom</v>
      </c>
      <c r="D702" t="str">
        <f>VLOOKUP(bron[[#This Row],[personeelsnr]],[1]Blad1!$A:$H,4,FALSE)</f>
        <v>Samir</v>
      </c>
      <c r="E702" s="2" t="str">
        <f>VLOOKUP(bron[[#This Row],[personeelsnr]],[1]Blad1!$A:$H,8,FALSE)</f>
        <v>Rotty Christoff</v>
      </c>
      <c r="F702" s="3">
        <v>45782</v>
      </c>
      <c r="G702" s="5" t="s">
        <v>992</v>
      </c>
      <c r="H702" t="s">
        <v>10</v>
      </c>
      <c r="I702" s="4">
        <v>5053</v>
      </c>
      <c r="J702" s="23" t="str">
        <f>VLOOKUP(bron[[#This Row],[voertuig]],Voertuigen!A:C,3,FALSE)</f>
        <v>Bus</v>
      </c>
      <c r="K702" s="23" t="str">
        <f>VLOOKUP(bron[[#This Row],[voertuig]],Voertuigen!A:C,2,FALSE)</f>
        <v>Gelede</v>
      </c>
      <c r="L702" s="23">
        <f>COUNTIF(A:A,bron[[#This Row],[personeelsnr]])</f>
        <v>1</v>
      </c>
    </row>
    <row r="703" spans="1:12" hidden="1" x14ac:dyDescent="0.25">
      <c r="A703" s="20">
        <v>39633</v>
      </c>
      <c r="B703" t="e">
        <f>VLOOKUP(bron[[#This Row],[personeelsnr]],[1]Blad1!$A:$H,2,FALSE)</f>
        <v>#N/A</v>
      </c>
      <c r="C703" t="e">
        <f>VLOOKUP(bron[[#This Row],[personeelsnr]],[1]Blad1!$A:$H,3,FALSE)</f>
        <v>#N/A</v>
      </c>
      <c r="D703" t="e">
        <f>VLOOKUP(bron[[#This Row],[personeelsnr]],[1]Blad1!$A:$H,4,FALSE)</f>
        <v>#N/A</v>
      </c>
      <c r="E703" s="2" t="s">
        <v>221</v>
      </c>
      <c r="F703" s="3">
        <v>45782</v>
      </c>
      <c r="G703" s="5" t="s">
        <v>993</v>
      </c>
      <c r="H703" t="s">
        <v>76</v>
      </c>
      <c r="I703" s="4">
        <v>4667</v>
      </c>
      <c r="J703" s="23" t="str">
        <f>VLOOKUP(bron[[#This Row],[voertuig]],Voertuigen!A:C,3,FALSE)</f>
        <v>Bus</v>
      </c>
      <c r="K703" s="23" t="str">
        <f>VLOOKUP(bron[[#This Row],[voertuig]],Voertuigen!A:C,2,FALSE)</f>
        <v>Citybus</v>
      </c>
      <c r="L703" s="23">
        <f>COUNTIF(A:A,bron[[#This Row],[personeelsnr]])</f>
        <v>2</v>
      </c>
    </row>
    <row r="704" spans="1:12" hidden="1" x14ac:dyDescent="0.25">
      <c r="A704" s="20">
        <v>37662</v>
      </c>
      <c r="B704" t="str">
        <f>VLOOKUP(bron[[#This Row],[personeelsnr]],[1]Blad1!$A:$H,2,FALSE)</f>
        <v>Van den Meerssche Steven</v>
      </c>
      <c r="C704" t="str">
        <f>VLOOKUP(bron[[#This Row],[personeelsnr]],[1]Blad1!$A:$H,3,FALSE)</f>
        <v>Van den Meerssche</v>
      </c>
      <c r="D704" t="str">
        <f>VLOOKUP(bron[[#This Row],[personeelsnr]],[1]Blad1!$A:$H,4,FALSE)</f>
        <v>Steven</v>
      </c>
      <c r="E704" s="2" t="str">
        <f>VLOOKUP(bron[[#This Row],[personeelsnr]],[1]Blad1!$A:$H,8,FALSE)</f>
        <v>Van Der Beken Bart</v>
      </c>
      <c r="F704" s="3">
        <v>45783</v>
      </c>
      <c r="G704" s="5" t="s">
        <v>994</v>
      </c>
      <c r="H704" t="s">
        <v>14</v>
      </c>
      <c r="I704" s="4">
        <v>5044</v>
      </c>
      <c r="J704" s="23" t="str">
        <f>VLOOKUP(bron[[#This Row],[voertuig]],Voertuigen!A:C,3,FALSE)</f>
        <v>Bus</v>
      </c>
      <c r="K704" s="23" t="str">
        <f>VLOOKUP(bron[[#This Row],[voertuig]],Voertuigen!A:C,2,FALSE)</f>
        <v>Gelede</v>
      </c>
      <c r="L704" s="23">
        <f>COUNTIF(A:A,bron[[#This Row],[personeelsnr]])</f>
        <v>9</v>
      </c>
    </row>
    <row r="705" spans="1:12" hidden="1" x14ac:dyDescent="0.25">
      <c r="A705" s="20">
        <v>40938</v>
      </c>
      <c r="B705" t="str">
        <f>VLOOKUP(bron[[#This Row],[personeelsnr]],[1]Blad1!$A:$H,2,FALSE)</f>
        <v>Hasnaoui Nejmeddine</v>
      </c>
      <c r="C705" t="str">
        <f>VLOOKUP(bron[[#This Row],[personeelsnr]],[1]Blad1!$A:$H,3,FALSE)</f>
        <v>Hasnaoui</v>
      </c>
      <c r="D705" t="str">
        <f>VLOOKUP(bron[[#This Row],[personeelsnr]],[1]Blad1!$A:$H,4,FALSE)</f>
        <v>Nejmeddine</v>
      </c>
      <c r="E705" s="2" t="str">
        <f>VLOOKUP(bron[[#This Row],[personeelsnr]],[1]Blad1!$A:$H,8,FALSE)</f>
        <v>De Clercq Dominique</v>
      </c>
      <c r="F705" s="6">
        <v>45783</v>
      </c>
      <c r="G705" s="5" t="s">
        <v>995</v>
      </c>
      <c r="H705" t="s">
        <v>26</v>
      </c>
      <c r="I705" s="4">
        <v>2196</v>
      </c>
      <c r="J705" s="23" t="str">
        <f>VLOOKUP(bron[[#This Row],[voertuig]],Voertuigen!A:C,3,FALSE)</f>
        <v>Bus</v>
      </c>
      <c r="K705" s="23" t="str">
        <f>VLOOKUP(bron[[#This Row],[voertuig]],Voertuigen!A:C,2,FALSE)</f>
        <v>Gelede</v>
      </c>
      <c r="L705" s="23">
        <f>COUNTIF(A:A,bron[[#This Row],[personeelsnr]])</f>
        <v>4</v>
      </c>
    </row>
    <row r="706" spans="1:12" hidden="1" x14ac:dyDescent="0.25">
      <c r="A706" s="20">
        <v>40652</v>
      </c>
      <c r="B706" t="str">
        <f>VLOOKUP(bron[[#This Row],[personeelsnr]],[1]Blad1!$A:$H,2,FALSE)</f>
        <v>Van Damme Gilyann</v>
      </c>
      <c r="C706" t="str">
        <f>VLOOKUP(bron[[#This Row],[personeelsnr]],[1]Blad1!$A:$H,3,FALSE)</f>
        <v>Van Damme</v>
      </c>
      <c r="D706" t="str">
        <f>VLOOKUP(bron[[#This Row],[personeelsnr]],[1]Blad1!$A:$H,4,FALSE)</f>
        <v>Gilyann</v>
      </c>
      <c r="E706" s="2" t="str">
        <f>VLOOKUP(bron[[#This Row],[personeelsnr]],[1]Blad1!$A:$H,8,FALSE)</f>
        <v>Vanhoe Els</v>
      </c>
      <c r="F706" s="3">
        <v>45784</v>
      </c>
      <c r="G706" s="5" t="s">
        <v>996</v>
      </c>
      <c r="H706" t="s">
        <v>161</v>
      </c>
      <c r="I706" s="4">
        <v>2196</v>
      </c>
      <c r="J706" s="23" t="str">
        <f>VLOOKUP(bron[[#This Row],[voertuig]],Voertuigen!A:C,3,FALSE)</f>
        <v>Bus</v>
      </c>
      <c r="K706" s="23" t="str">
        <f>VLOOKUP(bron[[#This Row],[voertuig]],Voertuigen!A:C,2,FALSE)</f>
        <v>Gelede</v>
      </c>
      <c r="L706" s="23">
        <f>COUNTIF(A:A,bron[[#This Row],[personeelsnr]])</f>
        <v>8</v>
      </c>
    </row>
    <row r="707" spans="1:12" hidden="1" x14ac:dyDescent="0.25">
      <c r="A707" s="20">
        <v>38931</v>
      </c>
      <c r="B707" t="str">
        <f>VLOOKUP(bron[[#This Row],[personeelsnr]],[1]Blad1!$A:$H,2,FALSE)</f>
        <v>Sancak Eyuphan</v>
      </c>
      <c r="C707" t="str">
        <f>VLOOKUP(bron[[#This Row],[personeelsnr]],[1]Blad1!$A:$H,3,FALSE)</f>
        <v>Sancak</v>
      </c>
      <c r="D707" t="str">
        <f>VLOOKUP(bron[[#This Row],[personeelsnr]],[1]Blad1!$A:$H,4,FALSE)</f>
        <v>Eyuphan</v>
      </c>
      <c r="E707" s="2" t="str">
        <f>VLOOKUP(bron[[#This Row],[personeelsnr]],[1]Blad1!$A:$H,8,FALSE)</f>
        <v>Van Der Beken Bart</v>
      </c>
      <c r="F707" s="3">
        <v>45786</v>
      </c>
      <c r="G707" s="5" t="s">
        <v>997</v>
      </c>
      <c r="H707" t="s">
        <v>123</v>
      </c>
      <c r="I707" s="4">
        <v>4678</v>
      </c>
      <c r="J707" s="23" t="str">
        <f>VLOOKUP(bron[[#This Row],[voertuig]],Voertuigen!A:C,3,FALSE)</f>
        <v>Bus</v>
      </c>
      <c r="K707" s="23" t="str">
        <f>VLOOKUP(bron[[#This Row],[voertuig]],Voertuigen!A:C,2,FALSE)</f>
        <v>Citybus</v>
      </c>
      <c r="L707" s="23">
        <f>COUNTIF(A:A,bron[[#This Row],[personeelsnr]])</f>
        <v>4</v>
      </c>
    </row>
    <row r="708" spans="1:12" hidden="1" x14ac:dyDescent="0.25">
      <c r="A708" s="20">
        <v>27672</v>
      </c>
      <c r="B708" t="str">
        <f>VLOOKUP(bron[[#This Row],[personeelsnr]],[1]Blad1!$A:$H,2,FALSE)</f>
        <v>Criel Veronique</v>
      </c>
      <c r="C708" t="str">
        <f>VLOOKUP(bron[[#This Row],[personeelsnr]],[1]Blad1!$A:$H,3,FALSE)</f>
        <v>Criel</v>
      </c>
      <c r="D708" t="str">
        <f>VLOOKUP(bron[[#This Row],[personeelsnr]],[1]Blad1!$A:$H,4,FALSE)</f>
        <v>Veronique</v>
      </c>
      <c r="E708" s="2" t="str">
        <f>VLOOKUP(bron[[#This Row],[personeelsnr]],[1]Blad1!$A:$H,8,FALSE)</f>
        <v>Storm Steven</v>
      </c>
      <c r="F708" s="3">
        <v>45787</v>
      </c>
      <c r="G708" s="5" t="s">
        <v>998</v>
      </c>
      <c r="H708" t="s">
        <v>25</v>
      </c>
      <c r="I708" s="4">
        <v>6311</v>
      </c>
      <c r="J708" s="23" t="str">
        <f>VLOOKUP(bron[[#This Row],[voertuig]],Voertuigen!A:C,3,FALSE)</f>
        <v>Tram</v>
      </c>
      <c r="K708" s="23" t="str">
        <f>VLOOKUP(bron[[#This Row],[voertuig]],Voertuigen!A:C,2,FALSE)</f>
        <v>Hermelijn</v>
      </c>
      <c r="L708" s="23">
        <f>COUNTIF(A:A,bron[[#This Row],[personeelsnr]])</f>
        <v>1</v>
      </c>
    </row>
    <row r="709" spans="1:12" hidden="1" x14ac:dyDescent="0.25">
      <c r="A709" s="20">
        <v>31165</v>
      </c>
      <c r="B709" t="str">
        <f>VLOOKUP(bron[[#This Row],[personeelsnr]],[1]Blad1!$A:$H,2,FALSE)</f>
        <v>Govaerts Sandro</v>
      </c>
      <c r="C709" t="str">
        <f>VLOOKUP(bron[[#This Row],[personeelsnr]],[1]Blad1!$A:$H,3,FALSE)</f>
        <v>Govaerts</v>
      </c>
      <c r="D709" t="str">
        <f>VLOOKUP(bron[[#This Row],[personeelsnr]],[1]Blad1!$A:$H,4,FALSE)</f>
        <v>Sandro</v>
      </c>
      <c r="E709" s="2" t="str">
        <f>VLOOKUP(bron[[#This Row],[personeelsnr]],[1]Blad1!$A:$H,8,FALSE)</f>
        <v>Van De Velde Lucie</v>
      </c>
      <c r="F709" s="3">
        <v>45787</v>
      </c>
      <c r="G709" s="5" t="s">
        <v>999</v>
      </c>
      <c r="H709" t="s">
        <v>88</v>
      </c>
      <c r="I709" s="4">
        <v>5048</v>
      </c>
      <c r="J709" s="23" t="str">
        <f>VLOOKUP(bron[[#This Row],[voertuig]],Voertuigen!A:C,3,FALSE)</f>
        <v>Bus</v>
      </c>
      <c r="K709" s="23" t="str">
        <f>VLOOKUP(bron[[#This Row],[voertuig]],Voertuigen!A:C,2,FALSE)</f>
        <v>Gelede</v>
      </c>
      <c r="L709" s="23">
        <f>COUNTIF(A:A,bron[[#This Row],[personeelsnr]])</f>
        <v>2</v>
      </c>
    </row>
    <row r="710" spans="1:12" hidden="1" x14ac:dyDescent="0.25">
      <c r="A710" s="20">
        <v>40138</v>
      </c>
      <c r="B710" t="str">
        <f>VLOOKUP(bron[[#This Row],[personeelsnr]],[1]Blad1!$A:$H,2,FALSE)</f>
        <v>Moerman Tjimmy</v>
      </c>
      <c r="C710" t="str">
        <f>VLOOKUP(bron[[#This Row],[personeelsnr]],[1]Blad1!$A:$H,3,FALSE)</f>
        <v>Moerman</v>
      </c>
      <c r="D710" t="str">
        <f>VLOOKUP(bron[[#This Row],[personeelsnr]],[1]Blad1!$A:$H,4,FALSE)</f>
        <v>Tjimmy</v>
      </c>
      <c r="E710" s="2" t="str">
        <f>VLOOKUP(bron[[#This Row],[personeelsnr]],[1]Blad1!$A:$H,8,FALSE)</f>
        <v>Rotty Christoff</v>
      </c>
      <c r="F710" s="3">
        <v>45788</v>
      </c>
      <c r="G710" s="5" t="s">
        <v>1000</v>
      </c>
      <c r="H710" t="s">
        <v>12</v>
      </c>
      <c r="I710" s="4">
        <v>5047</v>
      </c>
      <c r="J710" s="23" t="str">
        <f>VLOOKUP(bron[[#This Row],[voertuig]],Voertuigen!A:C,3,FALSE)</f>
        <v>Bus</v>
      </c>
      <c r="K710" s="23" t="str">
        <f>VLOOKUP(bron[[#This Row],[voertuig]],Voertuigen!A:C,2,FALSE)</f>
        <v>Gelede</v>
      </c>
      <c r="L710" s="23">
        <f>COUNTIF(A:A,bron[[#This Row],[personeelsnr]])</f>
        <v>10</v>
      </c>
    </row>
    <row r="711" spans="1:12" hidden="1" x14ac:dyDescent="0.25">
      <c r="A711" s="20">
        <v>39856</v>
      </c>
      <c r="B711" t="str">
        <f>VLOOKUP(bron[[#This Row],[personeelsnr]],[1]Blad1!$A:$H,2,FALSE)</f>
        <v>Curukcu Bayram</v>
      </c>
      <c r="C711" t="str">
        <f>VLOOKUP(bron[[#This Row],[personeelsnr]],[1]Blad1!$A:$H,3,FALSE)</f>
        <v>Curukcu</v>
      </c>
      <c r="D711" t="str">
        <f>VLOOKUP(bron[[#This Row],[personeelsnr]],[1]Blad1!$A:$H,4,FALSE)</f>
        <v>Bayram</v>
      </c>
      <c r="E711" s="2" t="str">
        <f>VLOOKUP(bron[[#This Row],[personeelsnr]],[1]Blad1!$A:$H,8,FALSE)</f>
        <v>De Rick Kenneth</v>
      </c>
      <c r="F711" s="3">
        <v>45790</v>
      </c>
      <c r="G711" s="5" t="s">
        <v>1001</v>
      </c>
      <c r="H711" t="s">
        <v>172</v>
      </c>
      <c r="I711" s="4">
        <v>5265</v>
      </c>
      <c r="J711" s="23" t="str">
        <f>VLOOKUP(bron[[#This Row],[voertuig]],Voertuigen!A:C,3,FALSE)</f>
        <v>Bus</v>
      </c>
      <c r="K711" s="23" t="str">
        <f>VLOOKUP(bron[[#This Row],[voertuig]],Voertuigen!A:C,2,FALSE)</f>
        <v>Gelede</v>
      </c>
      <c r="L711" s="23">
        <f>COUNTIF(A:A,bron[[#This Row],[personeelsnr]])</f>
        <v>2</v>
      </c>
    </row>
    <row r="712" spans="1:12" hidden="1" x14ac:dyDescent="0.25">
      <c r="A712" s="20">
        <v>29746</v>
      </c>
      <c r="B712" t="str">
        <f>VLOOKUP(bron[[#This Row],[personeelsnr]],[1]Blad1!$A:$H,2,FALSE)</f>
        <v>Huyse Annicke</v>
      </c>
      <c r="C712" t="str">
        <f>VLOOKUP(bron[[#This Row],[personeelsnr]],[1]Blad1!$A:$H,3,FALSE)</f>
        <v>Huyse</v>
      </c>
      <c r="D712" t="str">
        <f>VLOOKUP(bron[[#This Row],[personeelsnr]],[1]Blad1!$A:$H,4,FALSE)</f>
        <v>Annicke</v>
      </c>
      <c r="E712" s="2" t="str">
        <f>VLOOKUP(bron[[#This Row],[personeelsnr]],[1]Blad1!$A:$H,8,FALSE)</f>
        <v>Van Der Beken Bart</v>
      </c>
      <c r="F712" s="6">
        <v>45791</v>
      </c>
      <c r="G712" s="5" t="s">
        <v>1002</v>
      </c>
      <c r="H712" t="s">
        <v>10</v>
      </c>
      <c r="I712" s="4">
        <v>5231</v>
      </c>
      <c r="J712" s="23" t="str">
        <f>VLOOKUP(bron[[#This Row],[voertuig]],Voertuigen!A:C,3,FALSE)</f>
        <v>Bus</v>
      </c>
      <c r="K712" s="23" t="str">
        <f>VLOOKUP(bron[[#This Row],[voertuig]],Voertuigen!A:C,2,FALSE)</f>
        <v>Gelede</v>
      </c>
      <c r="L712" s="23">
        <f>COUNTIF(A:A,bron[[#This Row],[personeelsnr]])</f>
        <v>3</v>
      </c>
    </row>
    <row r="713" spans="1:12" hidden="1" x14ac:dyDescent="0.25">
      <c r="A713" s="20">
        <v>36428</v>
      </c>
      <c r="B713" t="str">
        <f>VLOOKUP(bron[[#This Row],[personeelsnr]],[1]Blad1!$A:$H,2,FALSE)</f>
        <v>Abdi Shaiye Rashid</v>
      </c>
      <c r="C713" t="str">
        <f>VLOOKUP(bron[[#This Row],[personeelsnr]],[1]Blad1!$A:$H,3,FALSE)</f>
        <v>Abdi Shaiye</v>
      </c>
      <c r="D713" t="str">
        <f>VLOOKUP(bron[[#This Row],[personeelsnr]],[1]Blad1!$A:$H,4,FALSE)</f>
        <v>Rashid</v>
      </c>
      <c r="E713" s="2" t="str">
        <f>VLOOKUP(bron[[#This Row],[personeelsnr]],[1]Blad1!$A:$H,8,FALSE)</f>
        <v>Van De Velde Lucie</v>
      </c>
      <c r="F713" s="6">
        <v>45792</v>
      </c>
      <c r="G713" s="5" t="s">
        <v>1003</v>
      </c>
      <c r="H713" t="s">
        <v>8</v>
      </c>
      <c r="I713" s="4">
        <v>6367</v>
      </c>
      <c r="J713" s="23" t="str">
        <f>VLOOKUP(bron[[#This Row],[voertuig]],Voertuigen!A:C,3,FALSE)</f>
        <v>Tram</v>
      </c>
      <c r="K713" s="23" t="str">
        <f>VLOOKUP(bron[[#This Row],[voertuig]],Voertuigen!A:C,2,FALSE)</f>
        <v>Flexity</v>
      </c>
      <c r="L713" s="23">
        <f>COUNTIF(A:A,bron[[#This Row],[personeelsnr]])</f>
        <v>6</v>
      </c>
    </row>
    <row r="714" spans="1:12" hidden="1" x14ac:dyDescent="0.25">
      <c r="A714" s="20">
        <v>40393</v>
      </c>
      <c r="B714" t="str">
        <f>VLOOKUP(bron[[#This Row],[personeelsnr]],[1]Blad1!$A:$H,2,FALSE)</f>
        <v>Salimova Eydzhan</v>
      </c>
      <c r="C714" t="str">
        <f>VLOOKUP(bron[[#This Row],[personeelsnr]],[1]Blad1!$A:$H,3,FALSE)</f>
        <v>Salimova</v>
      </c>
      <c r="D714" t="str">
        <f>VLOOKUP(bron[[#This Row],[personeelsnr]],[1]Blad1!$A:$H,4,FALSE)</f>
        <v>Eydzhan</v>
      </c>
      <c r="E714" s="2" t="str">
        <f>VLOOKUP(bron[[#This Row],[personeelsnr]],[1]Blad1!$A:$H,8,FALSE)</f>
        <v>De Clercq Dominique</v>
      </c>
      <c r="F714" s="6">
        <v>45792</v>
      </c>
      <c r="G714" s="5" t="s">
        <v>1004</v>
      </c>
      <c r="H714" t="s">
        <v>106</v>
      </c>
      <c r="I714" s="4">
        <v>7897</v>
      </c>
      <c r="J714" s="23" t="str">
        <f>VLOOKUP(bron[[#This Row],[voertuig]],Voertuigen!A:C,3,FALSE)</f>
        <v>Rijschool</v>
      </c>
      <c r="K714" s="23" t="str">
        <f>VLOOKUP(bron[[#This Row],[voertuig]],Voertuigen!A:C,2,FALSE)</f>
        <v>Rijschool</v>
      </c>
      <c r="L714" s="23">
        <f>COUNTIF(A:A,bron[[#This Row],[personeelsnr]])</f>
        <v>1</v>
      </c>
    </row>
    <row r="715" spans="1:12" hidden="1" x14ac:dyDescent="0.25">
      <c r="A715" s="20">
        <v>41230</v>
      </c>
      <c r="B715" t="str">
        <f>VLOOKUP(bron[[#This Row],[personeelsnr]],[1]Blad1!$A:$H,2,FALSE)</f>
        <v>De Witte Bart</v>
      </c>
      <c r="C715" t="str">
        <f>VLOOKUP(bron[[#This Row],[personeelsnr]],[1]Blad1!$A:$H,3,FALSE)</f>
        <v>De Witte</v>
      </c>
      <c r="D715" t="str">
        <f>VLOOKUP(bron[[#This Row],[personeelsnr]],[1]Blad1!$A:$H,4,FALSE)</f>
        <v>Bart</v>
      </c>
      <c r="E715" s="2" t="str">
        <f>VLOOKUP(bron[[#This Row],[personeelsnr]],[1]Blad1!$A:$H,8,FALSE)</f>
        <v>De Clercq Dominique</v>
      </c>
      <c r="F715" s="6">
        <v>45794</v>
      </c>
      <c r="G715" s="5" t="s">
        <v>1005</v>
      </c>
      <c r="H715" t="s">
        <v>164</v>
      </c>
      <c r="I715" s="4">
        <v>5924</v>
      </c>
      <c r="J715" s="23" t="str">
        <f>VLOOKUP(bron[[#This Row],[voertuig]],Voertuigen!A:C,3,FALSE)</f>
        <v>Bus</v>
      </c>
      <c r="K715" s="23" t="str">
        <f>VLOOKUP(bron[[#This Row],[voertuig]],Voertuigen!A:C,2,FALSE)</f>
        <v>Standaard</v>
      </c>
      <c r="L715" s="23">
        <f>COUNTIF(A:A,bron[[#This Row],[personeelsnr]])</f>
        <v>2</v>
      </c>
    </row>
    <row r="716" spans="1:12" hidden="1" x14ac:dyDescent="0.25">
      <c r="A716" s="20">
        <v>26960</v>
      </c>
      <c r="B716" t="str">
        <f>VLOOKUP(bron[[#This Row],[personeelsnr]],[1]Blad1!$A:$H,2,FALSE)</f>
        <v>Toubadie Mossa</v>
      </c>
      <c r="C716" t="str">
        <f>VLOOKUP(bron[[#This Row],[personeelsnr]],[1]Blad1!$A:$H,3,FALSE)</f>
        <v>Toubadie</v>
      </c>
      <c r="D716" t="str">
        <f>VLOOKUP(bron[[#This Row],[personeelsnr]],[1]Blad1!$A:$H,4,FALSE)</f>
        <v>Mossa</v>
      </c>
      <c r="E716" s="2" t="str">
        <f>VLOOKUP(bron[[#This Row],[personeelsnr]],[1]Blad1!$A:$H,8,FALSE)</f>
        <v>Vanhoe Els</v>
      </c>
      <c r="F716" s="11">
        <v>45798</v>
      </c>
      <c r="G716" s="5" t="s">
        <v>1006</v>
      </c>
      <c r="H716" t="s">
        <v>38</v>
      </c>
      <c r="I716" s="4">
        <v>5935</v>
      </c>
      <c r="J716" s="23" t="str">
        <f>VLOOKUP(bron[[#This Row],[voertuig]],Voertuigen!A:C,3,FALSE)</f>
        <v>Bus</v>
      </c>
      <c r="K716" s="23" t="str">
        <f>VLOOKUP(bron[[#This Row],[voertuig]],Voertuigen!A:C,2,FALSE)</f>
        <v>Standaard</v>
      </c>
      <c r="L716" s="23">
        <f>COUNTIF(A:A,bron[[#This Row],[personeelsnr]])</f>
        <v>3</v>
      </c>
    </row>
    <row r="717" spans="1:12" hidden="1" x14ac:dyDescent="0.25">
      <c r="A717" s="20">
        <v>41710</v>
      </c>
      <c r="B717" t="str">
        <f>VLOOKUP(bron[[#This Row],[personeelsnr]],[1]Blad1!$A:$H,2,FALSE)</f>
        <v>Ghani Fazal</v>
      </c>
      <c r="C717" t="str">
        <f>VLOOKUP(bron[[#This Row],[personeelsnr]],[1]Blad1!$A:$H,3,FALSE)</f>
        <v>Ghani</v>
      </c>
      <c r="D717" t="str">
        <f>VLOOKUP(bron[[#This Row],[personeelsnr]],[1]Blad1!$A:$H,4,FALSE)</f>
        <v>Fazal</v>
      </c>
      <c r="E717" s="2" t="str">
        <f>VLOOKUP(bron[[#This Row],[personeelsnr]],[1]Blad1!$A:$H,8,FALSE)</f>
        <v>Vanhoe Els</v>
      </c>
      <c r="F717" s="6">
        <v>45798</v>
      </c>
      <c r="G717" s="5" t="s">
        <v>1007</v>
      </c>
      <c r="H717" t="s">
        <v>35</v>
      </c>
      <c r="I717" s="4">
        <v>2546</v>
      </c>
      <c r="J717" s="23" t="str">
        <f>VLOOKUP(bron[[#This Row],[voertuig]],Voertuigen!A:C,3,FALSE)</f>
        <v>Bus</v>
      </c>
      <c r="K717" s="23" t="str">
        <f>VLOOKUP(bron[[#This Row],[voertuig]],Voertuigen!A:C,2,FALSE)</f>
        <v>E-bus</v>
      </c>
      <c r="L717" s="23">
        <f>COUNTIF(A:A,bron[[#This Row],[personeelsnr]])</f>
        <v>1</v>
      </c>
    </row>
    <row r="718" spans="1:12" hidden="1" x14ac:dyDescent="0.25">
      <c r="A718" s="20">
        <v>38648</v>
      </c>
      <c r="B718" t="str">
        <f>VLOOKUP(bron[[#This Row],[personeelsnr]],[1]Blad1!$A:$H,2,FALSE)</f>
        <v>Uckuyulu Muhammet Emin</v>
      </c>
      <c r="C718" t="str">
        <f>VLOOKUP(bron[[#This Row],[personeelsnr]],[1]Blad1!$A:$H,3,FALSE)</f>
        <v>Uckuyulu</v>
      </c>
      <c r="D718" t="str">
        <f>VLOOKUP(bron[[#This Row],[personeelsnr]],[1]Blad1!$A:$H,4,FALSE)</f>
        <v>Muhammet Emin</v>
      </c>
      <c r="E718" s="2" t="str">
        <f>VLOOKUP(bron[[#This Row],[personeelsnr]],[1]Blad1!$A:$H,8,FALSE)</f>
        <v>Van De Velde Lucie</v>
      </c>
      <c r="F718" s="6">
        <v>45798</v>
      </c>
      <c r="G718" s="5" t="s">
        <v>1008</v>
      </c>
      <c r="H718" t="s">
        <v>146</v>
      </c>
      <c r="I718" s="4">
        <v>6333</v>
      </c>
      <c r="J718" s="23" t="str">
        <f>VLOOKUP(bron[[#This Row],[voertuig]],Voertuigen!A:C,3,FALSE)</f>
        <v>Tram</v>
      </c>
      <c r="K718" s="23" t="str">
        <f>VLOOKUP(bron[[#This Row],[voertuig]],Voertuigen!A:C,2,FALSE)</f>
        <v>Hermelijn</v>
      </c>
      <c r="L718" s="23">
        <f>COUNTIF(A:A,bron[[#This Row],[personeelsnr]])</f>
        <v>4</v>
      </c>
    </row>
    <row r="719" spans="1:12" hidden="1" x14ac:dyDescent="0.25">
      <c r="A719" s="20">
        <v>41671</v>
      </c>
      <c r="B719" t="str">
        <f>VLOOKUP(bron[[#This Row],[personeelsnr]],[1]Blad1!$A:$H,2,FALSE)</f>
        <v>Hasan Salem</v>
      </c>
      <c r="C719" t="str">
        <f>VLOOKUP(bron[[#This Row],[personeelsnr]],[1]Blad1!$A:$H,3,FALSE)</f>
        <v>Hasan</v>
      </c>
      <c r="D719" t="str">
        <f>VLOOKUP(bron[[#This Row],[personeelsnr]],[1]Blad1!$A:$H,4,FALSE)</f>
        <v>Salem</v>
      </c>
      <c r="E719" s="2" t="str">
        <f>VLOOKUP(bron[[#This Row],[personeelsnr]],[1]Blad1!$A:$H,8,FALSE)</f>
        <v>Van Der Beken Bart</v>
      </c>
      <c r="F719" s="6">
        <v>45799</v>
      </c>
      <c r="G719" s="5" t="s">
        <v>1009</v>
      </c>
      <c r="H719" t="s">
        <v>19</v>
      </c>
      <c r="I719" s="4">
        <v>8232</v>
      </c>
      <c r="J719" s="23" t="str">
        <f>VLOOKUP(bron[[#This Row],[voertuig]],Voertuigen!A:C,3,FALSE)</f>
        <v>Rijschool</v>
      </c>
      <c r="K719" s="23" t="str">
        <f>VLOOKUP(bron[[#This Row],[voertuig]],Voertuigen!A:C,2,FALSE)</f>
        <v>Rijschool</v>
      </c>
      <c r="L719" s="23">
        <f>COUNTIF(A:A,bron[[#This Row],[personeelsnr]])</f>
        <v>1</v>
      </c>
    </row>
    <row r="720" spans="1:12" hidden="1" x14ac:dyDescent="0.25">
      <c r="A720" s="20">
        <v>39651</v>
      </c>
      <c r="B720" t="str">
        <f>VLOOKUP(bron[[#This Row],[personeelsnr]],[1]Blad1!$A:$H,2,FALSE)</f>
        <v>Kallenbach Sunny</v>
      </c>
      <c r="C720" t="str">
        <f>VLOOKUP(bron[[#This Row],[personeelsnr]],[1]Blad1!$A:$H,3,FALSE)</f>
        <v>Kallenbach</v>
      </c>
      <c r="D720" t="str">
        <f>VLOOKUP(bron[[#This Row],[personeelsnr]],[1]Blad1!$A:$H,4,FALSE)</f>
        <v>Sunny</v>
      </c>
      <c r="E720" s="2" t="str">
        <f>VLOOKUP(bron[[#This Row],[personeelsnr]],[1]Blad1!$A:$H,8,FALSE)</f>
        <v>De Rick Kenneth</v>
      </c>
      <c r="F720" s="6">
        <v>45800</v>
      </c>
      <c r="G720" s="5" t="s">
        <v>1010</v>
      </c>
      <c r="H720" t="s">
        <v>8</v>
      </c>
      <c r="I720" s="4">
        <v>5238</v>
      </c>
      <c r="J720" s="23" t="str">
        <f>VLOOKUP(bron[[#This Row],[voertuig]],Voertuigen!A:C,3,FALSE)</f>
        <v>Bus</v>
      </c>
      <c r="K720" s="23" t="str">
        <f>VLOOKUP(bron[[#This Row],[voertuig]],Voertuigen!A:C,2,FALSE)</f>
        <v>Gelede</v>
      </c>
      <c r="L720" s="23">
        <f>COUNTIF(A:A,bron[[#This Row],[personeelsnr]])</f>
        <v>4</v>
      </c>
    </row>
    <row r="721" spans="1:12" hidden="1" x14ac:dyDescent="0.25">
      <c r="A721" s="20">
        <v>41482</v>
      </c>
      <c r="B721" t="str">
        <f>VLOOKUP(bron[[#This Row],[personeelsnr]],[1]Blad1!$A:$H,2,FALSE)</f>
        <v>Özdemir Osman</v>
      </c>
      <c r="C721" t="str">
        <f>VLOOKUP(bron[[#This Row],[personeelsnr]],[1]Blad1!$A:$H,3,FALSE)</f>
        <v>Özdemir</v>
      </c>
      <c r="D721" t="str">
        <f>VLOOKUP(bron[[#This Row],[personeelsnr]],[1]Blad1!$A:$H,4,FALSE)</f>
        <v>Osman</v>
      </c>
      <c r="E721" s="2" t="str">
        <f>VLOOKUP(bron[[#This Row],[personeelsnr]],[1]Blad1!$A:$H,8,FALSE)</f>
        <v>Van Der Beken Bart</v>
      </c>
      <c r="F721" s="6">
        <v>45800</v>
      </c>
      <c r="G721" s="5" t="s">
        <v>1011</v>
      </c>
      <c r="H721" t="s">
        <v>14</v>
      </c>
      <c r="I721" s="4">
        <v>5928</v>
      </c>
      <c r="J721" s="23" t="str">
        <f>VLOOKUP(bron[[#This Row],[voertuig]],Voertuigen!A:C,3,FALSE)</f>
        <v>Bus</v>
      </c>
      <c r="K721" s="23" t="str">
        <f>VLOOKUP(bron[[#This Row],[voertuig]],Voertuigen!A:C,2,FALSE)</f>
        <v>Standaard</v>
      </c>
      <c r="L721" s="23">
        <f>COUNTIF(A:A,bron[[#This Row],[personeelsnr]])</f>
        <v>3</v>
      </c>
    </row>
    <row r="722" spans="1:12" hidden="1" x14ac:dyDescent="0.25">
      <c r="A722" s="20">
        <v>40278</v>
      </c>
      <c r="B722" t="str">
        <f>VLOOKUP(bron[[#This Row],[personeelsnr]],[1]Blad1!$A:$H,2,FALSE)</f>
        <v>Ates Firat</v>
      </c>
      <c r="C722" t="str">
        <f>VLOOKUP(bron[[#This Row],[personeelsnr]],[1]Blad1!$A:$H,3,FALSE)</f>
        <v>Ates</v>
      </c>
      <c r="D722" t="str">
        <f>VLOOKUP(bron[[#This Row],[personeelsnr]],[1]Blad1!$A:$H,4,FALSE)</f>
        <v>Firat</v>
      </c>
      <c r="E722" s="2" t="str">
        <f>VLOOKUP(bron[[#This Row],[personeelsnr]],[1]Blad1!$A:$H,8,FALSE)</f>
        <v>Rotty Christoff</v>
      </c>
      <c r="F722" s="6">
        <v>45800</v>
      </c>
      <c r="G722" s="4" t="s">
        <v>1012</v>
      </c>
      <c r="H722" t="s">
        <v>18</v>
      </c>
      <c r="I722" s="4" t="s">
        <v>220</v>
      </c>
      <c r="J722" s="23">
        <f>VLOOKUP(bron[[#This Row],[voertuig]],Voertuigen!A:C,3,FALSE)</f>
        <v>0</v>
      </c>
      <c r="K722" s="23" t="str">
        <f>VLOOKUP(bron[[#This Row],[voertuig]],Voertuigen!A:C,2,FALSE)</f>
        <v>-</v>
      </c>
      <c r="L722" s="23">
        <f>COUNTIF(A:A,bron[[#This Row],[personeelsnr]])</f>
        <v>5</v>
      </c>
    </row>
    <row r="723" spans="1:12" hidden="1" x14ac:dyDescent="0.25">
      <c r="A723" s="20">
        <v>36438</v>
      </c>
      <c r="B723" t="str">
        <f>VLOOKUP(bron[[#This Row],[personeelsnr]],[1]Blad1!$A:$H,2,FALSE)</f>
        <v>Agil Birol</v>
      </c>
      <c r="C723" t="str">
        <f>VLOOKUP(bron[[#This Row],[personeelsnr]],[1]Blad1!$A:$H,3,FALSE)</f>
        <v>Agil</v>
      </c>
      <c r="D723" t="str">
        <f>VLOOKUP(bron[[#This Row],[personeelsnr]],[1]Blad1!$A:$H,4,FALSE)</f>
        <v>Birol</v>
      </c>
      <c r="E723" s="2" t="str">
        <f>VLOOKUP(bron[[#This Row],[personeelsnr]],[1]Blad1!$A:$H,8,FALSE)</f>
        <v>Van Der Beken Bart</v>
      </c>
      <c r="F723" s="3">
        <v>45803</v>
      </c>
      <c r="G723" s="5" t="s">
        <v>1013</v>
      </c>
      <c r="H723" t="s">
        <v>28</v>
      </c>
      <c r="I723" s="4">
        <v>6314</v>
      </c>
      <c r="J723" s="23" t="str">
        <f>VLOOKUP(bron[[#This Row],[voertuig]],Voertuigen!A:C,3,FALSE)</f>
        <v>Tram</v>
      </c>
      <c r="K723" s="23" t="str">
        <f>VLOOKUP(bron[[#This Row],[voertuig]],Voertuigen!A:C,2,FALSE)</f>
        <v>Hermelijn</v>
      </c>
      <c r="L723" s="23">
        <f>COUNTIF(A:A,bron[[#This Row],[personeelsnr]])</f>
        <v>5</v>
      </c>
    </row>
    <row r="724" spans="1:12" hidden="1" x14ac:dyDescent="0.25">
      <c r="A724" s="20">
        <v>15282</v>
      </c>
      <c r="B724" t="str">
        <f>VLOOKUP(bron[[#This Row],[personeelsnr]],[1]Blad1!$A:$H,2,FALSE)</f>
        <v>Marinx Kristoff</v>
      </c>
      <c r="C724" t="str">
        <f>VLOOKUP(bron[[#This Row],[personeelsnr]],[1]Blad1!$A:$H,3,FALSE)</f>
        <v>Marinx</v>
      </c>
      <c r="D724" t="str">
        <f>VLOOKUP(bron[[#This Row],[personeelsnr]],[1]Blad1!$A:$H,4,FALSE)</f>
        <v>Kristoff</v>
      </c>
      <c r="E724" s="2" t="str">
        <f>VLOOKUP(bron[[#This Row],[personeelsnr]],[1]Blad1!$A:$H,8,FALSE)</f>
        <v>De Rick Kenneth</v>
      </c>
      <c r="F724" s="6">
        <v>45803</v>
      </c>
      <c r="G724" s="5" t="s">
        <v>1014</v>
      </c>
      <c r="H724" t="s">
        <v>80</v>
      </c>
      <c r="I724" s="4">
        <v>6322</v>
      </c>
      <c r="J724" s="23" t="str">
        <f>VLOOKUP(bron[[#This Row],[voertuig]],Voertuigen!A:C,3,FALSE)</f>
        <v>Tram</v>
      </c>
      <c r="K724" s="23" t="str">
        <f>VLOOKUP(bron[[#This Row],[voertuig]],Voertuigen!A:C,2,FALSE)</f>
        <v>Hermelijn</v>
      </c>
      <c r="L724" s="23">
        <f>COUNTIF(A:A,bron[[#This Row],[personeelsnr]])</f>
        <v>2</v>
      </c>
    </row>
    <row r="725" spans="1:12" hidden="1" x14ac:dyDescent="0.25">
      <c r="A725" s="20">
        <v>15412</v>
      </c>
      <c r="B725" t="str">
        <f>VLOOKUP(bron[[#This Row],[personeelsnr]],[1]Blad1!$A:$H,2,FALSE)</f>
        <v>Dhondt Frank</v>
      </c>
      <c r="C725" t="str">
        <f>VLOOKUP(bron[[#This Row],[personeelsnr]],[1]Blad1!$A:$H,3,FALSE)</f>
        <v>Dhondt</v>
      </c>
      <c r="D725" t="str">
        <f>VLOOKUP(bron[[#This Row],[personeelsnr]],[1]Blad1!$A:$H,4,FALSE)</f>
        <v>Frank</v>
      </c>
      <c r="E725" s="2" t="str">
        <f>VLOOKUP(bron[[#This Row],[personeelsnr]],[1]Blad1!$A:$H,8,FALSE)</f>
        <v>Van Der Beken Bart</v>
      </c>
      <c r="F725" s="6">
        <v>45803</v>
      </c>
      <c r="G725" s="5" t="s">
        <v>1015</v>
      </c>
      <c r="H725" t="s">
        <v>78</v>
      </c>
      <c r="I725" s="4">
        <v>5266</v>
      </c>
      <c r="J725" s="23" t="str">
        <f>VLOOKUP(bron[[#This Row],[voertuig]],Voertuigen!A:C,3,FALSE)</f>
        <v>Bus</v>
      </c>
      <c r="K725" s="23" t="str">
        <f>VLOOKUP(bron[[#This Row],[voertuig]],Voertuigen!A:C,2,FALSE)</f>
        <v>Gelede</v>
      </c>
      <c r="L725" s="23">
        <f>COUNTIF(A:A,bron[[#This Row],[personeelsnr]])</f>
        <v>2</v>
      </c>
    </row>
    <row r="726" spans="1:12" hidden="1" x14ac:dyDescent="0.25">
      <c r="A726" s="20">
        <v>40856</v>
      </c>
      <c r="B726" t="str">
        <f>VLOOKUP(bron[[#This Row],[personeelsnr]],[1]Blad1!$A:$H,2,FALSE)</f>
        <v>Neissi Sadegh</v>
      </c>
      <c r="C726" t="str">
        <f>VLOOKUP(bron[[#This Row],[personeelsnr]],[1]Blad1!$A:$H,3,FALSE)</f>
        <v>Neissi</v>
      </c>
      <c r="D726" t="str">
        <f>VLOOKUP(bron[[#This Row],[personeelsnr]],[1]Blad1!$A:$H,4,FALSE)</f>
        <v>Sadegh</v>
      </c>
      <c r="E726" s="2" t="str">
        <f>VLOOKUP(bron[[#This Row],[personeelsnr]],[1]Blad1!$A:$H,8,FALSE)</f>
        <v>De Rick Kenneth</v>
      </c>
      <c r="F726" s="6">
        <v>45806</v>
      </c>
      <c r="G726" s="5" t="s">
        <v>1016</v>
      </c>
      <c r="H726" t="s">
        <v>75</v>
      </c>
      <c r="I726" s="4">
        <v>5360</v>
      </c>
      <c r="J726" s="23" t="str">
        <f>VLOOKUP(bron[[#This Row],[voertuig]],Voertuigen!A:C,3,FALSE)</f>
        <v>Bus</v>
      </c>
      <c r="K726" s="23" t="str">
        <f>VLOOKUP(bron[[#This Row],[voertuig]],Voertuigen!A:C,2,FALSE)</f>
        <v>Gelede</v>
      </c>
      <c r="L726" s="23">
        <f>COUNTIF(A:A,bron[[#This Row],[personeelsnr]])</f>
        <v>5</v>
      </c>
    </row>
    <row r="727" spans="1:12" hidden="1" x14ac:dyDescent="0.25">
      <c r="A727" s="20">
        <v>41619</v>
      </c>
      <c r="B727" t="str">
        <f>VLOOKUP(bron[[#This Row],[personeelsnr]],[1]Blad1!$A:$H,2,FALSE)</f>
        <v>Bachiri Ousama</v>
      </c>
      <c r="C727" t="str">
        <f>VLOOKUP(bron[[#This Row],[personeelsnr]],[1]Blad1!$A:$H,3,FALSE)</f>
        <v>Bachiri</v>
      </c>
      <c r="D727" t="str">
        <f>VLOOKUP(bron[[#This Row],[personeelsnr]],[1]Blad1!$A:$H,4,FALSE)</f>
        <v>Ousama</v>
      </c>
      <c r="E727" s="2" t="str">
        <f>VLOOKUP(bron[[#This Row],[personeelsnr]],[1]Blad1!$A:$H,8,FALSE)</f>
        <v>Van Der Beken Bart</v>
      </c>
      <c r="F727" s="6">
        <v>45807</v>
      </c>
      <c r="G727" s="5" t="s">
        <v>1017</v>
      </c>
      <c r="H727" t="s">
        <v>49</v>
      </c>
      <c r="I727" s="4">
        <v>5927</v>
      </c>
      <c r="J727" s="23" t="str">
        <f>VLOOKUP(bron[[#This Row],[voertuig]],Voertuigen!A:C,3,FALSE)</f>
        <v>Bus</v>
      </c>
      <c r="K727" s="23" t="str">
        <f>VLOOKUP(bron[[#This Row],[voertuig]],Voertuigen!A:C,2,FALSE)</f>
        <v>Standaard</v>
      </c>
      <c r="L727" s="23">
        <f>COUNTIF(A:A,bron[[#This Row],[personeelsnr]])</f>
        <v>4</v>
      </c>
    </row>
    <row r="728" spans="1:12" hidden="1" x14ac:dyDescent="0.25">
      <c r="A728" s="20">
        <v>39927</v>
      </c>
      <c r="B728" t="str">
        <f>VLOOKUP(bron[[#This Row],[personeelsnr]],[1]Blad1!$A:$H,2,FALSE)</f>
        <v>De Wilde Jordy</v>
      </c>
      <c r="C728" t="str">
        <f>VLOOKUP(bron[[#This Row],[personeelsnr]],[1]Blad1!$A:$H,3,FALSE)</f>
        <v>De Wilde</v>
      </c>
      <c r="D728" t="str">
        <f>VLOOKUP(bron[[#This Row],[personeelsnr]],[1]Blad1!$A:$H,4,FALSE)</f>
        <v>Jordy</v>
      </c>
      <c r="E728" s="2" t="str">
        <f>VLOOKUP(bron[[#This Row],[personeelsnr]],[1]Blad1!$A:$H,8,FALSE)</f>
        <v>Rotty Christoff</v>
      </c>
      <c r="F728" s="6">
        <v>45808</v>
      </c>
      <c r="G728" s="5" t="s">
        <v>1018</v>
      </c>
      <c r="H728" t="s">
        <v>7</v>
      </c>
      <c r="I728" s="4">
        <v>6355</v>
      </c>
      <c r="J728" s="23" t="str">
        <f>VLOOKUP(bron[[#This Row],[voertuig]],Voertuigen!A:C,3,FALSE)</f>
        <v>Tram</v>
      </c>
      <c r="K728" s="23" t="str">
        <f>VLOOKUP(bron[[#This Row],[voertuig]],Voertuigen!A:C,2,FALSE)</f>
        <v>Flexity</v>
      </c>
      <c r="L728" s="23">
        <f>COUNTIF(A:A,bron[[#This Row],[personeelsnr]])</f>
        <v>2</v>
      </c>
    </row>
    <row r="729" spans="1:12" hidden="1" x14ac:dyDescent="0.25">
      <c r="A729" s="20">
        <v>40036</v>
      </c>
      <c r="B729" t="str">
        <f>VLOOKUP(bron[[#This Row],[personeelsnr]],[1]Blad1!$A:$H,2,FALSE)</f>
        <v>Karakaya Oguz</v>
      </c>
      <c r="C729" t="str">
        <f>VLOOKUP(bron[[#This Row],[personeelsnr]],[1]Blad1!$A:$H,3,FALSE)</f>
        <v>Karakaya</v>
      </c>
      <c r="D729" t="str">
        <f>VLOOKUP(bron[[#This Row],[personeelsnr]],[1]Blad1!$A:$H,4,FALSE)</f>
        <v>Oguz</v>
      </c>
      <c r="E729" s="2" t="str">
        <f>VLOOKUP(bron[[#This Row],[personeelsnr]],[1]Blad1!$A:$H,8,FALSE)</f>
        <v>De Clercq Dominique</v>
      </c>
      <c r="F729" s="6">
        <v>45810</v>
      </c>
      <c r="G729" s="5" t="s">
        <v>1019</v>
      </c>
      <c r="H729" t="s">
        <v>43</v>
      </c>
      <c r="I729" s="4">
        <v>5931</v>
      </c>
      <c r="J729" s="23" t="str">
        <f>VLOOKUP(bron[[#This Row],[voertuig]],Voertuigen!A:C,3,FALSE)</f>
        <v>Bus</v>
      </c>
      <c r="K729" s="23" t="str">
        <f>VLOOKUP(bron[[#This Row],[voertuig]],Voertuigen!A:C,2,FALSE)</f>
        <v>Standaard</v>
      </c>
      <c r="L729" s="23">
        <f>COUNTIF(A:A,bron[[#This Row],[personeelsnr]])</f>
        <v>2</v>
      </c>
    </row>
    <row r="730" spans="1:12" hidden="1" x14ac:dyDescent="0.25">
      <c r="A730" s="20">
        <v>40278</v>
      </c>
      <c r="B730" t="str">
        <f>VLOOKUP(bron[[#This Row],[personeelsnr]],[1]Blad1!$A:$H,2,FALSE)</f>
        <v>Ates Firat</v>
      </c>
      <c r="C730" t="str">
        <f>VLOOKUP(bron[[#This Row],[personeelsnr]],[1]Blad1!$A:$H,3,FALSE)</f>
        <v>Ates</v>
      </c>
      <c r="D730" t="str">
        <f>VLOOKUP(bron[[#This Row],[personeelsnr]],[1]Blad1!$A:$H,4,FALSE)</f>
        <v>Firat</v>
      </c>
      <c r="E730" s="2" t="str">
        <f>VLOOKUP(bron[[#This Row],[personeelsnr]],[1]Blad1!$A:$H,8,FALSE)</f>
        <v>Rotty Christoff</v>
      </c>
      <c r="F730" s="6">
        <v>45810</v>
      </c>
      <c r="G730" s="5" t="s">
        <v>1020</v>
      </c>
      <c r="H730" t="s">
        <v>65</v>
      </c>
      <c r="I730" s="4">
        <v>5236</v>
      </c>
      <c r="J730" s="23" t="str">
        <f>VLOOKUP(bron[[#This Row],[voertuig]],Voertuigen!A:C,3,FALSE)</f>
        <v>Bus</v>
      </c>
      <c r="K730" s="23" t="str">
        <f>VLOOKUP(bron[[#This Row],[voertuig]],Voertuigen!A:C,2,FALSE)</f>
        <v>Gelede</v>
      </c>
      <c r="L730" s="23">
        <f>COUNTIF(A:A,bron[[#This Row],[personeelsnr]])</f>
        <v>5</v>
      </c>
    </row>
    <row r="731" spans="1:12" hidden="1" x14ac:dyDescent="0.25">
      <c r="A731" s="20">
        <v>41384</v>
      </c>
      <c r="B731" t="str">
        <f>VLOOKUP(bron[[#This Row],[personeelsnr]],[1]Blad1!$A:$H,2,FALSE)</f>
        <v>Hillaert Thimo</v>
      </c>
      <c r="C731" t="str">
        <f>VLOOKUP(bron[[#This Row],[personeelsnr]],[1]Blad1!$A:$H,3,FALSE)</f>
        <v>Hillaert</v>
      </c>
      <c r="D731" t="str">
        <f>VLOOKUP(bron[[#This Row],[personeelsnr]],[1]Blad1!$A:$H,4,FALSE)</f>
        <v>Thimo</v>
      </c>
      <c r="E731" s="2" t="str">
        <f>VLOOKUP(bron[[#This Row],[personeelsnr]],[1]Blad1!$A:$H,8,FALSE)</f>
        <v>Rotty Christoff</v>
      </c>
      <c r="F731" s="6">
        <v>45810</v>
      </c>
      <c r="G731" s="5" t="s">
        <v>1021</v>
      </c>
      <c r="H731" t="s">
        <v>16</v>
      </c>
      <c r="I731" s="4">
        <v>5489</v>
      </c>
      <c r="J731" s="23" t="str">
        <f>VLOOKUP(bron[[#This Row],[voertuig]],Voertuigen!A:C,3,FALSE)</f>
        <v>Bus</v>
      </c>
      <c r="K731" s="23" t="str">
        <f>VLOOKUP(bron[[#This Row],[voertuig]],Voertuigen!A:C,2,FALSE)</f>
        <v>Standaard</v>
      </c>
      <c r="L731" s="23">
        <f>COUNTIF(A:A,bron[[#This Row],[personeelsnr]])</f>
        <v>4</v>
      </c>
    </row>
    <row r="732" spans="1:12" hidden="1" x14ac:dyDescent="0.25">
      <c r="A732" s="20">
        <v>23918</v>
      </c>
      <c r="B732" t="str">
        <f>VLOOKUP(bron[[#This Row],[personeelsnr]],[1]Blad1!$A:$H,2,FALSE)</f>
        <v>D'Haeyere Bernard</v>
      </c>
      <c r="C732" t="str">
        <f>VLOOKUP(bron[[#This Row],[personeelsnr]],[1]Blad1!$A:$H,3,FALSE)</f>
        <v>D'Haeyere</v>
      </c>
      <c r="D732" t="str">
        <f>VLOOKUP(bron[[#This Row],[personeelsnr]],[1]Blad1!$A:$H,4,FALSE)</f>
        <v>Bernard</v>
      </c>
      <c r="E732" s="2" t="str">
        <f>VLOOKUP(bron[[#This Row],[personeelsnr]],[1]Blad1!$A:$H,8,FALSE)</f>
        <v>Vanhoe Els</v>
      </c>
      <c r="F732" s="6">
        <v>45811</v>
      </c>
      <c r="G732" s="5" t="s">
        <v>1022</v>
      </c>
      <c r="H732" t="s">
        <v>142</v>
      </c>
      <c r="I732" s="4">
        <v>5931</v>
      </c>
      <c r="J732" s="23" t="str">
        <f>VLOOKUP(bron[[#This Row],[voertuig]],Voertuigen!A:C,3,FALSE)</f>
        <v>Bus</v>
      </c>
      <c r="K732" s="23" t="str">
        <f>VLOOKUP(bron[[#This Row],[voertuig]],Voertuigen!A:C,2,FALSE)</f>
        <v>Standaard</v>
      </c>
      <c r="L732" s="23">
        <f>COUNTIF(A:A,bron[[#This Row],[personeelsnr]])</f>
        <v>3</v>
      </c>
    </row>
    <row r="733" spans="1:12" hidden="1" x14ac:dyDescent="0.25">
      <c r="A733" s="20">
        <v>41064</v>
      </c>
      <c r="B733" t="str">
        <f>VLOOKUP(bron[[#This Row],[personeelsnr]],[1]Blad1!$A:$H,2,FALSE)</f>
        <v>Ardic Atilla</v>
      </c>
      <c r="C733" t="str">
        <f>VLOOKUP(bron[[#This Row],[personeelsnr]],[1]Blad1!$A:$H,3,FALSE)</f>
        <v>Ardic</v>
      </c>
      <c r="D733" t="str">
        <f>VLOOKUP(bron[[#This Row],[personeelsnr]],[1]Blad1!$A:$H,4,FALSE)</f>
        <v>Atilla</v>
      </c>
      <c r="E733" s="2" t="str">
        <f>VLOOKUP(bron[[#This Row],[personeelsnr]],[1]Blad1!$A:$H,8,FALSE)</f>
        <v>De Clercq Dominique</v>
      </c>
      <c r="F733" s="6">
        <v>45811</v>
      </c>
      <c r="G733" s="5" t="s">
        <v>1023</v>
      </c>
      <c r="H733" t="s">
        <v>7</v>
      </c>
      <c r="I733" s="4">
        <v>5048</v>
      </c>
      <c r="J733" s="23" t="str">
        <f>VLOOKUP(bron[[#This Row],[voertuig]],Voertuigen!A:C,3,FALSE)</f>
        <v>Bus</v>
      </c>
      <c r="K733" s="23" t="str">
        <f>VLOOKUP(bron[[#This Row],[voertuig]],Voertuigen!A:C,2,FALSE)</f>
        <v>Gelede</v>
      </c>
      <c r="L733" s="23">
        <f>COUNTIF(A:A,bron[[#This Row],[personeelsnr]])</f>
        <v>2</v>
      </c>
    </row>
    <row r="734" spans="1:12" hidden="1" x14ac:dyDescent="0.25">
      <c r="A734" s="20">
        <v>41246</v>
      </c>
      <c r="B734" t="str">
        <f>VLOOKUP(bron[[#This Row],[personeelsnr]],[1]Blad1!$A:$H,2,FALSE)</f>
        <v>Van Holsbeeck Yana</v>
      </c>
      <c r="C734" t="str">
        <f>VLOOKUP(bron[[#This Row],[personeelsnr]],[1]Blad1!$A:$H,3,FALSE)</f>
        <v>Van Holsbeeck</v>
      </c>
      <c r="D734" t="str">
        <f>VLOOKUP(bron[[#This Row],[personeelsnr]],[1]Blad1!$A:$H,4,FALSE)</f>
        <v>Yana</v>
      </c>
      <c r="E734" s="2" t="str">
        <f>VLOOKUP(bron[[#This Row],[personeelsnr]],[1]Blad1!$A:$H,8,FALSE)</f>
        <v>De Clercq Dominique</v>
      </c>
      <c r="F734" s="6">
        <v>45811</v>
      </c>
      <c r="G734" s="5" t="s">
        <v>1024</v>
      </c>
      <c r="H734" t="s">
        <v>189</v>
      </c>
      <c r="I734" s="4">
        <v>5920</v>
      </c>
      <c r="J734" s="23" t="str">
        <f>VLOOKUP(bron[[#This Row],[voertuig]],Voertuigen!A:C,3,FALSE)</f>
        <v>Bus</v>
      </c>
      <c r="K734" s="23" t="str">
        <f>VLOOKUP(bron[[#This Row],[voertuig]],Voertuigen!A:C,2,FALSE)</f>
        <v>Standaard</v>
      </c>
      <c r="L734" s="23">
        <f>COUNTIF(A:A,bron[[#This Row],[personeelsnr]])</f>
        <v>3</v>
      </c>
    </row>
    <row r="735" spans="1:12" hidden="1" x14ac:dyDescent="0.25">
      <c r="A735" s="20">
        <v>36154</v>
      </c>
      <c r="B735" t="str">
        <f>VLOOKUP(bron[[#This Row],[personeelsnr]],[1]Blad1!$A:$H,2,FALSE)</f>
        <v>De Clercq Sven</v>
      </c>
      <c r="C735" t="str">
        <f>VLOOKUP(bron[[#This Row],[personeelsnr]],[1]Blad1!$A:$H,3,FALSE)</f>
        <v>De Clercq</v>
      </c>
      <c r="D735" t="str">
        <f>VLOOKUP(bron[[#This Row],[personeelsnr]],[1]Blad1!$A:$H,4,FALSE)</f>
        <v>Sven</v>
      </c>
      <c r="E735" s="2" t="str">
        <f>VLOOKUP(bron[[#This Row],[personeelsnr]],[1]Blad1!$A:$H,8,FALSE)</f>
        <v>Van De Velde Lucie</v>
      </c>
      <c r="F735" s="6">
        <v>45811</v>
      </c>
      <c r="G735" s="5" t="s">
        <v>1025</v>
      </c>
      <c r="H735" t="s">
        <v>34</v>
      </c>
      <c r="I735" s="4">
        <v>6356</v>
      </c>
      <c r="J735" s="23" t="str">
        <f>VLOOKUP(bron[[#This Row],[voertuig]],Voertuigen!A:C,3,FALSE)</f>
        <v>Tram</v>
      </c>
      <c r="K735" s="23" t="str">
        <f>VLOOKUP(bron[[#This Row],[voertuig]],Voertuigen!A:C,2,FALSE)</f>
        <v>Flexity</v>
      </c>
      <c r="L735" s="23">
        <f>COUNTIF(A:A,bron[[#This Row],[personeelsnr]])</f>
        <v>1</v>
      </c>
    </row>
    <row r="736" spans="1:12" hidden="1" x14ac:dyDescent="0.25">
      <c r="A736" s="20">
        <v>38481</v>
      </c>
      <c r="B736" t="str">
        <f>VLOOKUP(bron[[#This Row],[personeelsnr]],[1]Blad1!$A:$H,2,FALSE)</f>
        <v>Sari Devrim</v>
      </c>
      <c r="C736" t="str">
        <f>VLOOKUP(bron[[#This Row],[personeelsnr]],[1]Blad1!$A:$H,3,FALSE)</f>
        <v>Sari</v>
      </c>
      <c r="D736" t="str">
        <f>VLOOKUP(bron[[#This Row],[personeelsnr]],[1]Blad1!$A:$H,4,FALSE)</f>
        <v>Devrim</v>
      </c>
      <c r="E736" s="2" t="str">
        <f>VLOOKUP(bron[[#This Row],[personeelsnr]],[1]Blad1!$A:$H,8,FALSE)</f>
        <v>De Rick Kenneth</v>
      </c>
      <c r="F736" s="6">
        <v>45812</v>
      </c>
      <c r="G736" s="5" t="s">
        <v>1026</v>
      </c>
      <c r="H736" t="s">
        <v>159</v>
      </c>
      <c r="I736" s="4" t="s">
        <v>220</v>
      </c>
      <c r="J736" s="23">
        <f>VLOOKUP(bron[[#This Row],[voertuig]],Voertuigen!A:C,3,FALSE)</f>
        <v>0</v>
      </c>
      <c r="K736" s="23" t="str">
        <f>VLOOKUP(bron[[#This Row],[voertuig]],Voertuigen!A:C,2,FALSE)</f>
        <v>-</v>
      </c>
      <c r="L736" s="23">
        <f>COUNTIF(A:A,bron[[#This Row],[personeelsnr]])</f>
        <v>4</v>
      </c>
    </row>
    <row r="737" spans="1:12" hidden="1" x14ac:dyDescent="0.25">
      <c r="A737" s="20">
        <v>30119</v>
      </c>
      <c r="B737" t="str">
        <f>VLOOKUP(bron[[#This Row],[personeelsnr]],[1]Blad1!$A:$H,2,FALSE)</f>
        <v>Haerens Tom</v>
      </c>
      <c r="C737" t="str">
        <f>VLOOKUP(bron[[#This Row],[personeelsnr]],[1]Blad1!$A:$H,3,FALSE)</f>
        <v>Haerens</v>
      </c>
      <c r="D737" t="str">
        <f>VLOOKUP(bron[[#This Row],[personeelsnr]],[1]Blad1!$A:$H,4,FALSE)</f>
        <v>Tom</v>
      </c>
      <c r="E737" s="2" t="str">
        <f>VLOOKUP(bron[[#This Row],[personeelsnr]],[1]Blad1!$A:$H,8,FALSE)</f>
        <v>De Clercq Dominique</v>
      </c>
      <c r="F737" s="6">
        <v>45813</v>
      </c>
      <c r="G737" s="5" t="s">
        <v>1027</v>
      </c>
      <c r="H737" t="s">
        <v>13</v>
      </c>
      <c r="I737" s="4">
        <v>6323</v>
      </c>
      <c r="J737" s="23" t="str">
        <f>VLOOKUP(bron[[#This Row],[voertuig]],Voertuigen!A:C,3,FALSE)</f>
        <v>Tram</v>
      </c>
      <c r="K737" s="23" t="str">
        <f>VLOOKUP(bron[[#This Row],[voertuig]],Voertuigen!A:C,2,FALSE)</f>
        <v>Hermelijn</v>
      </c>
      <c r="L737" s="23">
        <f>COUNTIF(A:A,bron[[#This Row],[personeelsnr]])</f>
        <v>2</v>
      </c>
    </row>
    <row r="738" spans="1:12" hidden="1" x14ac:dyDescent="0.25">
      <c r="A738" s="20">
        <v>41032</v>
      </c>
      <c r="B738" t="str">
        <f>VLOOKUP(bron[[#This Row],[personeelsnr]],[1]Blad1!$A:$H,2,FALSE)</f>
        <v>Rocabado Hinojosa Lukas</v>
      </c>
      <c r="C738" t="str">
        <f>VLOOKUP(bron[[#This Row],[personeelsnr]],[1]Blad1!$A:$H,3,FALSE)</f>
        <v>Rocabado Hinojosa</v>
      </c>
      <c r="D738" t="str">
        <f>VLOOKUP(bron[[#This Row],[personeelsnr]],[1]Blad1!$A:$H,4,FALSE)</f>
        <v>Lukas</v>
      </c>
      <c r="E738" s="2" t="str">
        <f>VLOOKUP(bron[[#This Row],[personeelsnr]],[1]Blad1!$A:$H,8,FALSE)</f>
        <v>Vanhoe Els</v>
      </c>
      <c r="F738" s="6">
        <v>45813</v>
      </c>
      <c r="G738" s="5" t="s">
        <v>1028</v>
      </c>
      <c r="H738" t="s">
        <v>42</v>
      </c>
      <c r="I738" s="4">
        <v>5237</v>
      </c>
      <c r="J738" s="23" t="str">
        <f>VLOOKUP(bron[[#This Row],[voertuig]],Voertuigen!A:C,3,FALSE)</f>
        <v>Bus</v>
      </c>
      <c r="K738" s="23" t="str">
        <f>VLOOKUP(bron[[#This Row],[voertuig]],Voertuigen!A:C,2,FALSE)</f>
        <v>Gelede</v>
      </c>
      <c r="L738" s="23">
        <f>COUNTIF(A:A,bron[[#This Row],[personeelsnr]])</f>
        <v>4</v>
      </c>
    </row>
    <row r="739" spans="1:12" hidden="1" x14ac:dyDescent="0.25">
      <c r="A739" s="20">
        <v>41032</v>
      </c>
      <c r="B739" t="str">
        <f>VLOOKUP(bron[[#This Row],[personeelsnr]],[1]Blad1!$A:$H,2,FALSE)</f>
        <v>Rocabado Hinojosa Lukas</v>
      </c>
      <c r="C739" t="str">
        <f>VLOOKUP(bron[[#This Row],[personeelsnr]],[1]Blad1!$A:$H,3,FALSE)</f>
        <v>Rocabado Hinojosa</v>
      </c>
      <c r="D739" t="str">
        <f>VLOOKUP(bron[[#This Row],[personeelsnr]],[1]Blad1!$A:$H,4,FALSE)</f>
        <v>Lukas</v>
      </c>
      <c r="E739" s="2" t="str">
        <f>VLOOKUP(bron[[#This Row],[personeelsnr]],[1]Blad1!$A:$H,8,FALSE)</f>
        <v>Vanhoe Els</v>
      </c>
      <c r="F739" s="6">
        <v>45813</v>
      </c>
      <c r="G739" s="5" t="s">
        <v>1029</v>
      </c>
      <c r="H739" t="s">
        <v>14</v>
      </c>
      <c r="I739" s="4">
        <v>5237</v>
      </c>
      <c r="J739" s="23" t="str">
        <f>VLOOKUP(bron[[#This Row],[voertuig]],Voertuigen!A:C,3,FALSE)</f>
        <v>Bus</v>
      </c>
      <c r="K739" s="23" t="str">
        <f>VLOOKUP(bron[[#This Row],[voertuig]],Voertuigen!A:C,2,FALSE)</f>
        <v>Gelede</v>
      </c>
      <c r="L739" s="23">
        <f>COUNTIF(A:A,bron[[#This Row],[personeelsnr]])</f>
        <v>4</v>
      </c>
    </row>
    <row r="740" spans="1:12" hidden="1" x14ac:dyDescent="0.25">
      <c r="A740" s="20">
        <v>36627</v>
      </c>
      <c r="B740" t="str">
        <f>VLOOKUP(bron[[#This Row],[personeelsnr]],[1]Blad1!$A:$H,2,FALSE)</f>
        <v>Dobbelaere David</v>
      </c>
      <c r="C740" t="str">
        <f>VLOOKUP(bron[[#This Row],[personeelsnr]],[1]Blad1!$A:$H,3,FALSE)</f>
        <v>Dobbelaere</v>
      </c>
      <c r="D740" t="str">
        <f>VLOOKUP(bron[[#This Row],[personeelsnr]],[1]Blad1!$A:$H,4,FALSE)</f>
        <v>David</v>
      </c>
      <c r="E740" s="2" t="str">
        <f>VLOOKUP(bron[[#This Row],[personeelsnr]],[1]Blad1!$A:$H,8,FALSE)</f>
        <v>Dewulf Els</v>
      </c>
      <c r="F740" s="6">
        <v>45814</v>
      </c>
      <c r="G740" s="5" t="s">
        <v>1030</v>
      </c>
      <c r="H740" t="s">
        <v>25</v>
      </c>
      <c r="I740" s="4">
        <v>6374</v>
      </c>
      <c r="J740" s="23" t="str">
        <f>VLOOKUP(bron[[#This Row],[voertuig]],Voertuigen!A:C,3,FALSE)</f>
        <v>Tram</v>
      </c>
      <c r="K740" s="23" t="str">
        <f>VLOOKUP(bron[[#This Row],[voertuig]],Voertuigen!A:C,2,FALSE)</f>
        <v>Flexity</v>
      </c>
      <c r="L740" s="23">
        <f>COUNTIF(A:A,bron[[#This Row],[personeelsnr]])</f>
        <v>5</v>
      </c>
    </row>
    <row r="741" spans="1:12" hidden="1" x14ac:dyDescent="0.25">
      <c r="A741" s="20">
        <v>37208</v>
      </c>
      <c r="B741" t="str">
        <f>VLOOKUP(bron[[#This Row],[personeelsnr]],[1]Blad1!$A:$H,2,FALSE)</f>
        <v>Catar Gökhan</v>
      </c>
      <c r="C741" t="str">
        <f>VLOOKUP(bron[[#This Row],[personeelsnr]],[1]Blad1!$A:$H,3,FALSE)</f>
        <v>Catar</v>
      </c>
      <c r="D741" t="str">
        <f>VLOOKUP(bron[[#This Row],[personeelsnr]],[1]Blad1!$A:$H,4,FALSE)</f>
        <v>Gökhan</v>
      </c>
      <c r="E741" s="2" t="str">
        <f>VLOOKUP(bron[[#This Row],[personeelsnr]],[1]Blad1!$A:$H,8,FALSE)</f>
        <v>De Rick Kenneth</v>
      </c>
      <c r="F741" s="6">
        <v>45815</v>
      </c>
      <c r="G741" s="5" t="s">
        <v>1031</v>
      </c>
      <c r="H741" t="s">
        <v>8</v>
      </c>
      <c r="I741" s="4">
        <v>6329</v>
      </c>
      <c r="J741" s="23" t="str">
        <f>VLOOKUP(bron[[#This Row],[voertuig]],Voertuigen!A:C,3,FALSE)</f>
        <v>Tram</v>
      </c>
      <c r="K741" s="23" t="str">
        <f>VLOOKUP(bron[[#This Row],[voertuig]],Voertuigen!A:C,2,FALSE)</f>
        <v>Hermelijn</v>
      </c>
      <c r="L741" s="23">
        <f>COUNTIF(A:A,bron[[#This Row],[personeelsnr]])</f>
        <v>1</v>
      </c>
    </row>
    <row r="742" spans="1:12" hidden="1" x14ac:dyDescent="0.25">
      <c r="A742" s="20">
        <v>40645</v>
      </c>
      <c r="B742" t="str">
        <f>VLOOKUP(bron[[#This Row],[personeelsnr]],[1]Blad1!$A:$H,2,FALSE)</f>
        <v>Bytebier Jason</v>
      </c>
      <c r="C742" t="str">
        <f>VLOOKUP(bron[[#This Row],[personeelsnr]],[1]Blad1!$A:$H,3,FALSE)</f>
        <v>Bytebier</v>
      </c>
      <c r="D742" t="str">
        <f>VLOOKUP(bron[[#This Row],[personeelsnr]],[1]Blad1!$A:$H,4,FALSE)</f>
        <v>Jason</v>
      </c>
      <c r="E742" s="2" t="str">
        <f>VLOOKUP(bron[[#This Row],[personeelsnr]],[1]Blad1!$A:$H,8,FALSE)</f>
        <v>Dewulf Els</v>
      </c>
      <c r="F742" s="6">
        <v>45818</v>
      </c>
      <c r="G742" s="5" t="s">
        <v>1032</v>
      </c>
      <c r="H742" t="s">
        <v>9</v>
      </c>
      <c r="I742" s="4">
        <v>5909</v>
      </c>
      <c r="J742" s="23" t="str">
        <f>VLOOKUP(bron[[#This Row],[voertuig]],Voertuigen!A:C,3,FALSE)</f>
        <v>Bus</v>
      </c>
      <c r="K742" s="23" t="str">
        <f>VLOOKUP(bron[[#This Row],[voertuig]],Voertuigen!A:C,2,FALSE)</f>
        <v>Standaard</v>
      </c>
      <c r="L742" s="23">
        <f>COUNTIF(A:A,bron[[#This Row],[personeelsnr]])</f>
        <v>2</v>
      </c>
    </row>
    <row r="743" spans="1:12" hidden="1" x14ac:dyDescent="0.25">
      <c r="A743" s="20">
        <v>36512</v>
      </c>
      <c r="B743" t="str">
        <f>VLOOKUP(bron[[#This Row],[personeelsnr]],[1]Blad1!$A:$H,2,FALSE)</f>
        <v>Van Herreweghe Branco</v>
      </c>
      <c r="C743" t="str">
        <f>VLOOKUP(bron[[#This Row],[personeelsnr]],[1]Blad1!$A:$H,3,FALSE)</f>
        <v>Van Herreweghe</v>
      </c>
      <c r="D743" t="str">
        <f>VLOOKUP(bron[[#This Row],[personeelsnr]],[1]Blad1!$A:$H,4,FALSE)</f>
        <v>Branco</v>
      </c>
      <c r="E743" s="2" t="str">
        <f>VLOOKUP(bron[[#This Row],[personeelsnr]],[1]Blad1!$A:$H,8,FALSE)</f>
        <v>Storm Steven</v>
      </c>
      <c r="F743" s="6">
        <v>45819</v>
      </c>
      <c r="G743" s="5" t="s">
        <v>1033</v>
      </c>
      <c r="H743" t="s">
        <v>67</v>
      </c>
      <c r="I743" s="4">
        <v>5934</v>
      </c>
      <c r="J743" s="23" t="str">
        <f>VLOOKUP(bron[[#This Row],[voertuig]],Voertuigen!A:C,3,FALSE)</f>
        <v>Bus</v>
      </c>
      <c r="K743" s="23" t="str">
        <f>VLOOKUP(bron[[#This Row],[voertuig]],Voertuigen!A:C,2,FALSE)</f>
        <v>Standaard</v>
      </c>
      <c r="L743" s="23">
        <f>COUNTIF(A:A,bron[[#This Row],[personeelsnr]])</f>
        <v>3</v>
      </c>
    </row>
    <row r="744" spans="1:12" hidden="1" x14ac:dyDescent="0.25">
      <c r="A744" s="20">
        <v>7746</v>
      </c>
      <c r="B744" t="str">
        <f>VLOOKUP(bron[[#This Row],[personeelsnr]],[1]Blad1!$A:$H,2,FALSE)</f>
        <v>Aelterman Didier</v>
      </c>
      <c r="C744" t="str">
        <f>VLOOKUP(bron[[#This Row],[personeelsnr]],[1]Blad1!$A:$H,3,FALSE)</f>
        <v>Aelterman</v>
      </c>
      <c r="D744" t="str">
        <f>VLOOKUP(bron[[#This Row],[personeelsnr]],[1]Blad1!$A:$H,4,FALSE)</f>
        <v>Didier</v>
      </c>
      <c r="E744" s="2" t="str">
        <f>VLOOKUP(bron[[#This Row],[personeelsnr]],[1]Blad1!$A:$H,8,FALSE)</f>
        <v>Rotty Christoff</v>
      </c>
      <c r="F744" s="6">
        <v>45820</v>
      </c>
      <c r="G744" s="5" t="s">
        <v>1034</v>
      </c>
      <c r="H744" t="s">
        <v>61</v>
      </c>
      <c r="I744" s="4">
        <v>5488</v>
      </c>
      <c r="J744" s="23" t="str">
        <f>VLOOKUP(bron[[#This Row],[voertuig]],Voertuigen!A:C,3,FALSE)</f>
        <v>Bus</v>
      </c>
      <c r="K744" s="23" t="str">
        <f>VLOOKUP(bron[[#This Row],[voertuig]],Voertuigen!A:C,2,FALSE)</f>
        <v>Standaard</v>
      </c>
      <c r="L744" s="23">
        <f>COUNTIF(A:A,bron[[#This Row],[personeelsnr]])</f>
        <v>1</v>
      </c>
    </row>
    <row r="745" spans="1:12" hidden="1" x14ac:dyDescent="0.25">
      <c r="A745" s="20">
        <v>31150</v>
      </c>
      <c r="B745" t="str">
        <f>VLOOKUP(bron[[#This Row],[personeelsnr]],[1]Blad1!$A:$H,2,FALSE)</f>
        <v>Oueslati Mohamed Ali</v>
      </c>
      <c r="C745" t="str">
        <f>VLOOKUP(bron[[#This Row],[personeelsnr]],[1]Blad1!$A:$H,3,FALSE)</f>
        <v>Oueslati</v>
      </c>
      <c r="D745" t="str">
        <f>VLOOKUP(bron[[#This Row],[personeelsnr]],[1]Blad1!$A:$H,4,FALSE)</f>
        <v>Mohamed Ali</v>
      </c>
      <c r="E745" s="2" t="str">
        <f>VLOOKUP(bron[[#This Row],[personeelsnr]],[1]Blad1!$A:$H,8,FALSE)</f>
        <v>De Rick Kenneth</v>
      </c>
      <c r="F745" s="6">
        <v>45820</v>
      </c>
      <c r="G745" s="5" t="s">
        <v>1035</v>
      </c>
      <c r="H745" t="s">
        <v>11</v>
      </c>
      <c r="I745" s="4">
        <v>5039</v>
      </c>
      <c r="J745" s="23" t="str">
        <f>VLOOKUP(bron[[#This Row],[voertuig]],Voertuigen!A:C,3,FALSE)</f>
        <v>Bus</v>
      </c>
      <c r="K745" s="23" t="str">
        <f>VLOOKUP(bron[[#This Row],[voertuig]],Voertuigen!A:C,2,FALSE)</f>
        <v>Gelede</v>
      </c>
      <c r="L745" s="23">
        <f>COUNTIF(A:A,bron[[#This Row],[personeelsnr]])</f>
        <v>1</v>
      </c>
    </row>
    <row r="746" spans="1:12" hidden="1" x14ac:dyDescent="0.25">
      <c r="A746" s="24">
        <v>26695</v>
      </c>
      <c r="B746" t="str">
        <f>VLOOKUP(bron[[#This Row],[personeelsnr]],[1]Blad1!$A:$H,2,FALSE)</f>
        <v>Lippens Miguel</v>
      </c>
      <c r="C746" t="str">
        <f>VLOOKUP(bron[[#This Row],[personeelsnr]],[1]Blad1!$A:$H,3,FALSE)</f>
        <v>Lippens</v>
      </c>
      <c r="D746" t="str">
        <f>VLOOKUP(bron[[#This Row],[personeelsnr]],[1]Blad1!$A:$H,4,FALSE)</f>
        <v>Miguel</v>
      </c>
      <c r="E746" s="2" t="str">
        <f>VLOOKUP(bron[[#This Row],[personeelsnr]],[1]Blad1!$A:$H,8,FALSE)</f>
        <v>Rotty Christoff</v>
      </c>
      <c r="F746" s="29">
        <v>45821</v>
      </c>
      <c r="G746" s="30" t="s">
        <v>1036</v>
      </c>
      <c r="H746" s="25" t="s">
        <v>61</v>
      </c>
      <c r="I746" s="27">
        <v>5489</v>
      </c>
      <c r="J746" s="28" t="str">
        <f>VLOOKUP(bron[[#This Row],[voertuig]],Voertuigen!A:C,3,FALSE)</f>
        <v>Bus</v>
      </c>
      <c r="K746" s="28" t="str">
        <f>VLOOKUP(bron[[#This Row],[voertuig]],Voertuigen!A:C,2,FALSE)</f>
        <v>Standaard</v>
      </c>
      <c r="L746" s="28">
        <f>COUNTIF(A:A,bron[[#This Row],[personeelsnr]])</f>
        <v>2</v>
      </c>
    </row>
    <row r="747" spans="1:12" hidden="1" x14ac:dyDescent="0.25">
      <c r="A747" s="20">
        <v>14625</v>
      </c>
      <c r="B747" t="str">
        <f>VLOOKUP(bron[[#This Row],[personeelsnr]],[1]Blad1!$A:$H,2,FALSE)</f>
        <v>Rodrigue Vincent</v>
      </c>
      <c r="C747" t="str">
        <f>VLOOKUP(bron[[#This Row],[personeelsnr]],[1]Blad1!$A:$H,3,FALSE)</f>
        <v>Rodrigue</v>
      </c>
      <c r="D747" t="str">
        <f>VLOOKUP(bron[[#This Row],[personeelsnr]],[1]Blad1!$A:$H,4,FALSE)</f>
        <v>Vincent</v>
      </c>
      <c r="E747" s="2" t="str">
        <f>VLOOKUP(bron[[#This Row],[personeelsnr]],[1]Blad1!$A:$H,8,FALSE)</f>
        <v>Van De Velde Lucie</v>
      </c>
      <c r="F747" s="6">
        <v>45828</v>
      </c>
      <c r="G747" s="5" t="s">
        <v>1037</v>
      </c>
      <c r="H747" t="s">
        <v>171</v>
      </c>
      <c r="I747" s="4">
        <v>2209</v>
      </c>
      <c r="J747" s="23" t="str">
        <f>VLOOKUP(bron[[#This Row],[voertuig]],Voertuigen!A:C,3,FALSE)</f>
        <v>Bus</v>
      </c>
      <c r="K747" s="23" t="str">
        <f>VLOOKUP(bron[[#This Row],[voertuig]],Voertuigen!A:C,2,FALSE)</f>
        <v>Gelede</v>
      </c>
      <c r="L747" s="23">
        <f>COUNTIF(A:A,bron[[#This Row],[personeelsnr]])</f>
        <v>1</v>
      </c>
    </row>
    <row r="748" spans="1:12" hidden="1" x14ac:dyDescent="0.25">
      <c r="A748" s="20">
        <v>36569</v>
      </c>
      <c r="B748" t="e">
        <f>VLOOKUP(bron[[#This Row],[personeelsnr]],[1]Blad1!$A:$H,2,FALSE)</f>
        <v>#N/A</v>
      </c>
      <c r="C748" t="e">
        <f>VLOOKUP(bron[[#This Row],[personeelsnr]],[1]Blad1!$A:$H,3,FALSE)</f>
        <v>#N/A</v>
      </c>
      <c r="D748" t="e">
        <f>VLOOKUP(bron[[#This Row],[personeelsnr]],[1]Blad1!$A:$H,4,FALSE)</f>
        <v>#N/A</v>
      </c>
      <c r="E748" s="2" t="s">
        <v>221</v>
      </c>
      <c r="F748" s="6">
        <v>45828</v>
      </c>
      <c r="G748" s="5" t="s">
        <v>1038</v>
      </c>
      <c r="H748" t="s">
        <v>13</v>
      </c>
      <c r="I748" s="4">
        <v>6321</v>
      </c>
      <c r="J748" s="23" t="str">
        <f>VLOOKUP(bron[[#This Row],[voertuig]],Voertuigen!A:C,3,FALSE)</f>
        <v>Tram</v>
      </c>
      <c r="K748" s="23" t="str">
        <f>VLOOKUP(bron[[#This Row],[voertuig]],Voertuigen!A:C,2,FALSE)</f>
        <v>Hermelijn</v>
      </c>
      <c r="L748" s="23">
        <f>COUNTIF(A:A,bron[[#This Row],[personeelsnr]])</f>
        <v>6</v>
      </c>
    </row>
    <row r="749" spans="1:12" hidden="1" x14ac:dyDescent="0.25">
      <c r="A749" s="20">
        <v>41721</v>
      </c>
      <c r="B749" t="str">
        <f>VLOOKUP(bron[[#This Row],[personeelsnr]],[1]Blad1!$A:$H,2,FALSE)</f>
        <v>Nolf Philippe</v>
      </c>
      <c r="C749" t="str">
        <f>VLOOKUP(bron[[#This Row],[personeelsnr]],[1]Blad1!$A:$H,3,FALSE)</f>
        <v>Nolf</v>
      </c>
      <c r="D749" t="str">
        <f>VLOOKUP(bron[[#This Row],[personeelsnr]],[1]Blad1!$A:$H,4,FALSE)</f>
        <v>Philippe</v>
      </c>
      <c r="E749" s="2" t="str">
        <f>VLOOKUP(bron[[#This Row],[personeelsnr]],[1]Blad1!$A:$H,8,FALSE)</f>
        <v>De Rick Kenneth</v>
      </c>
      <c r="F749" s="6">
        <v>45828</v>
      </c>
      <c r="G749" s="5" t="s">
        <v>1039</v>
      </c>
      <c r="H749" t="s">
        <v>49</v>
      </c>
      <c r="I749" s="4">
        <v>5938</v>
      </c>
      <c r="J749" s="23" t="str">
        <f>VLOOKUP(bron[[#This Row],[voertuig]],Voertuigen!A:C,3,FALSE)</f>
        <v>Bus</v>
      </c>
      <c r="K749" s="23" t="str">
        <f>VLOOKUP(bron[[#This Row],[voertuig]],Voertuigen!A:C,2,FALSE)</f>
        <v>Standaard</v>
      </c>
      <c r="L749" s="23">
        <f>COUNTIF(A:A,bron[[#This Row],[personeelsnr]])</f>
        <v>1</v>
      </c>
    </row>
    <row r="750" spans="1:12" hidden="1" x14ac:dyDescent="0.25">
      <c r="A750" s="20">
        <v>26847</v>
      </c>
      <c r="B750" t="str">
        <f>VLOOKUP(bron[[#This Row],[personeelsnr]],[1]Blad1!$A:$H,2,FALSE)</f>
        <v>De Meester David</v>
      </c>
      <c r="C750" t="str">
        <f>VLOOKUP(bron[[#This Row],[personeelsnr]],[1]Blad1!$A:$H,3,FALSE)</f>
        <v>De Meester</v>
      </c>
      <c r="D750" t="str">
        <f>VLOOKUP(bron[[#This Row],[personeelsnr]],[1]Blad1!$A:$H,4,FALSE)</f>
        <v>David</v>
      </c>
      <c r="E750" s="2" t="str">
        <f>VLOOKUP(bron[[#This Row],[personeelsnr]],[1]Blad1!$A:$H,8,FALSE)</f>
        <v>Van Der Beken Bart</v>
      </c>
      <c r="F750" s="6">
        <v>45828</v>
      </c>
      <c r="G750" s="5" t="s">
        <v>1040</v>
      </c>
      <c r="H750" t="s">
        <v>8</v>
      </c>
      <c r="I750" s="4">
        <v>6361</v>
      </c>
      <c r="J750" s="23" t="str">
        <f>VLOOKUP(bron[[#This Row],[voertuig]],Voertuigen!A:C,3,FALSE)</f>
        <v>Tram</v>
      </c>
      <c r="K750" s="23" t="str">
        <f>VLOOKUP(bron[[#This Row],[voertuig]],Voertuigen!A:C,2,FALSE)</f>
        <v>Flexity</v>
      </c>
      <c r="L750" s="23">
        <f>COUNTIF(A:A,bron[[#This Row],[personeelsnr]])</f>
        <v>2</v>
      </c>
    </row>
    <row r="751" spans="1:12" hidden="1" x14ac:dyDescent="0.25">
      <c r="A751" s="20">
        <v>36426</v>
      </c>
      <c r="B751" t="str">
        <f>VLOOKUP(bron[[#This Row],[personeelsnr]],[1]Blad1!$A:$H,2,FALSE)</f>
        <v>Mohamed Yassin Abdulhamid</v>
      </c>
      <c r="C751" t="str">
        <f>VLOOKUP(bron[[#This Row],[personeelsnr]],[1]Blad1!$A:$H,3,FALSE)</f>
        <v>Mohamed Yassin</v>
      </c>
      <c r="D751" t="str">
        <f>VLOOKUP(bron[[#This Row],[personeelsnr]],[1]Blad1!$A:$H,4,FALSE)</f>
        <v>Abdulhamid</v>
      </c>
      <c r="E751" s="2" t="str">
        <f>VLOOKUP(bron[[#This Row],[personeelsnr]],[1]Blad1!$A:$H,8,FALSE)</f>
        <v>Van Der Beken Bart</v>
      </c>
      <c r="F751" s="6">
        <v>45828</v>
      </c>
      <c r="G751" s="5" t="s">
        <v>1041</v>
      </c>
      <c r="H751" t="s">
        <v>130</v>
      </c>
      <c r="I751" s="4">
        <v>6364</v>
      </c>
      <c r="J751" s="23" t="str">
        <f>VLOOKUP(bron[[#This Row],[voertuig]],Voertuigen!A:C,3,FALSE)</f>
        <v>Tram</v>
      </c>
      <c r="K751" s="23" t="str">
        <f>VLOOKUP(bron[[#This Row],[voertuig]],Voertuigen!A:C,2,FALSE)</f>
        <v>Flexity</v>
      </c>
      <c r="L751" s="23">
        <f>COUNTIF(A:A,bron[[#This Row],[personeelsnr]])</f>
        <v>3</v>
      </c>
    </row>
    <row r="752" spans="1:12" hidden="1" x14ac:dyDescent="0.25">
      <c r="A752" s="20">
        <v>36624</v>
      </c>
      <c r="B752" t="str">
        <f>VLOOKUP(bron[[#This Row],[personeelsnr]],[1]Blad1!$A:$H,2,FALSE)</f>
        <v>De Meulenaere Kurt</v>
      </c>
      <c r="C752" t="str">
        <f>VLOOKUP(bron[[#This Row],[personeelsnr]],[1]Blad1!$A:$H,3,FALSE)</f>
        <v>De Meulenaere</v>
      </c>
      <c r="D752" t="str">
        <f>VLOOKUP(bron[[#This Row],[personeelsnr]],[1]Blad1!$A:$H,4,FALSE)</f>
        <v>Kurt</v>
      </c>
      <c r="E752" s="2" t="str">
        <f>VLOOKUP(bron[[#This Row],[personeelsnr]],[1]Blad1!$A:$H,8,FALSE)</f>
        <v>De Clercq Dominique</v>
      </c>
      <c r="F752" s="6">
        <v>45829</v>
      </c>
      <c r="G752" s="5" t="s">
        <v>1042</v>
      </c>
      <c r="H752" t="s">
        <v>151</v>
      </c>
      <c r="I752" s="4">
        <v>5910</v>
      </c>
      <c r="J752" s="23" t="str">
        <f>VLOOKUP(bron[[#This Row],[voertuig]],Voertuigen!A:C,3,FALSE)</f>
        <v>Bus</v>
      </c>
      <c r="K752" s="23" t="str">
        <f>VLOOKUP(bron[[#This Row],[voertuig]],Voertuigen!A:C,2,FALSE)</f>
        <v>Standaard</v>
      </c>
      <c r="L752" s="23">
        <f>COUNTIF(A:A,bron[[#This Row],[personeelsnr]])</f>
        <v>3</v>
      </c>
    </row>
    <row r="753" spans="1:12" hidden="1" x14ac:dyDescent="0.25">
      <c r="A753" s="20">
        <v>41690</v>
      </c>
      <c r="B753" t="str">
        <f>VLOOKUP(bron[[#This Row],[personeelsnr]],[1]Blad1!$A:$H,2,FALSE)</f>
        <v>Van de Winckel Kelly</v>
      </c>
      <c r="C753" t="str">
        <f>VLOOKUP(bron[[#This Row],[personeelsnr]],[1]Blad1!$A:$H,3,FALSE)</f>
        <v>Van de Winckel</v>
      </c>
      <c r="D753" t="str">
        <f>VLOOKUP(bron[[#This Row],[personeelsnr]],[1]Blad1!$A:$H,4,FALSE)</f>
        <v>Kelly</v>
      </c>
      <c r="E753" s="2" t="str">
        <f>VLOOKUP(bron[[#This Row],[personeelsnr]],[1]Blad1!$A:$H,8,FALSE)</f>
        <v>Dewulf Els</v>
      </c>
      <c r="F753" s="6">
        <v>45829</v>
      </c>
      <c r="G753" s="5" t="s">
        <v>1043</v>
      </c>
      <c r="H753" t="s">
        <v>27</v>
      </c>
      <c r="I753" s="4">
        <v>5771</v>
      </c>
      <c r="J753" s="23" t="str">
        <f>VLOOKUP(bron[[#This Row],[voertuig]],Voertuigen!A:C,3,FALSE)</f>
        <v>Bus</v>
      </c>
      <c r="K753" s="23" t="str">
        <f>VLOOKUP(bron[[#This Row],[voertuig]],Voertuigen!A:C,2,FALSE)</f>
        <v>Standaard</v>
      </c>
      <c r="L753" s="23">
        <f>COUNTIF(A:A,bron[[#This Row],[personeelsnr]])</f>
        <v>1</v>
      </c>
    </row>
    <row r="754" spans="1:12" hidden="1" x14ac:dyDescent="0.25">
      <c r="A754" s="20">
        <v>38808</v>
      </c>
      <c r="B754" t="str">
        <f>VLOOKUP(bron[[#This Row],[personeelsnr]],[1]Blad1!$A:$H,2,FALSE)</f>
        <v>Wasen Jens</v>
      </c>
      <c r="C754" t="str">
        <f>VLOOKUP(bron[[#This Row],[personeelsnr]],[1]Blad1!$A:$H,3,FALSE)</f>
        <v>Wasen</v>
      </c>
      <c r="D754" t="str">
        <f>VLOOKUP(bron[[#This Row],[personeelsnr]],[1]Blad1!$A:$H,4,FALSE)</f>
        <v>Jens</v>
      </c>
      <c r="E754" s="2" t="str">
        <f>VLOOKUP(bron[[#This Row],[personeelsnr]],[1]Blad1!$A:$H,8,FALSE)</f>
        <v>Dewulf Els</v>
      </c>
      <c r="F754" s="6">
        <v>45830</v>
      </c>
      <c r="G754" s="5" t="s">
        <v>1044</v>
      </c>
      <c r="H754" t="s">
        <v>9</v>
      </c>
      <c r="I754" s="4">
        <v>5926</v>
      </c>
      <c r="J754" s="23" t="str">
        <f>VLOOKUP(bron[[#This Row],[voertuig]],Voertuigen!A:C,3,FALSE)</f>
        <v>Bus</v>
      </c>
      <c r="K754" s="23" t="str">
        <f>VLOOKUP(bron[[#This Row],[voertuig]],Voertuigen!A:C,2,FALSE)</f>
        <v>Standaard</v>
      </c>
      <c r="L754" s="23">
        <f>COUNTIF(A:A,bron[[#This Row],[personeelsnr]])</f>
        <v>5</v>
      </c>
    </row>
    <row r="755" spans="1:12" hidden="1" x14ac:dyDescent="0.25">
      <c r="A755" s="20">
        <v>38633</v>
      </c>
      <c r="B755" t="str">
        <f>VLOOKUP(bron[[#This Row],[personeelsnr]],[1]Blad1!$A:$H,2,FALSE)</f>
        <v>Stomphorst Mattanja</v>
      </c>
      <c r="C755" t="str">
        <f>VLOOKUP(bron[[#This Row],[personeelsnr]],[1]Blad1!$A:$H,3,FALSE)</f>
        <v>Stomphorst</v>
      </c>
      <c r="D755" t="str">
        <f>VLOOKUP(bron[[#This Row],[personeelsnr]],[1]Blad1!$A:$H,4,FALSE)</f>
        <v>Mattanja</v>
      </c>
      <c r="E755" s="2" t="str">
        <f>VLOOKUP(bron[[#This Row],[personeelsnr]],[1]Blad1!$A:$H,8,FALSE)</f>
        <v>Dewulf Els</v>
      </c>
      <c r="F755" s="6">
        <v>45831</v>
      </c>
      <c r="G755" s="5" t="s">
        <v>1045</v>
      </c>
      <c r="H755" t="s">
        <v>16</v>
      </c>
      <c r="I755" s="4">
        <v>2269</v>
      </c>
      <c r="J755" s="23" t="str">
        <f>VLOOKUP(bron[[#This Row],[voertuig]],Voertuigen!A:C,3,FALSE)</f>
        <v>Rijschool</v>
      </c>
      <c r="K755" s="23" t="str">
        <f>VLOOKUP(bron[[#This Row],[voertuig]],Voertuigen!A:C,2,FALSE)</f>
        <v>Rijschool</v>
      </c>
      <c r="L755" s="23">
        <f>COUNTIF(A:A,bron[[#This Row],[personeelsnr]])</f>
        <v>4</v>
      </c>
    </row>
    <row r="756" spans="1:12" hidden="1" x14ac:dyDescent="0.25">
      <c r="A756" s="20">
        <v>19917</v>
      </c>
      <c r="B756" t="str">
        <f>VLOOKUP(bron[[#This Row],[personeelsnr]],[1]Blad1!$A:$H,2,FALSE)</f>
        <v>Vandevyvere Frank</v>
      </c>
      <c r="C756" t="str">
        <f>VLOOKUP(bron[[#This Row],[personeelsnr]],[1]Blad1!$A:$H,3,FALSE)</f>
        <v>Vandevyvere</v>
      </c>
      <c r="D756" t="str">
        <f>VLOOKUP(bron[[#This Row],[personeelsnr]],[1]Blad1!$A:$H,4,FALSE)</f>
        <v>Frank</v>
      </c>
      <c r="E756" s="2" t="str">
        <f>VLOOKUP(bron[[#This Row],[personeelsnr]],[1]Blad1!$A:$H,8,FALSE)</f>
        <v>Van Der Beken Bart</v>
      </c>
      <c r="F756" s="6">
        <v>45831</v>
      </c>
      <c r="G756" s="5" t="s">
        <v>1046</v>
      </c>
      <c r="H756" t="s">
        <v>15</v>
      </c>
      <c r="I756" s="4">
        <v>5260</v>
      </c>
      <c r="J756" s="23" t="str">
        <f>VLOOKUP(bron[[#This Row],[voertuig]],Voertuigen!A:C,3,FALSE)</f>
        <v>Bus</v>
      </c>
      <c r="K756" s="23" t="str">
        <f>VLOOKUP(bron[[#This Row],[voertuig]],Voertuigen!A:C,2,FALSE)</f>
        <v>Gelede</v>
      </c>
      <c r="L756" s="23">
        <f>COUNTIF(A:A,bron[[#This Row],[personeelsnr]])</f>
        <v>10</v>
      </c>
    </row>
    <row r="757" spans="1:12" hidden="1" x14ac:dyDescent="0.25">
      <c r="A757" s="20">
        <v>40478</v>
      </c>
      <c r="B757" t="str">
        <f>VLOOKUP(bron[[#This Row],[personeelsnr]],[1]Blad1!$A:$H,2,FALSE)</f>
        <v>Hashimi Ali Mir</v>
      </c>
      <c r="C757" t="str">
        <f>VLOOKUP(bron[[#This Row],[personeelsnr]],[1]Blad1!$A:$H,3,FALSE)</f>
        <v>Hashimi</v>
      </c>
      <c r="D757" t="str">
        <f>VLOOKUP(bron[[#This Row],[personeelsnr]],[1]Blad1!$A:$H,4,FALSE)</f>
        <v>Ali Mir</v>
      </c>
      <c r="E757" s="2" t="str">
        <f>VLOOKUP(bron[[#This Row],[personeelsnr]],[1]Blad1!$A:$H,8,FALSE)</f>
        <v>Van Der Beken Bart</v>
      </c>
      <c r="F757" s="6">
        <v>45831</v>
      </c>
      <c r="G757" s="5" t="s">
        <v>1047</v>
      </c>
      <c r="H757" t="s">
        <v>24</v>
      </c>
      <c r="I757" s="4">
        <v>5911</v>
      </c>
      <c r="J757" s="23" t="str">
        <f>VLOOKUP(bron[[#This Row],[voertuig]],Voertuigen!A:C,3,FALSE)</f>
        <v>Bus</v>
      </c>
      <c r="K757" s="23" t="str">
        <f>VLOOKUP(bron[[#This Row],[voertuig]],Voertuigen!A:C,2,FALSE)</f>
        <v>Standaard</v>
      </c>
      <c r="L757" s="23">
        <f>COUNTIF(A:A,bron[[#This Row],[personeelsnr]])</f>
        <v>4</v>
      </c>
    </row>
    <row r="758" spans="1:12" hidden="1" x14ac:dyDescent="0.25">
      <c r="A758" s="20">
        <v>29746</v>
      </c>
      <c r="B758" t="str">
        <f>VLOOKUP(bron[[#This Row],[personeelsnr]],[1]Blad1!$A:$H,2,FALSE)</f>
        <v>Huyse Annicke</v>
      </c>
      <c r="C758" t="str">
        <f>VLOOKUP(bron[[#This Row],[personeelsnr]],[1]Blad1!$A:$H,3,FALSE)</f>
        <v>Huyse</v>
      </c>
      <c r="D758" t="str">
        <f>VLOOKUP(bron[[#This Row],[personeelsnr]],[1]Blad1!$A:$H,4,FALSE)</f>
        <v>Annicke</v>
      </c>
      <c r="E758" s="2" t="str">
        <f>VLOOKUP(bron[[#This Row],[personeelsnr]],[1]Blad1!$A:$H,8,FALSE)</f>
        <v>Van Der Beken Bart</v>
      </c>
      <c r="F758" s="6">
        <v>45831</v>
      </c>
      <c r="G758" s="5" t="s">
        <v>1048</v>
      </c>
      <c r="H758" t="s">
        <v>86</v>
      </c>
      <c r="I758" s="4">
        <v>6368</v>
      </c>
      <c r="J758" s="23" t="str">
        <f>VLOOKUP(bron[[#This Row],[voertuig]],Voertuigen!A:C,3,FALSE)</f>
        <v>Tram</v>
      </c>
      <c r="K758" s="23" t="str">
        <f>VLOOKUP(bron[[#This Row],[voertuig]],Voertuigen!A:C,2,FALSE)</f>
        <v>Flexity</v>
      </c>
      <c r="L758" s="23">
        <f>COUNTIF(A:A,bron[[#This Row],[personeelsnr]])</f>
        <v>3</v>
      </c>
    </row>
    <row r="759" spans="1:12" hidden="1" x14ac:dyDescent="0.25">
      <c r="A759" s="20">
        <v>38634</v>
      </c>
      <c r="B759" t="str">
        <f>VLOOKUP(bron[[#This Row],[personeelsnr]],[1]Blad1!$A:$H,2,FALSE)</f>
        <v>Asskale Zouhir</v>
      </c>
      <c r="C759" t="str">
        <f>VLOOKUP(bron[[#This Row],[personeelsnr]],[1]Blad1!$A:$H,3,FALSE)</f>
        <v>Asskale</v>
      </c>
      <c r="D759" t="str">
        <f>VLOOKUP(bron[[#This Row],[personeelsnr]],[1]Blad1!$A:$H,4,FALSE)</f>
        <v>Zouhir</v>
      </c>
      <c r="E759" s="2" t="str">
        <f>VLOOKUP(bron[[#This Row],[personeelsnr]],[1]Blad1!$A:$H,8,FALSE)</f>
        <v>Van Der Beken Bart</v>
      </c>
      <c r="F759" s="6">
        <v>45832</v>
      </c>
      <c r="G759" s="5" t="s">
        <v>1049</v>
      </c>
      <c r="H759" t="s">
        <v>134</v>
      </c>
      <c r="I759" s="4">
        <v>6339</v>
      </c>
      <c r="J759" s="23" t="str">
        <f>VLOOKUP(bron[[#This Row],[voertuig]],Voertuigen!A:C,3,FALSE)</f>
        <v>Tram</v>
      </c>
      <c r="K759" s="23" t="str">
        <f>VLOOKUP(bron[[#This Row],[voertuig]],Voertuigen!A:C,2,FALSE)</f>
        <v>Hermelijn</v>
      </c>
      <c r="L759" s="23">
        <f>COUNTIF(A:A,bron[[#This Row],[personeelsnr]])</f>
        <v>3</v>
      </c>
    </row>
    <row r="760" spans="1:12" hidden="1" x14ac:dyDescent="0.25">
      <c r="A760" s="20">
        <v>15412</v>
      </c>
      <c r="B760" t="str">
        <f>VLOOKUP(bron[[#This Row],[personeelsnr]],[1]Blad1!$A:$H,2,FALSE)</f>
        <v>Dhondt Frank</v>
      </c>
      <c r="C760" t="str">
        <f>VLOOKUP(bron[[#This Row],[personeelsnr]],[1]Blad1!$A:$H,3,FALSE)</f>
        <v>Dhondt</v>
      </c>
      <c r="D760" t="str">
        <f>VLOOKUP(bron[[#This Row],[personeelsnr]],[1]Blad1!$A:$H,4,FALSE)</f>
        <v>Frank</v>
      </c>
      <c r="E760" s="2" t="str">
        <f>VLOOKUP(bron[[#This Row],[personeelsnr]],[1]Blad1!$A:$H,8,FALSE)</f>
        <v>Van Der Beken Bart</v>
      </c>
      <c r="F760" s="6">
        <v>45833</v>
      </c>
      <c r="G760" s="5" t="s">
        <v>1050</v>
      </c>
      <c r="H760" t="s">
        <v>162</v>
      </c>
      <c r="I760" s="4">
        <v>5261</v>
      </c>
      <c r="J760" s="23" t="str">
        <f>VLOOKUP(bron[[#This Row],[voertuig]],Voertuigen!A:C,3,FALSE)</f>
        <v>Bus</v>
      </c>
      <c r="K760" s="23" t="str">
        <f>VLOOKUP(bron[[#This Row],[voertuig]],Voertuigen!A:C,2,FALSE)</f>
        <v>Gelede</v>
      </c>
      <c r="L760" s="23">
        <f>COUNTIF(A:A,bron[[#This Row],[personeelsnr]])</f>
        <v>2</v>
      </c>
    </row>
    <row r="761" spans="1:12" hidden="1" x14ac:dyDescent="0.25">
      <c r="A761" s="20">
        <v>40362</v>
      </c>
      <c r="B761" t="str">
        <f>VLOOKUP(bron[[#This Row],[personeelsnr]],[1]Blad1!$A:$H,2,FALSE)</f>
        <v>Kuru Cetin</v>
      </c>
      <c r="C761" t="str">
        <f>VLOOKUP(bron[[#This Row],[personeelsnr]],[1]Blad1!$A:$H,3,FALSE)</f>
        <v>Kuru</v>
      </c>
      <c r="D761" t="str">
        <f>VLOOKUP(bron[[#This Row],[personeelsnr]],[1]Blad1!$A:$H,4,FALSE)</f>
        <v>Cetin</v>
      </c>
      <c r="E761" s="2" t="str">
        <f>VLOOKUP(bron[[#This Row],[personeelsnr]],[1]Blad1!$A:$H,8,FALSE)</f>
        <v>De Rick Kenneth</v>
      </c>
      <c r="F761" s="6">
        <v>45833</v>
      </c>
      <c r="G761" s="5" t="s">
        <v>1051</v>
      </c>
      <c r="H761" t="s">
        <v>21</v>
      </c>
      <c r="I761" s="4">
        <v>5235</v>
      </c>
      <c r="J761" s="23" t="str">
        <f>VLOOKUP(bron[[#This Row],[voertuig]],Voertuigen!A:C,3,FALSE)</f>
        <v>Bus</v>
      </c>
      <c r="K761" s="23" t="str">
        <f>VLOOKUP(bron[[#This Row],[voertuig]],Voertuigen!A:C,2,FALSE)</f>
        <v>Gelede</v>
      </c>
      <c r="L761" s="23">
        <f>COUNTIF(A:A,bron[[#This Row],[personeelsnr]])</f>
        <v>3</v>
      </c>
    </row>
    <row r="762" spans="1:12" hidden="1" x14ac:dyDescent="0.25">
      <c r="A762" s="20">
        <v>29646</v>
      </c>
      <c r="B762" t="str">
        <f>VLOOKUP(bron[[#This Row],[personeelsnr]],[1]Blad1!$A:$H,2,FALSE)</f>
        <v>Özer Mesut</v>
      </c>
      <c r="C762" t="str">
        <f>VLOOKUP(bron[[#This Row],[personeelsnr]],[1]Blad1!$A:$H,3,FALSE)</f>
        <v>Özer</v>
      </c>
      <c r="D762" t="str">
        <f>VLOOKUP(bron[[#This Row],[personeelsnr]],[1]Blad1!$A:$H,4,FALSE)</f>
        <v>Mesut</v>
      </c>
      <c r="E762" s="2" t="str">
        <f>VLOOKUP(bron[[#This Row],[personeelsnr]],[1]Blad1!$A:$H,8,FALSE)</f>
        <v>De Clercq Dominique</v>
      </c>
      <c r="F762" s="6">
        <v>45836</v>
      </c>
      <c r="G762" s="5" t="s">
        <v>1052</v>
      </c>
      <c r="H762" t="s">
        <v>163</v>
      </c>
      <c r="I762" s="4">
        <v>5912</v>
      </c>
      <c r="J762" s="23" t="str">
        <f>VLOOKUP(bron[[#This Row],[voertuig]],Voertuigen!A:C,3,FALSE)</f>
        <v>Bus</v>
      </c>
      <c r="K762" s="23" t="str">
        <f>VLOOKUP(bron[[#This Row],[voertuig]],Voertuigen!A:C,2,FALSE)</f>
        <v>Standaard</v>
      </c>
      <c r="L762" s="23">
        <f>COUNTIF(A:A,bron[[#This Row],[personeelsnr]])</f>
        <v>1</v>
      </c>
    </row>
    <row r="763" spans="1:12" hidden="1" x14ac:dyDescent="0.25">
      <c r="A763" s="20">
        <v>15088</v>
      </c>
      <c r="B763" t="str">
        <f>VLOOKUP(bron[[#This Row],[personeelsnr]],[1]Blad1!$A:$H,2,FALSE)</f>
        <v>Laute Dirk</v>
      </c>
      <c r="C763" t="str">
        <f>VLOOKUP(bron[[#This Row],[personeelsnr]],[1]Blad1!$A:$H,3,FALSE)</f>
        <v>Laute</v>
      </c>
      <c r="D763" t="str">
        <f>VLOOKUP(bron[[#This Row],[personeelsnr]],[1]Blad1!$A:$H,4,FALSE)</f>
        <v>Dirk</v>
      </c>
      <c r="E763" s="2" t="str">
        <f>VLOOKUP(bron[[#This Row],[personeelsnr]],[1]Blad1!$A:$H,8,FALSE)</f>
        <v>Vanhoe Els</v>
      </c>
      <c r="F763" s="6">
        <v>45837</v>
      </c>
      <c r="G763" s="5" t="s">
        <v>1053</v>
      </c>
      <c r="H763" t="s">
        <v>15</v>
      </c>
      <c r="I763" s="4">
        <v>5046</v>
      </c>
      <c r="J763" s="23" t="str">
        <f>VLOOKUP(bron[[#This Row],[voertuig]],Voertuigen!A:C,3,FALSE)</f>
        <v>Bus</v>
      </c>
      <c r="K763" s="23" t="str">
        <f>VLOOKUP(bron[[#This Row],[voertuig]],Voertuigen!A:C,2,FALSE)</f>
        <v>Gelede</v>
      </c>
      <c r="L763" s="23">
        <f>COUNTIF(A:A,bron[[#This Row],[personeelsnr]])</f>
        <v>2</v>
      </c>
    </row>
    <row r="764" spans="1:12" hidden="1" x14ac:dyDescent="0.25">
      <c r="A764" s="20">
        <v>39850</v>
      </c>
      <c r="B764" t="str">
        <f>VLOOKUP(bron[[#This Row],[personeelsnr]],[1]Blad1!$A:$H,2,FALSE)</f>
        <v>Helleputte William</v>
      </c>
      <c r="C764" t="str">
        <f>VLOOKUP(bron[[#This Row],[personeelsnr]],[1]Blad1!$A:$H,3,FALSE)</f>
        <v>Helleputte</v>
      </c>
      <c r="D764" t="str">
        <f>VLOOKUP(bron[[#This Row],[personeelsnr]],[1]Blad1!$A:$H,4,FALSE)</f>
        <v>William</v>
      </c>
      <c r="E764" s="2" t="str">
        <f>VLOOKUP(bron[[#This Row],[personeelsnr]],[1]Blad1!$A:$H,8,FALSE)</f>
        <v>De Clercq Dominique</v>
      </c>
      <c r="F764" s="6">
        <v>45837</v>
      </c>
      <c r="G764" s="5" t="s">
        <v>1054</v>
      </c>
      <c r="H764" t="s">
        <v>29</v>
      </c>
      <c r="I764" s="4">
        <v>5042</v>
      </c>
      <c r="J764" s="23" t="str">
        <f>VLOOKUP(bron[[#This Row],[voertuig]],Voertuigen!A:C,3,FALSE)</f>
        <v>Bus</v>
      </c>
      <c r="K764" s="23" t="str">
        <f>VLOOKUP(bron[[#This Row],[voertuig]],Voertuigen!A:C,2,FALSE)</f>
        <v>Gelede</v>
      </c>
      <c r="L764" s="23">
        <f>COUNTIF(A:A,bron[[#This Row],[personeelsnr]])</f>
        <v>3</v>
      </c>
    </row>
    <row r="765" spans="1:12" hidden="1" x14ac:dyDescent="0.25">
      <c r="A765" s="20">
        <v>40223</v>
      </c>
      <c r="B765" t="e">
        <f>VLOOKUP(bron[[#This Row],[personeelsnr]],[1]Blad1!$A:$H,2,FALSE)</f>
        <v>#N/A</v>
      </c>
      <c r="C765" t="e">
        <f>VLOOKUP(bron[[#This Row],[personeelsnr]],[1]Blad1!$A:$H,3,FALSE)</f>
        <v>#N/A</v>
      </c>
      <c r="D765" t="e">
        <f>VLOOKUP(bron[[#This Row],[personeelsnr]],[1]Blad1!$A:$H,4,FALSE)</f>
        <v>#N/A</v>
      </c>
      <c r="E765" s="2" t="s">
        <v>221</v>
      </c>
      <c r="F765" s="6">
        <v>45837</v>
      </c>
      <c r="G765" s="5" t="s">
        <v>1055</v>
      </c>
      <c r="H765" t="s">
        <v>145</v>
      </c>
      <c r="I765" s="4">
        <v>5047</v>
      </c>
      <c r="J765" s="23" t="str">
        <f>VLOOKUP(bron[[#This Row],[voertuig]],Voertuigen!A:C,3,FALSE)</f>
        <v>Bus</v>
      </c>
      <c r="K765" s="23" t="str">
        <f>VLOOKUP(bron[[#This Row],[voertuig]],Voertuigen!A:C,2,FALSE)</f>
        <v>Gelede</v>
      </c>
      <c r="L765" s="23">
        <f>COUNTIF(A:A,bron[[#This Row],[personeelsnr]])</f>
        <v>8</v>
      </c>
    </row>
    <row r="766" spans="1:12" hidden="1" x14ac:dyDescent="0.25">
      <c r="A766" s="20">
        <v>21509</v>
      </c>
      <c r="B766" t="str">
        <f>VLOOKUP(bron[[#This Row],[personeelsnr]],[1]Blad1!$A:$H,2,FALSE)</f>
        <v>De Craemer Kris</v>
      </c>
      <c r="C766" t="str">
        <f>VLOOKUP(bron[[#This Row],[personeelsnr]],[1]Blad1!$A:$H,3,FALSE)</f>
        <v>De Craemer</v>
      </c>
      <c r="D766" t="str">
        <f>VLOOKUP(bron[[#This Row],[personeelsnr]],[1]Blad1!$A:$H,4,FALSE)</f>
        <v>Kris</v>
      </c>
      <c r="E766" s="2" t="str">
        <f>VLOOKUP(bron[[#This Row],[personeelsnr]],[1]Blad1!$A:$H,8,FALSE)</f>
        <v>De Clercq Dominique</v>
      </c>
      <c r="F766" s="6">
        <v>45839</v>
      </c>
      <c r="G766" s="5" t="s">
        <v>1056</v>
      </c>
      <c r="H766" t="s">
        <v>41</v>
      </c>
      <c r="I766" s="4">
        <v>6319</v>
      </c>
      <c r="J766" s="23" t="str">
        <f>VLOOKUP(bron[[#This Row],[voertuig]],Voertuigen!A:C,3,FALSE)</f>
        <v>Tram</v>
      </c>
      <c r="K766" s="23" t="str">
        <f>VLOOKUP(bron[[#This Row],[voertuig]],Voertuigen!A:C,2,FALSE)</f>
        <v>Hermelijn</v>
      </c>
      <c r="L766" s="23">
        <f>COUNTIF(A:A,bron[[#This Row],[personeelsnr]])</f>
        <v>6</v>
      </c>
    </row>
    <row r="767" spans="1:12" hidden="1" x14ac:dyDescent="0.25">
      <c r="A767" s="20">
        <v>4419</v>
      </c>
      <c r="B767" t="str">
        <f>VLOOKUP(bron[[#This Row],[personeelsnr]],[1]Blad1!$A:$H,2,FALSE)</f>
        <v>Maelbrancke Eddy</v>
      </c>
      <c r="C767" t="str">
        <f>VLOOKUP(bron[[#This Row],[personeelsnr]],[1]Blad1!$A:$H,3,FALSE)</f>
        <v>Maelbrancke</v>
      </c>
      <c r="D767" t="str">
        <f>VLOOKUP(bron[[#This Row],[personeelsnr]],[1]Blad1!$A:$H,4,FALSE)</f>
        <v>Eddy</v>
      </c>
      <c r="E767" s="2" t="str">
        <f>VLOOKUP(bron[[#This Row],[personeelsnr]],[1]Blad1!$A:$H,8,FALSE)</f>
        <v>Van De Velde Lucie</v>
      </c>
      <c r="F767" s="6">
        <v>45839</v>
      </c>
      <c r="G767" s="5" t="s">
        <v>1057</v>
      </c>
      <c r="H767" t="s">
        <v>64</v>
      </c>
      <c r="I767" s="4">
        <v>2195</v>
      </c>
      <c r="J767" s="23" t="str">
        <f>VLOOKUP(bron[[#This Row],[voertuig]],Voertuigen!A:C,3,FALSE)</f>
        <v>Bus</v>
      </c>
      <c r="K767" s="23" t="str">
        <f>VLOOKUP(bron[[#This Row],[voertuig]],Voertuigen!A:C,2,FALSE)</f>
        <v>Gelede</v>
      </c>
      <c r="L767" s="23">
        <f>COUNTIF(A:A,bron[[#This Row],[personeelsnr]])</f>
        <v>4</v>
      </c>
    </row>
    <row r="768" spans="1:12" hidden="1" x14ac:dyDescent="0.25">
      <c r="A768" s="20">
        <v>32528</v>
      </c>
      <c r="B768" t="str">
        <f>VLOOKUP(bron[[#This Row],[personeelsnr]],[1]Blad1!$A:$H,2,FALSE)</f>
        <v>Benjilali Abdelhak</v>
      </c>
      <c r="C768" t="str">
        <f>VLOOKUP(bron[[#This Row],[personeelsnr]],[1]Blad1!$A:$H,3,FALSE)</f>
        <v>Benjilali</v>
      </c>
      <c r="D768" t="str">
        <f>VLOOKUP(bron[[#This Row],[personeelsnr]],[1]Blad1!$A:$H,4,FALSE)</f>
        <v>Abdelhak</v>
      </c>
      <c r="E768" s="2" t="str">
        <f>VLOOKUP(bron[[#This Row],[personeelsnr]],[1]Blad1!$A:$H,8,FALSE)</f>
        <v>Storm Steven</v>
      </c>
      <c r="F768" s="6">
        <v>45839</v>
      </c>
      <c r="G768" s="5" t="s">
        <v>1058</v>
      </c>
      <c r="H768" t="s">
        <v>46</v>
      </c>
      <c r="I768" s="4">
        <v>5264</v>
      </c>
      <c r="J768" s="23" t="str">
        <f>VLOOKUP(bron[[#This Row],[voertuig]],Voertuigen!A:C,3,FALSE)</f>
        <v>Bus</v>
      </c>
      <c r="K768" s="23" t="str">
        <f>VLOOKUP(bron[[#This Row],[voertuig]],Voertuigen!A:C,2,FALSE)</f>
        <v>Gelede</v>
      </c>
      <c r="L768" s="23">
        <f>COUNTIF(A:A,bron[[#This Row],[personeelsnr]])</f>
        <v>2</v>
      </c>
    </row>
    <row r="769" spans="1:12" hidden="1" x14ac:dyDescent="0.25">
      <c r="A769" s="20">
        <v>37542</v>
      </c>
      <c r="B769" t="str">
        <f>VLOOKUP(bron[[#This Row],[personeelsnr]],[1]Blad1!$A:$H,2,FALSE)</f>
        <v>De Tandt Hans</v>
      </c>
      <c r="C769" t="str">
        <f>VLOOKUP(bron[[#This Row],[personeelsnr]],[1]Blad1!$A:$H,3,FALSE)</f>
        <v>De Tandt</v>
      </c>
      <c r="D769" t="str">
        <f>VLOOKUP(bron[[#This Row],[personeelsnr]],[1]Blad1!$A:$H,4,FALSE)</f>
        <v>Hans</v>
      </c>
      <c r="E769" s="2" t="str">
        <f>VLOOKUP(bron[[#This Row],[personeelsnr]],[1]Blad1!$A:$H,8,FALSE)</f>
        <v>Van Der Beken Bart</v>
      </c>
      <c r="F769" s="6">
        <v>45840</v>
      </c>
      <c r="G769" s="5" t="s">
        <v>1059</v>
      </c>
      <c r="H769" t="s">
        <v>19</v>
      </c>
      <c r="I769" s="4">
        <v>6362</v>
      </c>
      <c r="J769" s="23" t="str">
        <f>VLOOKUP(bron[[#This Row],[voertuig]],Voertuigen!A:C,3,FALSE)</f>
        <v>Tram</v>
      </c>
      <c r="K769" s="23" t="str">
        <f>VLOOKUP(bron[[#This Row],[voertuig]],Voertuigen!A:C,2,FALSE)</f>
        <v>Flexity</v>
      </c>
      <c r="L769" s="23">
        <f>COUNTIF(A:A,bron[[#This Row],[personeelsnr]])</f>
        <v>5</v>
      </c>
    </row>
    <row r="770" spans="1:12" hidden="1" x14ac:dyDescent="0.25">
      <c r="A770" s="20">
        <v>38648</v>
      </c>
      <c r="B770" t="str">
        <f>VLOOKUP(bron[[#This Row],[personeelsnr]],[1]Blad1!$A:$H,2,FALSE)</f>
        <v>Uckuyulu Muhammet Emin</v>
      </c>
      <c r="C770" t="str">
        <f>VLOOKUP(bron[[#This Row],[personeelsnr]],[1]Blad1!$A:$H,3,FALSE)</f>
        <v>Uckuyulu</v>
      </c>
      <c r="D770" t="str">
        <f>VLOOKUP(bron[[#This Row],[personeelsnr]],[1]Blad1!$A:$H,4,FALSE)</f>
        <v>Muhammet Emin</v>
      </c>
      <c r="E770" s="2" t="str">
        <f>VLOOKUP(bron[[#This Row],[personeelsnr]],[1]Blad1!$A:$H,8,FALSE)</f>
        <v>Van De Velde Lucie</v>
      </c>
      <c r="F770" s="6">
        <v>45840</v>
      </c>
      <c r="G770" s="5" t="s">
        <v>1060</v>
      </c>
      <c r="H770" t="s">
        <v>7</v>
      </c>
      <c r="I770" s="4">
        <v>6368</v>
      </c>
      <c r="J770" s="23" t="str">
        <f>VLOOKUP(bron[[#This Row],[voertuig]],Voertuigen!A:C,3,FALSE)</f>
        <v>Tram</v>
      </c>
      <c r="K770" s="23" t="str">
        <f>VLOOKUP(bron[[#This Row],[voertuig]],Voertuigen!A:C,2,FALSE)</f>
        <v>Flexity</v>
      </c>
      <c r="L770" s="23">
        <f>COUNTIF(A:A,bron[[#This Row],[personeelsnr]])</f>
        <v>4</v>
      </c>
    </row>
    <row r="771" spans="1:12" hidden="1" x14ac:dyDescent="0.25">
      <c r="A771" s="20">
        <v>4419</v>
      </c>
      <c r="B771" t="str">
        <f>VLOOKUP(bron[[#This Row],[personeelsnr]],[1]Blad1!$A:$H,2,FALSE)</f>
        <v>Maelbrancke Eddy</v>
      </c>
      <c r="C771" t="str">
        <f>VLOOKUP(bron[[#This Row],[personeelsnr]],[1]Blad1!$A:$H,3,FALSE)</f>
        <v>Maelbrancke</v>
      </c>
      <c r="D771" t="str">
        <f>VLOOKUP(bron[[#This Row],[personeelsnr]],[1]Blad1!$A:$H,4,FALSE)</f>
        <v>Eddy</v>
      </c>
      <c r="E771" s="2" t="str">
        <f>VLOOKUP(bron[[#This Row],[personeelsnr]],[1]Blad1!$A:$H,8,FALSE)</f>
        <v>Van De Velde Lucie</v>
      </c>
      <c r="F771" s="6">
        <v>45841</v>
      </c>
      <c r="G771" s="5" t="s">
        <v>1061</v>
      </c>
      <c r="H771" t="s">
        <v>166</v>
      </c>
      <c r="I771" s="4">
        <v>2193</v>
      </c>
      <c r="J771" s="23" t="str">
        <f>VLOOKUP(bron[[#This Row],[voertuig]],Voertuigen!A:C,3,FALSE)</f>
        <v>Bus</v>
      </c>
      <c r="K771" s="23" t="str">
        <f>VLOOKUP(bron[[#This Row],[voertuig]],Voertuigen!A:C,2,FALSE)</f>
        <v>Gelede</v>
      </c>
      <c r="L771" s="23">
        <f>COUNTIF(A:A,bron[[#This Row],[personeelsnr]])</f>
        <v>4</v>
      </c>
    </row>
    <row r="772" spans="1:12" hidden="1" x14ac:dyDescent="0.25">
      <c r="A772" s="20">
        <v>40745</v>
      </c>
      <c r="B772" t="str">
        <f>VLOOKUP(bron[[#This Row],[personeelsnr]],[1]Blad1!$A:$H,2,FALSE)</f>
        <v>Ivanov Ivan</v>
      </c>
      <c r="C772" t="str">
        <f>VLOOKUP(bron[[#This Row],[personeelsnr]],[1]Blad1!$A:$H,3,FALSE)</f>
        <v>Ivanov</v>
      </c>
      <c r="D772" t="str">
        <f>VLOOKUP(bron[[#This Row],[personeelsnr]],[1]Blad1!$A:$H,4,FALSE)</f>
        <v>Ivan</v>
      </c>
      <c r="E772" s="2" t="str">
        <f>VLOOKUP(bron[[#This Row],[personeelsnr]],[1]Blad1!$A:$H,8,FALSE)</f>
        <v>Van Der Beken Bart</v>
      </c>
      <c r="F772" s="6">
        <v>45841</v>
      </c>
      <c r="G772" s="5" t="s">
        <v>1062</v>
      </c>
      <c r="H772" t="s">
        <v>65</v>
      </c>
      <c r="I772" s="4">
        <v>5259</v>
      </c>
      <c r="J772" s="23" t="str">
        <f>VLOOKUP(bron[[#This Row],[voertuig]],Voertuigen!A:C,3,FALSE)</f>
        <v>Bus</v>
      </c>
      <c r="K772" s="23" t="str">
        <f>VLOOKUP(bron[[#This Row],[voertuig]],Voertuigen!A:C,2,FALSE)</f>
        <v>Gelede</v>
      </c>
      <c r="L772" s="23">
        <f>COUNTIF(A:A,bron[[#This Row],[personeelsnr]])</f>
        <v>1</v>
      </c>
    </row>
    <row r="773" spans="1:12" hidden="1" x14ac:dyDescent="0.25">
      <c r="A773" s="20">
        <v>28737</v>
      </c>
      <c r="B773" t="str">
        <f>VLOOKUP(bron[[#This Row],[personeelsnr]],[1]Blad1!$A:$H,2,FALSE)</f>
        <v>El-Mohamed Mohamed</v>
      </c>
      <c r="C773" t="str">
        <f>VLOOKUP(bron[[#This Row],[personeelsnr]],[1]Blad1!$A:$H,3,FALSE)</f>
        <v>El-Mohamed</v>
      </c>
      <c r="D773" t="str">
        <f>VLOOKUP(bron[[#This Row],[personeelsnr]],[1]Blad1!$A:$H,4,FALSE)</f>
        <v>Mohamed</v>
      </c>
      <c r="E773" s="2" t="str">
        <f>VLOOKUP(bron[[#This Row],[personeelsnr]],[1]Blad1!$A:$H,8,FALSE)</f>
        <v>Van De Velde Lucie</v>
      </c>
      <c r="F773" s="6">
        <v>45842</v>
      </c>
      <c r="G773" s="5" t="s">
        <v>1063</v>
      </c>
      <c r="H773" t="s">
        <v>362</v>
      </c>
      <c r="I773" s="4">
        <v>5046</v>
      </c>
      <c r="J773" s="23" t="str">
        <f>VLOOKUP(bron[[#This Row],[voertuig]],Voertuigen!A:C,3,FALSE)</f>
        <v>Bus</v>
      </c>
      <c r="K773" s="23" t="str">
        <f>VLOOKUP(bron[[#This Row],[voertuig]],Voertuigen!A:C,2,FALSE)</f>
        <v>Gelede</v>
      </c>
      <c r="L773" s="23">
        <f>COUNTIF(A:A,bron[[#This Row],[personeelsnr]])</f>
        <v>4</v>
      </c>
    </row>
    <row r="774" spans="1:12" hidden="1" x14ac:dyDescent="0.25">
      <c r="A774" s="20">
        <v>39660</v>
      </c>
      <c r="B774" t="e">
        <f>VLOOKUP(bron[[#This Row],[personeelsnr]],[1]Blad1!$A:$H,2,FALSE)</f>
        <v>#N/A</v>
      </c>
      <c r="C774" t="e">
        <f>VLOOKUP(bron[[#This Row],[personeelsnr]],[1]Blad1!$A:$H,3,FALSE)</f>
        <v>#N/A</v>
      </c>
      <c r="D774" t="e">
        <f>VLOOKUP(bron[[#This Row],[personeelsnr]],[1]Blad1!$A:$H,4,FALSE)</f>
        <v>#N/A</v>
      </c>
      <c r="E774" s="2" t="s">
        <v>221</v>
      </c>
      <c r="F774" s="6">
        <v>45842</v>
      </c>
      <c r="G774" s="5" t="s">
        <v>1064</v>
      </c>
      <c r="H774" t="s">
        <v>64</v>
      </c>
      <c r="I774" s="4">
        <v>2190</v>
      </c>
      <c r="J774" s="23" t="str">
        <f>VLOOKUP(bron[[#This Row],[voertuig]],Voertuigen!A:C,3,FALSE)</f>
        <v>Bus</v>
      </c>
      <c r="K774" s="23" t="str">
        <f>VLOOKUP(bron[[#This Row],[voertuig]],Voertuigen!A:C,2,FALSE)</f>
        <v>Gelede</v>
      </c>
      <c r="L774" s="23">
        <f>COUNTIF(A:A,bron[[#This Row],[personeelsnr]])</f>
        <v>6</v>
      </c>
    </row>
    <row r="775" spans="1:12" hidden="1" x14ac:dyDescent="0.25">
      <c r="A775" s="20">
        <v>22416</v>
      </c>
      <c r="B775" t="str">
        <f>VLOOKUP(bron[[#This Row],[personeelsnr]],[1]Blad1!$A:$H,2,FALSE)</f>
        <v>Bicici Abdul Kadir</v>
      </c>
      <c r="C775" t="str">
        <f>VLOOKUP(bron[[#This Row],[personeelsnr]],[1]Blad1!$A:$H,3,FALSE)</f>
        <v>Bicici</v>
      </c>
      <c r="D775" t="str">
        <f>VLOOKUP(bron[[#This Row],[personeelsnr]],[1]Blad1!$A:$H,4,FALSE)</f>
        <v>Abdul Kadir</v>
      </c>
      <c r="E775" s="2" t="str">
        <f>VLOOKUP(bron[[#This Row],[personeelsnr]],[1]Blad1!$A:$H,8,FALSE)</f>
        <v>Rotty Christoff</v>
      </c>
      <c r="F775" s="6">
        <v>45843</v>
      </c>
      <c r="G775" s="5" t="s">
        <v>1065</v>
      </c>
      <c r="H775" t="s">
        <v>147</v>
      </c>
      <c r="I775" s="4">
        <v>6355</v>
      </c>
      <c r="J775" s="23" t="str">
        <f>VLOOKUP(bron[[#This Row],[voertuig]],Voertuigen!A:C,3,FALSE)</f>
        <v>Tram</v>
      </c>
      <c r="K775" s="23" t="str">
        <f>VLOOKUP(bron[[#This Row],[voertuig]],Voertuigen!A:C,2,FALSE)</f>
        <v>Flexity</v>
      </c>
      <c r="L775" s="23">
        <f>COUNTIF(A:A,bron[[#This Row],[personeelsnr]])</f>
        <v>1</v>
      </c>
    </row>
    <row r="776" spans="1:12" hidden="1" x14ac:dyDescent="0.25">
      <c r="A776" s="20">
        <v>40939</v>
      </c>
      <c r="B776" t="str">
        <f>VLOOKUP(bron[[#This Row],[personeelsnr]],[1]Blad1!$A:$H,2,FALSE)</f>
        <v>Cisse Sayon</v>
      </c>
      <c r="C776" t="str">
        <f>VLOOKUP(bron[[#This Row],[personeelsnr]],[1]Blad1!$A:$H,3,FALSE)</f>
        <v>Cisse</v>
      </c>
      <c r="D776" t="str">
        <f>VLOOKUP(bron[[#This Row],[personeelsnr]],[1]Blad1!$A:$H,4,FALSE)</f>
        <v>Sayon</v>
      </c>
      <c r="E776" s="2" t="str">
        <f>VLOOKUP(bron[[#This Row],[personeelsnr]],[1]Blad1!$A:$H,8,FALSE)</f>
        <v>De Rick Kenneth</v>
      </c>
      <c r="F776" s="6">
        <v>45843</v>
      </c>
      <c r="G776" s="5" t="s">
        <v>1066</v>
      </c>
      <c r="H776" t="s">
        <v>20</v>
      </c>
      <c r="I776" s="4">
        <v>5046</v>
      </c>
      <c r="J776" s="23" t="str">
        <f>VLOOKUP(bron[[#This Row],[voertuig]],Voertuigen!A:C,3,FALSE)</f>
        <v>Bus</v>
      </c>
      <c r="K776" s="23" t="str">
        <f>VLOOKUP(bron[[#This Row],[voertuig]],Voertuigen!A:C,2,FALSE)</f>
        <v>Gelede</v>
      </c>
      <c r="L776" s="23">
        <f>COUNTIF(A:A,bron[[#This Row],[personeelsnr]])</f>
        <v>4</v>
      </c>
    </row>
    <row r="777" spans="1:12" hidden="1" x14ac:dyDescent="0.25">
      <c r="A777" s="20">
        <v>31776</v>
      </c>
      <c r="B777" t="str">
        <f>VLOOKUP(bron[[#This Row],[personeelsnr]],[1]Blad1!$A:$H,2,FALSE)</f>
        <v>Famelaer Steve</v>
      </c>
      <c r="C777" t="str">
        <f>VLOOKUP(bron[[#This Row],[personeelsnr]],[1]Blad1!$A:$H,3,FALSE)</f>
        <v>Famelaer</v>
      </c>
      <c r="D777" t="str">
        <f>VLOOKUP(bron[[#This Row],[personeelsnr]],[1]Blad1!$A:$H,4,FALSE)</f>
        <v>Steve</v>
      </c>
      <c r="E777" s="2" t="str">
        <f>VLOOKUP(bron[[#This Row],[personeelsnr]],[1]Blad1!$A:$H,8,FALSE)</f>
        <v>De Clercq Dominique</v>
      </c>
      <c r="F777" s="6">
        <v>45845</v>
      </c>
      <c r="G777" s="5" t="s">
        <v>1067</v>
      </c>
      <c r="H777" t="s">
        <v>11</v>
      </c>
      <c r="I777" s="4">
        <v>2198</v>
      </c>
      <c r="J777" s="23" t="str">
        <f>VLOOKUP(bron[[#This Row],[voertuig]],Voertuigen!A:C,3,FALSE)</f>
        <v>Bus</v>
      </c>
      <c r="K777" s="23" t="str">
        <f>VLOOKUP(bron[[#This Row],[voertuig]],Voertuigen!A:C,2,FALSE)</f>
        <v>Gelede</v>
      </c>
      <c r="L777" s="23">
        <f>COUNTIF(A:A,bron[[#This Row],[personeelsnr]])</f>
        <v>1</v>
      </c>
    </row>
    <row r="778" spans="1:12" hidden="1" x14ac:dyDescent="0.25">
      <c r="A778" s="20">
        <v>37439</v>
      </c>
      <c r="B778" t="str">
        <f>VLOOKUP(bron[[#This Row],[personeelsnr]],[1]Blad1!$A:$H,2,FALSE)</f>
        <v>Demirkazik Mustafa</v>
      </c>
      <c r="C778" t="str">
        <f>VLOOKUP(bron[[#This Row],[personeelsnr]],[1]Blad1!$A:$H,3,FALSE)</f>
        <v>Demirkazik</v>
      </c>
      <c r="D778" t="str">
        <f>VLOOKUP(bron[[#This Row],[personeelsnr]],[1]Blad1!$A:$H,4,FALSE)</f>
        <v>Mustafa</v>
      </c>
      <c r="E778" s="2" t="str">
        <f>VLOOKUP(bron[[#This Row],[personeelsnr]],[1]Blad1!$A:$H,8,FALSE)</f>
        <v>De Rick Kenneth</v>
      </c>
      <c r="F778" s="6">
        <v>45845</v>
      </c>
      <c r="G778" s="5" t="s">
        <v>1068</v>
      </c>
      <c r="H778" t="s">
        <v>31</v>
      </c>
      <c r="I778" s="4">
        <v>5486</v>
      </c>
      <c r="J778" s="23" t="str">
        <f>VLOOKUP(bron[[#This Row],[voertuig]],Voertuigen!A:C,3,FALSE)</f>
        <v>Bus</v>
      </c>
      <c r="K778" s="23" t="str">
        <f>VLOOKUP(bron[[#This Row],[voertuig]],Voertuigen!A:C,2,FALSE)</f>
        <v>Standaard</v>
      </c>
      <c r="L778" s="23">
        <f>COUNTIF(A:A,bron[[#This Row],[personeelsnr]])</f>
        <v>4</v>
      </c>
    </row>
    <row r="779" spans="1:12" hidden="1" x14ac:dyDescent="0.25">
      <c r="A779" s="20">
        <v>41859</v>
      </c>
      <c r="B779" t="e">
        <f>VLOOKUP(bron[[#This Row],[personeelsnr]],[1]Blad1!$A:$H,2,FALSE)</f>
        <v>#N/A</v>
      </c>
      <c r="C779" t="e">
        <f>VLOOKUP(bron[[#This Row],[personeelsnr]],[1]Blad1!$A:$H,3,FALSE)</f>
        <v>#N/A</v>
      </c>
      <c r="D779" t="e">
        <f>VLOOKUP(bron[[#This Row],[personeelsnr]],[1]Blad1!$A:$H,4,FALSE)</f>
        <v>#N/A</v>
      </c>
      <c r="E779" s="2" t="s">
        <v>221</v>
      </c>
      <c r="F779" s="6">
        <v>45845</v>
      </c>
      <c r="G779" s="5" t="s">
        <v>1071</v>
      </c>
      <c r="H779" t="s">
        <v>9</v>
      </c>
      <c r="I779" s="4">
        <v>5921</v>
      </c>
      <c r="J779" s="23" t="str">
        <f>VLOOKUP(bron[[#This Row],[voertuig]],Voertuigen!A:C,3,FALSE)</f>
        <v>Bus</v>
      </c>
      <c r="K779" s="23" t="str">
        <f>VLOOKUP(bron[[#This Row],[voertuig]],Voertuigen!A:C,2,FALSE)</f>
        <v>Standaard</v>
      </c>
      <c r="L779" s="23">
        <f>COUNTIF(A:A,bron[[#This Row],[personeelsnr]])</f>
        <v>2</v>
      </c>
    </row>
    <row r="780" spans="1:12" hidden="1" x14ac:dyDescent="0.25">
      <c r="A780" s="20">
        <v>18987</v>
      </c>
      <c r="B780" t="e">
        <f>VLOOKUP(bron[[#This Row],[personeelsnr]],[1]Blad1!$A:$H,2,FALSE)</f>
        <v>#N/A</v>
      </c>
      <c r="C780" t="e">
        <f>VLOOKUP(bron[[#This Row],[personeelsnr]],[1]Blad1!$A:$H,3,FALSE)</f>
        <v>#N/A</v>
      </c>
      <c r="D780" t="e">
        <f>VLOOKUP(bron[[#This Row],[personeelsnr]],[1]Blad1!$A:$H,4,FALSE)</f>
        <v>#N/A</v>
      </c>
      <c r="E780" s="2" t="s">
        <v>221</v>
      </c>
      <c r="F780" s="6">
        <v>45846</v>
      </c>
      <c r="G780" s="5" t="s">
        <v>1072</v>
      </c>
      <c r="H780" t="s">
        <v>72</v>
      </c>
      <c r="I780" s="4">
        <v>6313</v>
      </c>
      <c r="J780" s="23" t="str">
        <f>VLOOKUP(bron[[#This Row],[voertuig]],Voertuigen!A:C,3,FALSE)</f>
        <v>Tram</v>
      </c>
      <c r="K780" s="23" t="str">
        <f>VLOOKUP(bron[[#This Row],[voertuig]],Voertuigen!A:C,2,FALSE)</f>
        <v>Hermelijn</v>
      </c>
      <c r="L780" s="23">
        <f>COUNTIF(A:A,bron[[#This Row],[personeelsnr]])</f>
        <v>3</v>
      </c>
    </row>
    <row r="781" spans="1:12" hidden="1" x14ac:dyDescent="0.25">
      <c r="A781" s="20">
        <v>4720</v>
      </c>
      <c r="B781" t="str">
        <f>VLOOKUP(bron[[#This Row],[personeelsnr]],[1]Blad1!$A:$H,2,FALSE)</f>
        <v>De Roo Jo</v>
      </c>
      <c r="C781" t="str">
        <f>VLOOKUP(bron[[#This Row],[personeelsnr]],[1]Blad1!$A:$H,3,FALSE)</f>
        <v>De Roo</v>
      </c>
      <c r="D781" t="str">
        <f>VLOOKUP(bron[[#This Row],[personeelsnr]],[1]Blad1!$A:$H,4,FALSE)</f>
        <v>Jo</v>
      </c>
      <c r="E781" s="2" t="str">
        <f>VLOOKUP(bron[[#This Row],[personeelsnr]],[1]Blad1!$A:$H,8,FALSE)</f>
        <v>Vanhoe Els</v>
      </c>
      <c r="F781" s="6">
        <v>45847</v>
      </c>
      <c r="G781" s="5" t="s">
        <v>1073</v>
      </c>
      <c r="H781" t="s">
        <v>203</v>
      </c>
      <c r="I781" s="4">
        <v>5772</v>
      </c>
      <c r="J781" s="23" t="str">
        <f>VLOOKUP(bron[[#This Row],[voertuig]],Voertuigen!A:C,3,FALSE)</f>
        <v>Bus</v>
      </c>
      <c r="K781" s="23" t="str">
        <f>VLOOKUP(bron[[#This Row],[voertuig]],Voertuigen!A:C,2,FALSE)</f>
        <v>Standaard</v>
      </c>
      <c r="L781" s="23">
        <f>COUNTIF(A:A,bron[[#This Row],[personeelsnr]])</f>
        <v>1</v>
      </c>
    </row>
    <row r="782" spans="1:12" hidden="1" x14ac:dyDescent="0.25">
      <c r="A782" s="20">
        <v>22877</v>
      </c>
      <c r="B782" t="str">
        <f>VLOOKUP(bron[[#This Row],[personeelsnr]],[1]Blad1!$A:$H,2,FALSE)</f>
        <v>Goossens Gunther</v>
      </c>
      <c r="C782" t="str">
        <f>VLOOKUP(bron[[#This Row],[personeelsnr]],[1]Blad1!$A:$H,3,FALSE)</f>
        <v>Goossens</v>
      </c>
      <c r="D782" t="str">
        <f>VLOOKUP(bron[[#This Row],[personeelsnr]],[1]Blad1!$A:$H,4,FALSE)</f>
        <v>Gunther</v>
      </c>
      <c r="E782" s="2" t="str">
        <f>VLOOKUP(bron[[#This Row],[personeelsnr]],[1]Blad1!$A:$H,8,FALSE)</f>
        <v>Dewulf Els</v>
      </c>
      <c r="F782" s="6">
        <v>45847</v>
      </c>
      <c r="G782" s="5" t="s">
        <v>1074</v>
      </c>
      <c r="H782" t="s">
        <v>75</v>
      </c>
      <c r="I782" s="4">
        <v>2189</v>
      </c>
      <c r="J782" s="23" t="str">
        <f>VLOOKUP(bron[[#This Row],[voertuig]],Voertuigen!A:C,3,FALSE)</f>
        <v>Bus</v>
      </c>
      <c r="K782" s="23" t="str">
        <f>VLOOKUP(bron[[#This Row],[voertuig]],Voertuigen!A:C,2,FALSE)</f>
        <v>Gelede</v>
      </c>
      <c r="L782" s="23">
        <f>COUNTIF(A:A,bron[[#This Row],[personeelsnr]])</f>
        <v>1</v>
      </c>
    </row>
    <row r="783" spans="1:12" hidden="1" x14ac:dyDescent="0.25">
      <c r="A783" s="20">
        <v>12684</v>
      </c>
      <c r="B783" t="str">
        <f>VLOOKUP(bron[[#This Row],[personeelsnr]],[1]Blad1!$A:$H,2,FALSE)</f>
        <v>Van Den Bossche Martine</v>
      </c>
      <c r="C783" t="str">
        <f>VLOOKUP(bron[[#This Row],[personeelsnr]],[1]Blad1!$A:$H,3,FALSE)</f>
        <v>Van Den Bossche</v>
      </c>
      <c r="D783" t="str">
        <f>VLOOKUP(bron[[#This Row],[personeelsnr]],[1]Blad1!$A:$H,4,FALSE)</f>
        <v>Martine</v>
      </c>
      <c r="E783" s="2" t="str">
        <f>VLOOKUP(bron[[#This Row],[personeelsnr]],[1]Blad1!$A:$H,8,FALSE)</f>
        <v>Vanhoe Els</v>
      </c>
      <c r="F783" s="6">
        <v>45848</v>
      </c>
      <c r="G783" s="5" t="s">
        <v>1075</v>
      </c>
      <c r="H783" t="s">
        <v>18</v>
      </c>
      <c r="I783" s="4">
        <v>5046</v>
      </c>
      <c r="J783" s="23" t="str">
        <f>VLOOKUP(bron[[#This Row],[voertuig]],Voertuigen!A:C,3,FALSE)</f>
        <v>Bus</v>
      </c>
      <c r="K783" s="23" t="str">
        <f>VLOOKUP(bron[[#This Row],[voertuig]],Voertuigen!A:C,2,FALSE)</f>
        <v>Gelede</v>
      </c>
      <c r="L783" s="23">
        <f>COUNTIF(A:A,bron[[#This Row],[personeelsnr]])</f>
        <v>3</v>
      </c>
    </row>
    <row r="784" spans="1:12" hidden="1" x14ac:dyDescent="0.25">
      <c r="A784" s="20">
        <v>31668</v>
      </c>
      <c r="B784" t="str">
        <f>VLOOKUP(bron[[#This Row],[personeelsnr]],[1]Blad1!$A:$H,2,FALSE)</f>
        <v>Weemhof Maurice</v>
      </c>
      <c r="C784" t="str">
        <f>VLOOKUP(bron[[#This Row],[personeelsnr]],[1]Blad1!$A:$H,3,FALSE)</f>
        <v>Weemhof</v>
      </c>
      <c r="D784" t="str">
        <f>VLOOKUP(bron[[#This Row],[personeelsnr]],[1]Blad1!$A:$H,4,FALSE)</f>
        <v>Maurice</v>
      </c>
      <c r="E784" s="2" t="str">
        <f>VLOOKUP(bron[[#This Row],[personeelsnr]],[1]Blad1!$A:$H,8,FALSE)</f>
        <v>De Clercq Dominique</v>
      </c>
      <c r="F784" s="6">
        <v>45848</v>
      </c>
      <c r="G784" s="5" t="s">
        <v>1076</v>
      </c>
      <c r="H784" t="s">
        <v>9</v>
      </c>
      <c r="I784" s="4">
        <v>2196</v>
      </c>
      <c r="J784" s="23" t="str">
        <f>VLOOKUP(bron[[#This Row],[voertuig]],Voertuigen!A:C,3,FALSE)</f>
        <v>Bus</v>
      </c>
      <c r="K784" s="23" t="str">
        <f>VLOOKUP(bron[[#This Row],[voertuig]],Voertuigen!A:C,2,FALSE)</f>
        <v>Gelede</v>
      </c>
      <c r="L784" s="23">
        <f>COUNTIF(A:A,bron[[#This Row],[personeelsnr]])</f>
        <v>5</v>
      </c>
    </row>
    <row r="785" spans="1:12" hidden="1" x14ac:dyDescent="0.25">
      <c r="A785" s="20">
        <v>40362</v>
      </c>
      <c r="B785" t="str">
        <f>VLOOKUP(bron[[#This Row],[personeelsnr]],[1]Blad1!$A:$H,2,FALSE)</f>
        <v>Kuru Cetin</v>
      </c>
      <c r="C785" t="str">
        <f>VLOOKUP(bron[[#This Row],[personeelsnr]],[1]Blad1!$A:$H,3,FALSE)</f>
        <v>Kuru</v>
      </c>
      <c r="D785" t="str">
        <f>VLOOKUP(bron[[#This Row],[personeelsnr]],[1]Blad1!$A:$H,4,FALSE)</f>
        <v>Cetin</v>
      </c>
      <c r="E785" s="2" t="str">
        <f>VLOOKUP(bron[[#This Row],[personeelsnr]],[1]Blad1!$A:$H,8,FALSE)</f>
        <v>De Rick Kenneth</v>
      </c>
      <c r="F785" s="6">
        <v>45848</v>
      </c>
      <c r="G785" s="5" t="s">
        <v>1077</v>
      </c>
      <c r="H785" t="s">
        <v>192</v>
      </c>
      <c r="I785" s="4">
        <v>5915</v>
      </c>
      <c r="J785" s="23" t="str">
        <f>VLOOKUP(bron[[#This Row],[voertuig]],Voertuigen!A:C,3,FALSE)</f>
        <v>Bus</v>
      </c>
      <c r="K785" s="23" t="str">
        <f>VLOOKUP(bron[[#This Row],[voertuig]],Voertuigen!A:C,2,FALSE)</f>
        <v>Standaard</v>
      </c>
      <c r="L785" s="23">
        <f>COUNTIF(A:A,bron[[#This Row],[personeelsnr]])</f>
        <v>3</v>
      </c>
    </row>
    <row r="786" spans="1:12" hidden="1" x14ac:dyDescent="0.25">
      <c r="A786" s="20">
        <v>32002</v>
      </c>
      <c r="B786" t="str">
        <f>VLOOKUP(bron[[#This Row],[personeelsnr]],[1]Blad1!$A:$H,2,FALSE)</f>
        <v>Hasni Helmi</v>
      </c>
      <c r="C786" t="str">
        <f>VLOOKUP(bron[[#This Row],[personeelsnr]],[1]Blad1!$A:$H,3,FALSE)</f>
        <v>Hasni</v>
      </c>
      <c r="D786" t="str">
        <f>VLOOKUP(bron[[#This Row],[personeelsnr]],[1]Blad1!$A:$H,4,FALSE)</f>
        <v>Helmi</v>
      </c>
      <c r="E786" s="2" t="str">
        <f>VLOOKUP(bron[[#This Row],[personeelsnr]],[1]Blad1!$A:$H,8,FALSE)</f>
        <v>Storm Steven</v>
      </c>
      <c r="F786" s="6">
        <v>45848</v>
      </c>
      <c r="G786" s="5" t="s">
        <v>1078</v>
      </c>
      <c r="H786" t="s">
        <v>176</v>
      </c>
      <c r="I786" s="4">
        <v>6355</v>
      </c>
      <c r="J786" s="23" t="str">
        <f>VLOOKUP(bron[[#This Row],[voertuig]],Voertuigen!A:C,3,FALSE)</f>
        <v>Tram</v>
      </c>
      <c r="K786" s="23" t="str">
        <f>VLOOKUP(bron[[#This Row],[voertuig]],Voertuigen!A:C,2,FALSE)</f>
        <v>Flexity</v>
      </c>
      <c r="L786" s="23">
        <f>COUNTIF(A:A,bron[[#This Row],[personeelsnr]])</f>
        <v>2</v>
      </c>
    </row>
    <row r="787" spans="1:12" hidden="1" x14ac:dyDescent="0.25">
      <c r="A787" s="20">
        <v>41091</v>
      </c>
      <c r="B787" t="str">
        <f>VLOOKUP(bron[[#This Row],[personeelsnr]],[1]Blad1!$A:$H,2,FALSE)</f>
        <v>Yavas Talha</v>
      </c>
      <c r="C787" t="str">
        <f>VLOOKUP(bron[[#This Row],[personeelsnr]],[1]Blad1!$A:$H,3,FALSE)</f>
        <v>Yavas</v>
      </c>
      <c r="D787" t="str">
        <f>VLOOKUP(bron[[#This Row],[personeelsnr]],[1]Blad1!$A:$H,4,FALSE)</f>
        <v>Talha</v>
      </c>
      <c r="E787" s="2" t="str">
        <f>VLOOKUP(bron[[#This Row],[personeelsnr]],[1]Blad1!$A:$H,8,FALSE)</f>
        <v>De Clercq Dominique</v>
      </c>
      <c r="F787" s="6">
        <v>45849</v>
      </c>
      <c r="G787" s="5" t="s">
        <v>1079</v>
      </c>
      <c r="H787" t="s">
        <v>88</v>
      </c>
      <c r="I787" s="4">
        <v>5324</v>
      </c>
      <c r="J787" s="23" t="str">
        <f>VLOOKUP(bron[[#This Row],[voertuig]],Voertuigen!A:C,3,FALSE)</f>
        <v>Bus</v>
      </c>
      <c r="K787" s="23" t="str">
        <f>VLOOKUP(bron[[#This Row],[voertuig]],Voertuigen!A:C,2,FALSE)</f>
        <v>Gelede</v>
      </c>
      <c r="L787" s="23">
        <f>COUNTIF(A:A,bron[[#This Row],[personeelsnr]])</f>
        <v>2</v>
      </c>
    </row>
    <row r="788" spans="1:12" hidden="1" x14ac:dyDescent="0.25">
      <c r="A788" s="20">
        <v>40856</v>
      </c>
      <c r="B788" t="str">
        <f>VLOOKUP(bron[[#This Row],[personeelsnr]],[1]Blad1!$A:$H,2,FALSE)</f>
        <v>Neissi Sadegh</v>
      </c>
      <c r="C788" t="str">
        <f>VLOOKUP(bron[[#This Row],[personeelsnr]],[1]Blad1!$A:$H,3,FALSE)</f>
        <v>Neissi</v>
      </c>
      <c r="D788" t="str">
        <f>VLOOKUP(bron[[#This Row],[personeelsnr]],[1]Blad1!$A:$H,4,FALSE)</f>
        <v>Sadegh</v>
      </c>
      <c r="E788" s="2" t="str">
        <f>VLOOKUP(bron[[#This Row],[personeelsnr]],[1]Blad1!$A:$H,8,FALSE)</f>
        <v>De Rick Kenneth</v>
      </c>
      <c r="F788" s="6">
        <v>45850</v>
      </c>
      <c r="G788" s="5" t="s">
        <v>1080</v>
      </c>
      <c r="H788" t="s">
        <v>11</v>
      </c>
      <c r="I788" s="4">
        <v>5043</v>
      </c>
      <c r="J788" s="23" t="str">
        <f>VLOOKUP(bron[[#This Row],[voertuig]],Voertuigen!A:C,3,FALSE)</f>
        <v>Bus</v>
      </c>
      <c r="K788" s="23" t="str">
        <f>VLOOKUP(bron[[#This Row],[voertuig]],Voertuigen!A:C,2,FALSE)</f>
        <v>Gelede</v>
      </c>
      <c r="L788" s="23">
        <f>COUNTIF(A:A,bron[[#This Row],[personeelsnr]])</f>
        <v>5</v>
      </c>
    </row>
    <row r="789" spans="1:12" hidden="1" x14ac:dyDescent="0.25">
      <c r="A789" s="20">
        <v>36428</v>
      </c>
      <c r="B789" t="str">
        <f>VLOOKUP(bron[[#This Row],[personeelsnr]],[1]Blad1!$A:$H,2,FALSE)</f>
        <v>Abdi Shaiye Rashid</v>
      </c>
      <c r="C789" t="str">
        <f>VLOOKUP(bron[[#This Row],[personeelsnr]],[1]Blad1!$A:$H,3,FALSE)</f>
        <v>Abdi Shaiye</v>
      </c>
      <c r="D789" t="str">
        <f>VLOOKUP(bron[[#This Row],[personeelsnr]],[1]Blad1!$A:$H,4,FALSE)</f>
        <v>Rashid</v>
      </c>
      <c r="E789" s="2" t="str">
        <f>VLOOKUP(bron[[#This Row],[personeelsnr]],[1]Blad1!$A:$H,8,FALSE)</f>
        <v>Van De Velde Lucie</v>
      </c>
      <c r="F789" s="6">
        <v>45851</v>
      </c>
      <c r="G789" s="5" t="s">
        <v>1081</v>
      </c>
      <c r="H789" t="s">
        <v>188</v>
      </c>
      <c r="I789" s="4">
        <v>5763</v>
      </c>
      <c r="J789" s="23" t="str">
        <f>VLOOKUP(bron[[#This Row],[voertuig]],Voertuigen!A:C,3,FALSE)</f>
        <v>Bus</v>
      </c>
      <c r="K789" s="23" t="str">
        <f>VLOOKUP(bron[[#This Row],[voertuig]],Voertuigen!A:C,2,FALSE)</f>
        <v>Standaard</v>
      </c>
      <c r="L789" s="23">
        <f>COUNTIF(A:A,bron[[#This Row],[personeelsnr]])</f>
        <v>6</v>
      </c>
    </row>
    <row r="790" spans="1:12" hidden="1" x14ac:dyDescent="0.25">
      <c r="A790" s="20">
        <v>37936</v>
      </c>
      <c r="B790" t="str">
        <f>VLOOKUP(bron[[#This Row],[personeelsnr]],[1]Blad1!$A:$H,2,FALSE)</f>
        <v>Detaeye Alexander</v>
      </c>
      <c r="C790" t="str">
        <f>VLOOKUP(bron[[#This Row],[personeelsnr]],[1]Blad1!$A:$H,3,FALSE)</f>
        <v>Detaeye</v>
      </c>
      <c r="D790" t="str">
        <f>VLOOKUP(bron[[#This Row],[personeelsnr]],[1]Blad1!$A:$H,4,FALSE)</f>
        <v>Alexander</v>
      </c>
      <c r="E790" s="2" t="str">
        <f>VLOOKUP(bron[[#This Row],[personeelsnr]],[1]Blad1!$A:$H,8,FALSE)</f>
        <v>Storm Steven</v>
      </c>
      <c r="F790" s="6">
        <v>45851</v>
      </c>
      <c r="G790" s="5" t="s">
        <v>1082</v>
      </c>
      <c r="H790" t="s">
        <v>173</v>
      </c>
      <c r="I790" s="4">
        <v>5911</v>
      </c>
      <c r="J790" s="23" t="str">
        <f>VLOOKUP(bron[[#This Row],[voertuig]],Voertuigen!A:C,3,FALSE)</f>
        <v>Bus</v>
      </c>
      <c r="K790" s="23" t="str">
        <f>VLOOKUP(bron[[#This Row],[voertuig]],Voertuigen!A:C,2,FALSE)</f>
        <v>Standaard</v>
      </c>
      <c r="L790" s="23">
        <f>COUNTIF(A:A,bron[[#This Row],[personeelsnr]])</f>
        <v>2</v>
      </c>
    </row>
    <row r="791" spans="1:12" hidden="1" x14ac:dyDescent="0.25">
      <c r="A791" s="20">
        <v>36577</v>
      </c>
      <c r="B791" t="str">
        <f>VLOOKUP(bron[[#This Row],[personeelsnr]],[1]Blad1!$A:$H,2,FALSE)</f>
        <v>De Smet Martine</v>
      </c>
      <c r="C791" t="str">
        <f>VLOOKUP(bron[[#This Row],[personeelsnr]],[1]Blad1!$A:$H,3,FALSE)</f>
        <v>De Smet</v>
      </c>
      <c r="D791" t="str">
        <f>VLOOKUP(bron[[#This Row],[personeelsnr]],[1]Blad1!$A:$H,4,FALSE)</f>
        <v>Martine</v>
      </c>
      <c r="E791" s="2" t="str">
        <f>VLOOKUP(bron[[#This Row],[personeelsnr]],[1]Blad1!$A:$H,8,FALSE)</f>
        <v>Dewulf Els</v>
      </c>
      <c r="F791" s="6">
        <v>45852</v>
      </c>
      <c r="G791" s="5" t="s">
        <v>1083</v>
      </c>
      <c r="H791" t="s">
        <v>41</v>
      </c>
      <c r="I791" s="4">
        <v>6353</v>
      </c>
      <c r="J791" s="23" t="str">
        <f>VLOOKUP(bron[[#This Row],[voertuig]],Voertuigen!A:C,3,FALSE)</f>
        <v>Tram</v>
      </c>
      <c r="K791" s="23" t="str">
        <f>VLOOKUP(bron[[#This Row],[voertuig]],Voertuigen!A:C,2,FALSE)</f>
        <v>Flexity</v>
      </c>
      <c r="L791" s="23">
        <f>COUNTIF(A:A,bron[[#This Row],[personeelsnr]])</f>
        <v>1</v>
      </c>
    </row>
    <row r="792" spans="1:12" hidden="1" x14ac:dyDescent="0.25">
      <c r="A792" s="24">
        <v>39529</v>
      </c>
      <c r="B792" t="str">
        <f>VLOOKUP(bron[[#This Row],[personeelsnr]],[1]Blad1!$A:$H,2,FALSE)</f>
        <v>Desmet Patricia</v>
      </c>
      <c r="C792" t="str">
        <f>VLOOKUP(bron[[#This Row],[personeelsnr]],[1]Blad1!$A:$H,3,FALSE)</f>
        <v>Desmet</v>
      </c>
      <c r="D792" t="str">
        <f>VLOOKUP(bron[[#This Row],[personeelsnr]],[1]Blad1!$A:$H,4,FALSE)</f>
        <v>Patricia</v>
      </c>
      <c r="E792" s="2" t="str">
        <f>VLOOKUP(bron[[#This Row],[personeelsnr]],[1]Blad1!$A:$H,8,FALSE)</f>
        <v>Rotty Christoff</v>
      </c>
      <c r="F792" s="29">
        <v>45853</v>
      </c>
      <c r="G792" s="30" t="s">
        <v>1084</v>
      </c>
      <c r="H792" s="25" t="s">
        <v>135</v>
      </c>
      <c r="I792" s="27">
        <v>6375</v>
      </c>
      <c r="J792" s="28" t="str">
        <f>VLOOKUP(bron[[#This Row],[voertuig]],Voertuigen!A:C,3,FALSE)</f>
        <v>Tram</v>
      </c>
      <c r="K792" s="28" t="str">
        <f>VLOOKUP(bron[[#This Row],[voertuig]],Voertuigen!A:C,2,FALSE)</f>
        <v>Flexity</v>
      </c>
      <c r="L792" s="28">
        <f>COUNTIF(A:A,bron[[#This Row],[personeelsnr]])</f>
        <v>4</v>
      </c>
    </row>
    <row r="793" spans="1:12" hidden="1" x14ac:dyDescent="0.25">
      <c r="A793" s="20">
        <v>12684</v>
      </c>
      <c r="B793" t="str">
        <f>VLOOKUP(bron[[#This Row],[personeelsnr]],[1]Blad1!$A:$H,2,FALSE)</f>
        <v>Van Den Bossche Martine</v>
      </c>
      <c r="C793" t="str">
        <f>VLOOKUP(bron[[#This Row],[personeelsnr]],[1]Blad1!$A:$H,3,FALSE)</f>
        <v>Van Den Bossche</v>
      </c>
      <c r="D793" t="str">
        <f>VLOOKUP(bron[[#This Row],[personeelsnr]],[1]Blad1!$A:$H,4,FALSE)</f>
        <v>Martine</v>
      </c>
      <c r="E793" s="2" t="str">
        <f>VLOOKUP(bron[[#This Row],[personeelsnr]],[1]Blad1!$A:$H,8,FALSE)</f>
        <v>Vanhoe Els</v>
      </c>
      <c r="F793" s="6">
        <v>45853</v>
      </c>
      <c r="G793" s="5" t="s">
        <v>1085</v>
      </c>
      <c r="H793" t="s">
        <v>79</v>
      </c>
      <c r="I793" s="4">
        <v>5044</v>
      </c>
      <c r="J793" s="23" t="str">
        <f>VLOOKUP(bron[[#This Row],[voertuig]],Voertuigen!A:C,3,FALSE)</f>
        <v>Bus</v>
      </c>
      <c r="K793" s="23" t="str">
        <f>VLOOKUP(bron[[#This Row],[voertuig]],Voertuigen!A:C,2,FALSE)</f>
        <v>Gelede</v>
      </c>
      <c r="L793" s="23">
        <f>COUNTIF(A:A,bron[[#This Row],[personeelsnr]])</f>
        <v>3</v>
      </c>
    </row>
    <row r="794" spans="1:12" hidden="1" x14ac:dyDescent="0.25">
      <c r="A794" s="20">
        <v>19917</v>
      </c>
      <c r="B794" t="str">
        <f>VLOOKUP(bron[[#This Row],[personeelsnr]],[1]Blad1!$A:$H,2,FALSE)</f>
        <v>Vandevyvere Frank</v>
      </c>
      <c r="C794" t="str">
        <f>VLOOKUP(bron[[#This Row],[personeelsnr]],[1]Blad1!$A:$H,3,FALSE)</f>
        <v>Vandevyvere</v>
      </c>
      <c r="D794" t="str">
        <f>VLOOKUP(bron[[#This Row],[personeelsnr]],[1]Blad1!$A:$H,4,FALSE)</f>
        <v>Frank</v>
      </c>
      <c r="E794" s="2" t="str">
        <f>VLOOKUP(bron[[#This Row],[personeelsnr]],[1]Blad1!$A:$H,8,FALSE)</f>
        <v>Van Der Beken Bart</v>
      </c>
      <c r="F794" s="6">
        <v>45853</v>
      </c>
      <c r="G794" s="5" t="s">
        <v>1086</v>
      </c>
      <c r="H794" t="s">
        <v>16</v>
      </c>
      <c r="I794" s="4">
        <v>5231</v>
      </c>
      <c r="J794" s="23" t="str">
        <f>VLOOKUP(bron[[#This Row],[voertuig]],Voertuigen!A:C,3,FALSE)</f>
        <v>Bus</v>
      </c>
      <c r="K794" s="23" t="str">
        <f>VLOOKUP(bron[[#This Row],[voertuig]],Voertuigen!A:C,2,FALSE)</f>
        <v>Gelede</v>
      </c>
      <c r="L794" s="23">
        <f>COUNTIF(A:A,bron[[#This Row],[personeelsnr]])</f>
        <v>10</v>
      </c>
    </row>
    <row r="795" spans="1:12" hidden="1" x14ac:dyDescent="0.25">
      <c r="A795" s="20">
        <v>30271</v>
      </c>
      <c r="B795" t="str">
        <f>VLOOKUP(bron[[#This Row],[personeelsnr]],[1]Blad1!$A:$H,2,FALSE)</f>
        <v>Bracke Jeroen</v>
      </c>
      <c r="C795" t="str">
        <f>VLOOKUP(bron[[#This Row],[personeelsnr]],[1]Blad1!$A:$H,3,FALSE)</f>
        <v>Bracke</v>
      </c>
      <c r="D795" t="str">
        <f>VLOOKUP(bron[[#This Row],[personeelsnr]],[1]Blad1!$A:$H,4,FALSE)</f>
        <v>Jeroen</v>
      </c>
      <c r="E795" s="2" t="str">
        <f>VLOOKUP(bron[[#This Row],[personeelsnr]],[1]Blad1!$A:$H,8,FALSE)</f>
        <v>Dewulf Els</v>
      </c>
      <c r="F795" s="6">
        <v>45854</v>
      </c>
      <c r="G795" s="5" t="s">
        <v>1087</v>
      </c>
      <c r="H795" t="s">
        <v>8</v>
      </c>
      <c r="I795" s="4">
        <v>2207</v>
      </c>
      <c r="J795" s="23" t="str">
        <f>VLOOKUP(bron[[#This Row],[voertuig]],Voertuigen!A:C,3,FALSE)</f>
        <v>Bus</v>
      </c>
      <c r="K795" s="23" t="str">
        <f>VLOOKUP(bron[[#This Row],[voertuig]],Voertuigen!A:C,2,FALSE)</f>
        <v>Gelede</v>
      </c>
      <c r="L795" s="23">
        <f>COUNTIF(A:A,bron[[#This Row],[personeelsnr]])</f>
        <v>1</v>
      </c>
    </row>
    <row r="796" spans="1:12" hidden="1" x14ac:dyDescent="0.25">
      <c r="A796" s="20">
        <v>26331</v>
      </c>
      <c r="B796" t="str">
        <f>VLOOKUP(bron[[#This Row],[personeelsnr]],[1]Blad1!$A:$H,2,FALSE)</f>
        <v>Van Semmertier Pascal</v>
      </c>
      <c r="C796" t="str">
        <f>VLOOKUP(bron[[#This Row],[personeelsnr]],[1]Blad1!$A:$H,3,FALSE)</f>
        <v>Van Semmertier</v>
      </c>
      <c r="D796" t="str">
        <f>VLOOKUP(bron[[#This Row],[personeelsnr]],[1]Blad1!$A:$H,4,FALSE)</f>
        <v>Pascal</v>
      </c>
      <c r="E796" s="2" t="str">
        <f>VLOOKUP(bron[[#This Row],[personeelsnr]],[1]Blad1!$A:$H,8,FALSE)</f>
        <v>Van Der Beken Bart</v>
      </c>
      <c r="F796" s="6">
        <v>45857</v>
      </c>
      <c r="G796" s="5" t="s">
        <v>1088</v>
      </c>
      <c r="H796" t="s">
        <v>68</v>
      </c>
      <c r="I796" s="4">
        <v>5266</v>
      </c>
      <c r="J796" s="23" t="str">
        <f>VLOOKUP(bron[[#This Row],[voertuig]],Voertuigen!A:C,3,FALSE)</f>
        <v>Bus</v>
      </c>
      <c r="K796" s="23" t="str">
        <f>VLOOKUP(bron[[#This Row],[voertuig]],Voertuigen!A:C,2,FALSE)</f>
        <v>Gelede</v>
      </c>
      <c r="L796" s="23">
        <f>COUNTIF(A:A,bron[[#This Row],[personeelsnr]])</f>
        <v>3</v>
      </c>
    </row>
    <row r="797" spans="1:12" hidden="1" x14ac:dyDescent="0.25">
      <c r="A797" s="20">
        <v>41137</v>
      </c>
      <c r="B797" t="str">
        <f>VLOOKUP(bron[[#This Row],[personeelsnr]],[1]Blad1!$A:$H,2,FALSE)</f>
        <v>De smet Dirk</v>
      </c>
      <c r="C797" t="str">
        <f>VLOOKUP(bron[[#This Row],[personeelsnr]],[1]Blad1!$A:$H,3,FALSE)</f>
        <v>De smet</v>
      </c>
      <c r="D797" t="str">
        <f>VLOOKUP(bron[[#This Row],[personeelsnr]],[1]Blad1!$A:$H,4,FALSE)</f>
        <v>Dirk</v>
      </c>
      <c r="E797" s="2" t="str">
        <f>VLOOKUP(bron[[#This Row],[personeelsnr]],[1]Blad1!$A:$H,8,FALSE)</f>
        <v>De Clercq Dominique</v>
      </c>
      <c r="F797" s="6">
        <v>45859</v>
      </c>
      <c r="G797" s="12" t="s">
        <v>1089</v>
      </c>
      <c r="H797" t="s">
        <v>89</v>
      </c>
      <c r="I797" s="4">
        <v>5767</v>
      </c>
      <c r="J797" s="23" t="str">
        <f>VLOOKUP(bron[[#This Row],[voertuig]],Voertuigen!A:C,3,FALSE)</f>
        <v>Bus</v>
      </c>
      <c r="K797" s="23" t="str">
        <f>VLOOKUP(bron[[#This Row],[voertuig]],Voertuigen!A:C,2,FALSE)</f>
        <v>Standaard</v>
      </c>
      <c r="L797" s="23">
        <f>COUNTIF(A:A,bron[[#This Row],[personeelsnr]])</f>
        <v>1</v>
      </c>
    </row>
    <row r="798" spans="1:12" hidden="1" x14ac:dyDescent="0.25">
      <c r="A798" s="20">
        <v>35397</v>
      </c>
      <c r="B798" t="str">
        <f>VLOOKUP(bron[[#This Row],[personeelsnr]],[1]Blad1!$A:$H,2,FALSE)</f>
        <v>Minbari Ako</v>
      </c>
      <c r="C798" t="str">
        <f>VLOOKUP(bron[[#This Row],[personeelsnr]],[1]Blad1!$A:$H,3,FALSE)</f>
        <v>Minbari</v>
      </c>
      <c r="D798" t="str">
        <f>VLOOKUP(bron[[#This Row],[personeelsnr]],[1]Blad1!$A:$H,4,FALSE)</f>
        <v>Ako</v>
      </c>
      <c r="E798" s="2" t="str">
        <f>VLOOKUP(bron[[#This Row],[personeelsnr]],[1]Blad1!$A:$H,8,FALSE)</f>
        <v>Van De Velde Lucie</v>
      </c>
      <c r="F798" s="6">
        <v>45861</v>
      </c>
      <c r="G798" s="5" t="s">
        <v>1090</v>
      </c>
      <c r="H798" t="s">
        <v>36</v>
      </c>
      <c r="I798" s="4">
        <v>6323</v>
      </c>
      <c r="J798" s="23" t="str">
        <f>VLOOKUP(bron[[#This Row],[voertuig]],Voertuigen!A:C,3,FALSE)</f>
        <v>Tram</v>
      </c>
      <c r="K798" s="23" t="str">
        <f>VLOOKUP(bron[[#This Row],[voertuig]],Voertuigen!A:C,2,FALSE)</f>
        <v>Hermelijn</v>
      </c>
      <c r="L798" s="23">
        <f>COUNTIF(A:A,bron[[#This Row],[personeelsnr]])</f>
        <v>3</v>
      </c>
    </row>
    <row r="799" spans="1:12" hidden="1" x14ac:dyDescent="0.25">
      <c r="A799" s="20">
        <v>39581</v>
      </c>
      <c r="B799" t="str">
        <f>VLOOKUP(bron[[#This Row],[personeelsnr]],[1]Blad1!$A:$H,2,FALSE)</f>
        <v>Vandenhaute Linus</v>
      </c>
      <c r="C799" t="str">
        <f>VLOOKUP(bron[[#This Row],[personeelsnr]],[1]Blad1!$A:$H,3,FALSE)</f>
        <v>Vandenhaute</v>
      </c>
      <c r="D799" t="str">
        <f>VLOOKUP(bron[[#This Row],[personeelsnr]],[1]Blad1!$A:$H,4,FALSE)</f>
        <v>Linus</v>
      </c>
      <c r="E799" s="2" t="str">
        <f>VLOOKUP(bron[[#This Row],[personeelsnr]],[1]Blad1!$A:$H,8,FALSE)</f>
        <v>Dewulf Els</v>
      </c>
      <c r="F799" s="6">
        <v>45861</v>
      </c>
      <c r="G799" s="5" t="s">
        <v>1091</v>
      </c>
      <c r="H799" t="s">
        <v>22</v>
      </c>
      <c r="I799" s="4">
        <v>5260</v>
      </c>
      <c r="J799" s="23" t="str">
        <f>VLOOKUP(bron[[#This Row],[voertuig]],Voertuigen!A:C,3,FALSE)</f>
        <v>Bus</v>
      </c>
      <c r="K799" s="23" t="str">
        <f>VLOOKUP(bron[[#This Row],[voertuig]],Voertuigen!A:C,2,FALSE)</f>
        <v>Gelede</v>
      </c>
      <c r="L799" s="23">
        <f>COUNTIF(A:A,bron[[#This Row],[personeelsnr]])</f>
        <v>5</v>
      </c>
    </row>
    <row r="800" spans="1:12" hidden="1" x14ac:dyDescent="0.25">
      <c r="A800" s="20">
        <v>41162</v>
      </c>
      <c r="B800" t="str">
        <f>VLOOKUP(bron[[#This Row],[personeelsnr]],[1]Blad1!$A:$H,2,FALSE)</f>
        <v>Hoeckman Jeroen</v>
      </c>
      <c r="C800" t="str">
        <f>VLOOKUP(bron[[#This Row],[personeelsnr]],[1]Blad1!$A:$H,3,FALSE)</f>
        <v>Hoeckman</v>
      </c>
      <c r="D800" t="str">
        <f>VLOOKUP(bron[[#This Row],[personeelsnr]],[1]Blad1!$A:$H,4,FALSE)</f>
        <v>Jeroen</v>
      </c>
      <c r="E800" s="2" t="str">
        <f>VLOOKUP(bron[[#This Row],[personeelsnr]],[1]Blad1!$A:$H,8,FALSE)</f>
        <v>De Clercq Dominique</v>
      </c>
      <c r="F800" s="6">
        <v>45861</v>
      </c>
      <c r="G800" s="5" t="s">
        <v>1092</v>
      </c>
      <c r="H800" t="s">
        <v>1093</v>
      </c>
      <c r="I800" s="4">
        <v>5046</v>
      </c>
      <c r="J800" s="23" t="str">
        <f>VLOOKUP(bron[[#This Row],[voertuig]],Voertuigen!A:C,3,FALSE)</f>
        <v>Bus</v>
      </c>
      <c r="K800" s="23" t="str">
        <f>VLOOKUP(bron[[#This Row],[voertuig]],Voertuigen!A:C,2,FALSE)</f>
        <v>Gelede</v>
      </c>
      <c r="L800" s="23">
        <f>COUNTIF(A:A,bron[[#This Row],[personeelsnr]])</f>
        <v>5</v>
      </c>
    </row>
    <row r="801" spans="1:12" hidden="1" x14ac:dyDescent="0.25">
      <c r="A801" s="20">
        <v>11213</v>
      </c>
      <c r="B801" t="str">
        <f>VLOOKUP(bron[[#This Row],[personeelsnr]],[1]Blad1!$A:$H,2,FALSE)</f>
        <v>De Plus Gunter</v>
      </c>
      <c r="C801" t="str">
        <f>VLOOKUP(bron[[#This Row],[personeelsnr]],[1]Blad1!$A:$H,3,FALSE)</f>
        <v>De Plus</v>
      </c>
      <c r="D801" t="str">
        <f>VLOOKUP(bron[[#This Row],[personeelsnr]],[1]Blad1!$A:$H,4,FALSE)</f>
        <v>Gunter</v>
      </c>
      <c r="E801" s="2" t="str">
        <f>VLOOKUP(bron[[#This Row],[personeelsnr]],[1]Blad1!$A:$H,8,FALSE)</f>
        <v>Van Der Beken Bart</v>
      </c>
      <c r="F801" s="6">
        <v>45862</v>
      </c>
      <c r="G801" s="5" t="s">
        <v>1094</v>
      </c>
      <c r="H801" t="s">
        <v>191</v>
      </c>
      <c r="I801" s="4">
        <v>6331</v>
      </c>
      <c r="J801" s="23" t="str">
        <f>VLOOKUP(bron[[#This Row],[voertuig]],Voertuigen!A:C,3,FALSE)</f>
        <v>Tram</v>
      </c>
      <c r="K801" s="23" t="str">
        <f>VLOOKUP(bron[[#This Row],[voertuig]],Voertuigen!A:C,2,FALSE)</f>
        <v>Hermelijn</v>
      </c>
      <c r="L801" s="23">
        <f>COUNTIF(A:A,bron[[#This Row],[personeelsnr]])</f>
        <v>1</v>
      </c>
    </row>
    <row r="802" spans="1:12" hidden="1" x14ac:dyDescent="0.25">
      <c r="A802" s="20">
        <v>23918</v>
      </c>
      <c r="B802" t="str">
        <f>VLOOKUP(bron[[#This Row],[personeelsnr]],[1]Blad1!$A:$H,2,FALSE)</f>
        <v>D'Haeyere Bernard</v>
      </c>
      <c r="C802" t="str">
        <f>VLOOKUP(bron[[#This Row],[personeelsnr]],[1]Blad1!$A:$H,3,FALSE)</f>
        <v>D'Haeyere</v>
      </c>
      <c r="D802" t="str">
        <f>VLOOKUP(bron[[#This Row],[personeelsnr]],[1]Blad1!$A:$H,4,FALSE)</f>
        <v>Bernard</v>
      </c>
      <c r="E802" s="2" t="str">
        <f>VLOOKUP(bron[[#This Row],[personeelsnr]],[1]Blad1!$A:$H,8,FALSE)</f>
        <v>Vanhoe Els</v>
      </c>
      <c r="F802" s="6">
        <v>45862</v>
      </c>
      <c r="G802" s="5" t="s">
        <v>1095</v>
      </c>
      <c r="H802" t="s">
        <v>9</v>
      </c>
      <c r="I802" s="4">
        <v>5933</v>
      </c>
      <c r="J802" s="23" t="str">
        <f>VLOOKUP(bron[[#This Row],[voertuig]],Voertuigen!A:C,3,FALSE)</f>
        <v>Bus</v>
      </c>
      <c r="K802" s="23" t="str">
        <f>VLOOKUP(bron[[#This Row],[voertuig]],Voertuigen!A:C,2,FALSE)</f>
        <v>Standaard</v>
      </c>
      <c r="L802" s="23">
        <f>COUNTIF(A:A,bron[[#This Row],[personeelsnr]])</f>
        <v>3</v>
      </c>
    </row>
    <row r="803" spans="1:12" hidden="1" x14ac:dyDescent="0.25">
      <c r="A803" s="20">
        <v>42002</v>
      </c>
      <c r="B803" t="str">
        <f>VLOOKUP(bron[[#This Row],[personeelsnr]],[1]Blad1!$A:$H,2,FALSE)</f>
        <v>Bogaert Kevin</v>
      </c>
      <c r="C803" t="str">
        <f>VLOOKUP(bron[[#This Row],[personeelsnr]],[1]Blad1!$A:$H,3,FALSE)</f>
        <v>Bogaert</v>
      </c>
      <c r="D803" t="str">
        <f>VLOOKUP(bron[[#This Row],[personeelsnr]],[1]Blad1!$A:$H,4,FALSE)</f>
        <v>Kevin</v>
      </c>
      <c r="E803" s="2" t="str">
        <f>VLOOKUP(bron[[#This Row],[personeelsnr]],[1]Blad1!$A:$H,8,FALSE)</f>
        <v>Vanhoe Els</v>
      </c>
      <c r="F803" s="6">
        <v>45862</v>
      </c>
      <c r="G803" s="5" t="s">
        <v>1096</v>
      </c>
      <c r="H803" t="s">
        <v>9</v>
      </c>
      <c r="I803" s="4">
        <v>5924</v>
      </c>
      <c r="J803" s="23" t="str">
        <f>VLOOKUP(bron[[#This Row],[voertuig]],Voertuigen!A:C,3,FALSE)</f>
        <v>Bus</v>
      </c>
      <c r="K803" s="23" t="str">
        <f>VLOOKUP(bron[[#This Row],[voertuig]],Voertuigen!A:C,2,FALSE)</f>
        <v>Standaard</v>
      </c>
      <c r="L803" s="23">
        <f>COUNTIF(A:A,bron[[#This Row],[personeelsnr]])</f>
        <v>3</v>
      </c>
    </row>
    <row r="804" spans="1:12" hidden="1" x14ac:dyDescent="0.25">
      <c r="A804" s="24">
        <v>18051</v>
      </c>
      <c r="B804" t="str">
        <f>VLOOKUP(bron[[#This Row],[personeelsnr]],[1]Blad1!$A:$H,2,FALSE)</f>
        <v>Van Wittenberge Filip</v>
      </c>
      <c r="C804" t="str">
        <f>VLOOKUP(bron[[#This Row],[personeelsnr]],[1]Blad1!$A:$H,3,FALSE)</f>
        <v>Van Wittenberge</v>
      </c>
      <c r="D804" t="str">
        <f>VLOOKUP(bron[[#This Row],[personeelsnr]],[1]Blad1!$A:$H,4,FALSE)</f>
        <v>Filip</v>
      </c>
      <c r="E804" s="2" t="str">
        <f>VLOOKUP(bron[[#This Row],[personeelsnr]],[1]Blad1!$A:$H,8,FALSE)</f>
        <v>Rotty Christoff</v>
      </c>
      <c r="F804" s="29">
        <v>45863</v>
      </c>
      <c r="G804" s="30" t="s">
        <v>1097</v>
      </c>
      <c r="H804" s="25" t="s">
        <v>51</v>
      </c>
      <c r="I804" s="27">
        <v>6359</v>
      </c>
      <c r="J804" s="28" t="str">
        <f>VLOOKUP(bron[[#This Row],[voertuig]],Voertuigen!A:C,3,FALSE)</f>
        <v>Tram</v>
      </c>
      <c r="K804" s="28" t="str">
        <f>VLOOKUP(bron[[#This Row],[voertuig]],Voertuigen!A:C,2,FALSE)</f>
        <v>Flexity</v>
      </c>
      <c r="L804" s="28">
        <f>COUNTIF(A:A,bron[[#This Row],[personeelsnr]])</f>
        <v>3</v>
      </c>
    </row>
    <row r="805" spans="1:12" hidden="1" x14ac:dyDescent="0.25">
      <c r="A805" s="20">
        <v>12819</v>
      </c>
      <c r="B805" t="str">
        <f>VLOOKUP(bron[[#This Row],[personeelsnr]],[1]Blad1!$A:$H,2,FALSE)</f>
        <v>Van Eenaeme David</v>
      </c>
      <c r="C805" t="str">
        <f>VLOOKUP(bron[[#This Row],[personeelsnr]],[1]Blad1!$A:$H,3,FALSE)</f>
        <v>Van Eenaeme</v>
      </c>
      <c r="D805" t="str">
        <f>VLOOKUP(bron[[#This Row],[personeelsnr]],[1]Blad1!$A:$H,4,FALSE)</f>
        <v>David</v>
      </c>
      <c r="E805" s="2" t="str">
        <f>VLOOKUP(bron[[#This Row],[personeelsnr]],[1]Blad1!$A:$H,8,FALSE)</f>
        <v>Van Der Beken Bart</v>
      </c>
      <c r="F805" s="6">
        <v>45863</v>
      </c>
      <c r="G805" s="5" t="s">
        <v>1098</v>
      </c>
      <c r="H805" t="s">
        <v>153</v>
      </c>
      <c r="I805" s="4">
        <v>5041</v>
      </c>
      <c r="J805" s="23" t="str">
        <f>VLOOKUP(bron[[#This Row],[voertuig]],Voertuigen!A:C,3,FALSE)</f>
        <v>Bus</v>
      </c>
      <c r="K805" s="23" t="str">
        <f>VLOOKUP(bron[[#This Row],[voertuig]],Voertuigen!A:C,2,FALSE)</f>
        <v>Gelede</v>
      </c>
      <c r="L805" s="23">
        <f>COUNTIF(A:A,bron[[#This Row],[personeelsnr]])</f>
        <v>1</v>
      </c>
    </row>
    <row r="806" spans="1:12" hidden="1" x14ac:dyDescent="0.25">
      <c r="A806" s="24">
        <v>41384</v>
      </c>
      <c r="B806" t="str">
        <f>VLOOKUP(bron[[#This Row],[personeelsnr]],[1]Blad1!$A:$H,2,FALSE)</f>
        <v>Hillaert Thimo</v>
      </c>
      <c r="C806" t="str">
        <f>VLOOKUP(bron[[#This Row],[personeelsnr]],[1]Blad1!$A:$H,3,FALSE)</f>
        <v>Hillaert</v>
      </c>
      <c r="D806" t="str">
        <f>VLOOKUP(bron[[#This Row],[personeelsnr]],[1]Blad1!$A:$H,4,FALSE)</f>
        <v>Thimo</v>
      </c>
      <c r="E806" s="2" t="str">
        <f>VLOOKUP(bron[[#This Row],[personeelsnr]],[1]Blad1!$A:$H,8,FALSE)</f>
        <v>Rotty Christoff</v>
      </c>
      <c r="F806" s="29">
        <v>45864</v>
      </c>
      <c r="G806" s="30" t="s">
        <v>1099</v>
      </c>
      <c r="H806" s="25" t="s">
        <v>35</v>
      </c>
      <c r="I806" s="27">
        <v>5767</v>
      </c>
      <c r="J806" s="28" t="str">
        <f>VLOOKUP(bron[[#This Row],[voertuig]],Voertuigen!A:C,3,FALSE)</f>
        <v>Bus</v>
      </c>
      <c r="K806" s="28" t="str">
        <f>VLOOKUP(bron[[#This Row],[voertuig]],Voertuigen!A:C,2,FALSE)</f>
        <v>Standaard</v>
      </c>
      <c r="L806" s="28">
        <f>COUNTIF(A:A,bron[[#This Row],[personeelsnr]])</f>
        <v>4</v>
      </c>
    </row>
    <row r="807" spans="1:12" hidden="1" x14ac:dyDescent="0.25">
      <c r="A807" s="20">
        <v>37258</v>
      </c>
      <c r="B807" t="e">
        <f>VLOOKUP(bron[[#This Row],[personeelsnr]],[1]Blad1!$A:$H,2,FALSE)</f>
        <v>#N/A</v>
      </c>
      <c r="C807" t="e">
        <f>VLOOKUP(bron[[#This Row],[personeelsnr]],[1]Blad1!$A:$H,3,FALSE)</f>
        <v>#N/A</v>
      </c>
      <c r="D807" t="e">
        <f>VLOOKUP(bron[[#This Row],[personeelsnr]],[1]Blad1!$A:$H,4,FALSE)</f>
        <v>#N/A</v>
      </c>
      <c r="E807" s="2" t="s">
        <v>221</v>
      </c>
      <c r="F807" s="6">
        <v>45866</v>
      </c>
      <c r="G807" s="5" t="s">
        <v>1100</v>
      </c>
      <c r="H807" t="s">
        <v>11</v>
      </c>
      <c r="I807" s="4">
        <v>2195</v>
      </c>
      <c r="J807" s="23" t="str">
        <f>VLOOKUP(bron[[#This Row],[voertuig]],Voertuigen!A:C,3,FALSE)</f>
        <v>Bus</v>
      </c>
      <c r="K807" s="23" t="str">
        <f>VLOOKUP(bron[[#This Row],[voertuig]],Voertuigen!A:C,2,FALSE)</f>
        <v>Gelede</v>
      </c>
      <c r="L807" s="23">
        <f>COUNTIF(A:A,bron[[#This Row],[personeelsnr]])</f>
        <v>1</v>
      </c>
    </row>
    <row r="808" spans="1:12" hidden="1" x14ac:dyDescent="0.25">
      <c r="A808" s="20">
        <v>39673</v>
      </c>
      <c r="B808" t="str">
        <f>VLOOKUP(bron[[#This Row],[personeelsnr]],[1]Blad1!$A:$H,2,FALSE)</f>
        <v>Steurbaut Henri</v>
      </c>
      <c r="C808" t="str">
        <f>VLOOKUP(bron[[#This Row],[personeelsnr]],[1]Blad1!$A:$H,3,FALSE)</f>
        <v>Steurbaut</v>
      </c>
      <c r="D808" t="str">
        <f>VLOOKUP(bron[[#This Row],[personeelsnr]],[1]Blad1!$A:$H,4,FALSE)</f>
        <v>Henri</v>
      </c>
      <c r="E808" s="2" t="str">
        <f>VLOOKUP(bron[[#This Row],[personeelsnr]],[1]Blad1!$A:$H,8,FALSE)</f>
        <v>Vanhoe Els</v>
      </c>
      <c r="F808" s="6">
        <v>45866</v>
      </c>
      <c r="G808" s="5" t="s">
        <v>1101</v>
      </c>
      <c r="H808" t="s">
        <v>182</v>
      </c>
      <c r="I808" s="4">
        <v>2192</v>
      </c>
      <c r="J808" s="23" t="str">
        <f>VLOOKUP(bron[[#This Row],[voertuig]],Voertuigen!A:C,3,FALSE)</f>
        <v>Bus</v>
      </c>
      <c r="K808" s="23" t="str">
        <f>VLOOKUP(bron[[#This Row],[voertuig]],Voertuigen!A:C,2,FALSE)</f>
        <v>Gelede</v>
      </c>
      <c r="L808" s="23">
        <f>COUNTIF(A:A,bron[[#This Row],[personeelsnr]])</f>
        <v>5</v>
      </c>
    </row>
    <row r="809" spans="1:12" hidden="1" x14ac:dyDescent="0.25">
      <c r="A809" s="20">
        <v>20653</v>
      </c>
      <c r="B809" t="str">
        <f>VLOOKUP(bron[[#This Row],[personeelsnr]],[1]Blad1!$A:$H,2,FALSE)</f>
        <v>Mestdag Marius</v>
      </c>
      <c r="C809" t="str">
        <f>VLOOKUP(bron[[#This Row],[personeelsnr]],[1]Blad1!$A:$H,3,FALSE)</f>
        <v>Mestdag</v>
      </c>
      <c r="D809" t="str">
        <f>VLOOKUP(bron[[#This Row],[personeelsnr]],[1]Blad1!$A:$H,4,FALSE)</f>
        <v>Marius</v>
      </c>
      <c r="E809" s="2" t="str">
        <f>VLOOKUP(bron[[#This Row],[personeelsnr]],[1]Blad1!$A:$H,8,FALSE)</f>
        <v>Van Der Beken Bart</v>
      </c>
      <c r="F809" s="6">
        <v>45867</v>
      </c>
      <c r="G809" s="5" t="s">
        <v>1102</v>
      </c>
      <c r="H809" t="s">
        <v>53</v>
      </c>
      <c r="I809" s="4">
        <v>6325</v>
      </c>
      <c r="J809" s="23" t="str">
        <f>VLOOKUP(bron[[#This Row],[voertuig]],Voertuigen!A:C,3,FALSE)</f>
        <v>Tram</v>
      </c>
      <c r="K809" s="23" t="str">
        <f>VLOOKUP(bron[[#This Row],[voertuig]],Voertuigen!A:C,2,FALSE)</f>
        <v>Hermelijn</v>
      </c>
      <c r="L809" s="23">
        <f>COUNTIF(A:A,bron[[#This Row],[personeelsnr]])</f>
        <v>3</v>
      </c>
    </row>
    <row r="810" spans="1:12" hidden="1" x14ac:dyDescent="0.25">
      <c r="A810" s="20">
        <v>41007</v>
      </c>
      <c r="B810" t="e">
        <f>VLOOKUP(bron[[#This Row],[personeelsnr]],[1]Blad1!$A:$H,2,FALSE)</f>
        <v>#N/A</v>
      </c>
      <c r="C810" t="e">
        <f>VLOOKUP(bron[[#This Row],[personeelsnr]],[1]Blad1!$A:$H,3,FALSE)</f>
        <v>#N/A</v>
      </c>
      <c r="D810" t="e">
        <f>VLOOKUP(bron[[#This Row],[personeelsnr]],[1]Blad1!$A:$H,4,FALSE)</f>
        <v>#N/A</v>
      </c>
      <c r="E810" s="2" t="s">
        <v>221</v>
      </c>
      <c r="F810" s="6">
        <v>45867</v>
      </c>
      <c r="G810" s="12" t="s">
        <v>1105</v>
      </c>
      <c r="H810" t="s">
        <v>9</v>
      </c>
      <c r="I810" s="4">
        <v>5923</v>
      </c>
      <c r="J810" s="23" t="str">
        <f>VLOOKUP(bron[[#This Row],[voertuig]],Voertuigen!A:C,3,FALSE)</f>
        <v>Bus</v>
      </c>
      <c r="K810" s="23" t="str">
        <f>VLOOKUP(bron[[#This Row],[voertuig]],Voertuigen!A:C,2,FALSE)</f>
        <v>Standaard</v>
      </c>
      <c r="L810" s="23">
        <f>COUNTIF(A:A,bron[[#This Row],[personeelsnr]])</f>
        <v>1</v>
      </c>
    </row>
    <row r="811" spans="1:12" hidden="1" x14ac:dyDescent="0.25">
      <c r="A811" s="24">
        <v>41296</v>
      </c>
      <c r="B811" t="str">
        <f>VLOOKUP(bron[[#This Row],[personeelsnr]],[1]Blad1!$A:$H,2,FALSE)</f>
        <v>Abulehia Oday</v>
      </c>
      <c r="C811" t="str">
        <f>VLOOKUP(bron[[#This Row],[personeelsnr]],[1]Blad1!$A:$H,3,FALSE)</f>
        <v>Abulehia</v>
      </c>
      <c r="D811" t="str">
        <f>VLOOKUP(bron[[#This Row],[personeelsnr]],[1]Blad1!$A:$H,4,FALSE)</f>
        <v>Oday</v>
      </c>
      <c r="E811" s="2" t="str">
        <f>VLOOKUP(bron[[#This Row],[personeelsnr]],[1]Blad1!$A:$H,8,FALSE)</f>
        <v>Rotty Christoff</v>
      </c>
      <c r="F811" s="29">
        <v>45867</v>
      </c>
      <c r="G811" s="32" t="s">
        <v>1106</v>
      </c>
      <c r="H811" s="25" t="s">
        <v>175</v>
      </c>
      <c r="I811" s="27">
        <v>5271</v>
      </c>
      <c r="J811" s="28" t="str">
        <f>VLOOKUP(bron[[#This Row],[voertuig]],Voertuigen!A:C,3,FALSE)</f>
        <v>Bus</v>
      </c>
      <c r="K811" s="28" t="str">
        <f>VLOOKUP(bron[[#This Row],[voertuig]],Voertuigen!A:C,2,FALSE)</f>
        <v>Gelede</v>
      </c>
      <c r="L811" s="28">
        <f>COUNTIF(A:A,bron[[#This Row],[personeelsnr]])</f>
        <v>2</v>
      </c>
    </row>
    <row r="812" spans="1:12" hidden="1" x14ac:dyDescent="0.25">
      <c r="A812" s="20">
        <v>10782</v>
      </c>
      <c r="B812" t="str">
        <f>VLOOKUP(bron[[#This Row],[personeelsnr]],[1]Blad1!$A:$H,2,FALSE)</f>
        <v>De Kee Ina</v>
      </c>
      <c r="C812" t="str">
        <f>VLOOKUP(bron[[#This Row],[personeelsnr]],[1]Blad1!$A:$H,3,FALSE)</f>
        <v>De Kee</v>
      </c>
      <c r="D812" t="str">
        <f>VLOOKUP(bron[[#This Row],[personeelsnr]],[1]Blad1!$A:$H,4,FALSE)</f>
        <v>Ina</v>
      </c>
      <c r="E812" s="2" t="str">
        <f>VLOOKUP(bron[[#This Row],[personeelsnr]],[1]Blad1!$A:$H,8,FALSE)</f>
        <v>De Rick Kenneth</v>
      </c>
      <c r="F812" s="6">
        <v>45868</v>
      </c>
      <c r="G812" s="5" t="s">
        <v>1107</v>
      </c>
      <c r="H812" t="s">
        <v>96</v>
      </c>
      <c r="I812" s="4">
        <v>6337</v>
      </c>
      <c r="J812" s="23" t="str">
        <f>VLOOKUP(bron[[#This Row],[voertuig]],Voertuigen!A:C,3,FALSE)</f>
        <v>Tram</v>
      </c>
      <c r="K812" s="23" t="str">
        <f>VLOOKUP(bron[[#This Row],[voertuig]],Voertuigen!A:C,2,FALSE)</f>
        <v>Hermelijn</v>
      </c>
      <c r="L812" s="23">
        <f>COUNTIF(A:A,bron[[#This Row],[personeelsnr]])</f>
        <v>1</v>
      </c>
    </row>
    <row r="813" spans="1:12" hidden="1" x14ac:dyDescent="0.25">
      <c r="A813" s="20">
        <v>34890</v>
      </c>
      <c r="B813" t="e">
        <f>VLOOKUP(bron[[#This Row],[personeelsnr]],[1]Blad1!$A:$H,2,FALSE)</f>
        <v>#N/A</v>
      </c>
      <c r="C813" t="e">
        <f>VLOOKUP(bron[[#This Row],[personeelsnr]],[1]Blad1!$A:$H,3,FALSE)</f>
        <v>#N/A</v>
      </c>
      <c r="D813" t="e">
        <f>VLOOKUP(bron[[#This Row],[personeelsnr]],[1]Blad1!$A:$H,4,FALSE)</f>
        <v>#N/A</v>
      </c>
      <c r="E813" s="2" t="s">
        <v>221</v>
      </c>
      <c r="F813" s="6">
        <v>45869</v>
      </c>
      <c r="G813" s="4" t="s">
        <v>1108</v>
      </c>
      <c r="H813" t="s">
        <v>341</v>
      </c>
      <c r="I813" s="4">
        <v>5042</v>
      </c>
      <c r="J813" s="23" t="str">
        <f>VLOOKUP(bron[[#This Row],[voertuig]],Voertuigen!A:C,3,FALSE)</f>
        <v>Bus</v>
      </c>
      <c r="K813" s="23" t="str">
        <f>VLOOKUP(bron[[#This Row],[voertuig]],Voertuigen!A:C,2,FALSE)</f>
        <v>Gelede</v>
      </c>
      <c r="L813" s="23">
        <f>COUNTIF(A:A,bron[[#This Row],[personeelsnr]])</f>
        <v>1</v>
      </c>
    </row>
    <row r="814" spans="1:12" hidden="1" x14ac:dyDescent="0.25">
      <c r="A814" s="20">
        <v>40138</v>
      </c>
      <c r="B814" t="str">
        <f>VLOOKUP(bron[[#This Row],[personeelsnr]],[1]Blad1!$A:$H,2,FALSE)</f>
        <v>Moerman Tjimmy</v>
      </c>
      <c r="C814" t="str">
        <f>VLOOKUP(bron[[#This Row],[personeelsnr]],[1]Blad1!$A:$H,3,FALSE)</f>
        <v>Moerman</v>
      </c>
      <c r="D814" t="str">
        <f>VLOOKUP(bron[[#This Row],[personeelsnr]],[1]Blad1!$A:$H,4,FALSE)</f>
        <v>Tjimmy</v>
      </c>
      <c r="E814" s="2" t="str">
        <f>VLOOKUP(bron[[#This Row],[personeelsnr]],[1]Blad1!$A:$H,8,FALSE)</f>
        <v>Rotty Christoff</v>
      </c>
      <c r="F814" s="6">
        <v>45871</v>
      </c>
      <c r="G814" s="5" t="s">
        <v>1109</v>
      </c>
      <c r="H814" t="s">
        <v>12</v>
      </c>
      <c r="I814" s="4">
        <v>5915</v>
      </c>
      <c r="J814" s="23" t="str">
        <f>VLOOKUP(bron[[#This Row],[voertuig]],Voertuigen!A:C,3,FALSE)</f>
        <v>Bus</v>
      </c>
      <c r="K814" s="23" t="str">
        <f>VLOOKUP(bron[[#This Row],[voertuig]],Voertuigen!A:C,2,FALSE)</f>
        <v>Standaard</v>
      </c>
      <c r="L814" s="23">
        <f>COUNTIF(A:A,bron[[#This Row],[personeelsnr]])</f>
        <v>10</v>
      </c>
    </row>
    <row r="815" spans="1:12" hidden="1" x14ac:dyDescent="0.25">
      <c r="A815" s="20">
        <v>40859</v>
      </c>
      <c r="B815" t="str">
        <f>VLOOKUP(bron[[#This Row],[personeelsnr]],[1]Blad1!$A:$H,2,FALSE)</f>
        <v>Yagoub Abdelali</v>
      </c>
      <c r="C815" t="str">
        <f>VLOOKUP(bron[[#This Row],[personeelsnr]],[1]Blad1!$A:$H,3,FALSE)</f>
        <v>Yagoub</v>
      </c>
      <c r="D815" t="str">
        <f>VLOOKUP(bron[[#This Row],[personeelsnr]],[1]Blad1!$A:$H,4,FALSE)</f>
        <v>Abdelali</v>
      </c>
      <c r="E815" s="2" t="str">
        <f>VLOOKUP(bron[[#This Row],[personeelsnr]],[1]Blad1!$A:$H,8,FALSE)</f>
        <v>Vanhoe Els</v>
      </c>
      <c r="F815" s="6">
        <v>45872</v>
      </c>
      <c r="G815" s="5" t="s">
        <v>1110</v>
      </c>
      <c r="H815" t="s">
        <v>94</v>
      </c>
      <c r="I815" s="4">
        <v>2190</v>
      </c>
      <c r="J815" s="23" t="str">
        <f>VLOOKUP(bron[[#This Row],[voertuig]],Voertuigen!A:C,3,FALSE)</f>
        <v>Bus</v>
      </c>
      <c r="K815" s="23" t="str">
        <f>VLOOKUP(bron[[#This Row],[voertuig]],Voertuigen!A:C,2,FALSE)</f>
        <v>Gelede</v>
      </c>
      <c r="L815" s="23">
        <f>COUNTIF(A:A,bron[[#This Row],[personeelsnr]])</f>
        <v>4</v>
      </c>
    </row>
    <row r="816" spans="1:12" hidden="1" x14ac:dyDescent="0.25">
      <c r="A816" s="20">
        <v>36021</v>
      </c>
      <c r="B816" t="str">
        <f>VLOOKUP(bron[[#This Row],[personeelsnr]],[1]Blad1!$A:$H,2,FALSE)</f>
        <v>Boelaert Frederik</v>
      </c>
      <c r="C816" t="str">
        <f>VLOOKUP(bron[[#This Row],[personeelsnr]],[1]Blad1!$A:$H,3,FALSE)</f>
        <v>Boelaert</v>
      </c>
      <c r="D816" t="str">
        <f>VLOOKUP(bron[[#This Row],[personeelsnr]],[1]Blad1!$A:$H,4,FALSE)</f>
        <v>Frederik</v>
      </c>
      <c r="E816" s="2" t="str">
        <f>VLOOKUP(bron[[#This Row],[personeelsnr]],[1]Blad1!$A:$H,8,FALSE)</f>
        <v>Van De Velde Lucie</v>
      </c>
      <c r="F816" s="6">
        <v>45874</v>
      </c>
      <c r="G816" s="12" t="s">
        <v>1111</v>
      </c>
      <c r="H816" t="s">
        <v>21</v>
      </c>
      <c r="I816" s="4">
        <v>5042</v>
      </c>
      <c r="J816" s="23" t="str">
        <f>VLOOKUP(bron[[#This Row],[voertuig]],Voertuigen!A:C,3,FALSE)</f>
        <v>Bus</v>
      </c>
      <c r="K816" s="23" t="str">
        <f>VLOOKUP(bron[[#This Row],[voertuig]],Voertuigen!A:C,2,FALSE)</f>
        <v>Gelede</v>
      </c>
      <c r="L816" s="23">
        <f>COUNTIF(A:A,bron[[#This Row],[personeelsnr]])</f>
        <v>2</v>
      </c>
    </row>
    <row r="817" spans="1:12" hidden="1" x14ac:dyDescent="0.25">
      <c r="A817" s="20">
        <v>41162</v>
      </c>
      <c r="B817" t="str">
        <f>VLOOKUP(bron[[#This Row],[personeelsnr]],[1]Blad1!$A:$H,2,FALSE)</f>
        <v>Hoeckman Jeroen</v>
      </c>
      <c r="C817" t="str">
        <f>VLOOKUP(bron[[#This Row],[personeelsnr]],[1]Blad1!$A:$H,3,FALSE)</f>
        <v>Hoeckman</v>
      </c>
      <c r="D817" t="str">
        <f>VLOOKUP(bron[[#This Row],[personeelsnr]],[1]Blad1!$A:$H,4,FALSE)</f>
        <v>Jeroen</v>
      </c>
      <c r="E817" s="2" t="str">
        <f>VLOOKUP(bron[[#This Row],[personeelsnr]],[1]Blad1!$A:$H,8,FALSE)</f>
        <v>De Clercq Dominique</v>
      </c>
      <c r="F817" s="6">
        <v>45874</v>
      </c>
      <c r="G817" s="12" t="s">
        <v>1112</v>
      </c>
      <c r="H817" t="s">
        <v>11</v>
      </c>
      <c r="I817" s="4">
        <v>2200</v>
      </c>
      <c r="J817" s="23" t="str">
        <f>VLOOKUP(bron[[#This Row],[voertuig]],Voertuigen!A:C,3,FALSE)</f>
        <v>Bus</v>
      </c>
      <c r="K817" s="23" t="str">
        <f>VLOOKUP(bron[[#This Row],[voertuig]],Voertuigen!A:C,2,FALSE)</f>
        <v>Gelede</v>
      </c>
      <c r="L817" s="23">
        <f>COUNTIF(A:A,bron[[#This Row],[personeelsnr]])</f>
        <v>5</v>
      </c>
    </row>
    <row r="818" spans="1:12" hidden="1" x14ac:dyDescent="0.25">
      <c r="A818" s="20">
        <v>37345</v>
      </c>
      <c r="B818" t="str">
        <f>VLOOKUP(bron[[#This Row],[personeelsnr]],[1]Blad1!$A:$H,2,FALSE)</f>
        <v>Walleyn Renaat</v>
      </c>
      <c r="C818" t="str">
        <f>VLOOKUP(bron[[#This Row],[personeelsnr]],[1]Blad1!$A:$H,3,FALSE)</f>
        <v>Walleyn</v>
      </c>
      <c r="D818" t="str">
        <f>VLOOKUP(bron[[#This Row],[personeelsnr]],[1]Blad1!$A:$H,4,FALSE)</f>
        <v>Renaat</v>
      </c>
      <c r="E818" s="2" t="str">
        <f>VLOOKUP(bron[[#This Row],[personeelsnr]],[1]Blad1!$A:$H,8,FALSE)</f>
        <v>Van De Velde Lucie</v>
      </c>
      <c r="F818" s="6">
        <v>45874</v>
      </c>
      <c r="G818" s="12" t="s">
        <v>1113</v>
      </c>
      <c r="H818" t="s">
        <v>8</v>
      </c>
      <c r="I818" s="4">
        <v>6372</v>
      </c>
      <c r="J818" s="23" t="str">
        <f>VLOOKUP(bron[[#This Row],[voertuig]],Voertuigen!A:C,3,FALSE)</f>
        <v>Tram</v>
      </c>
      <c r="K818" s="23" t="str">
        <f>VLOOKUP(bron[[#This Row],[voertuig]],Voertuigen!A:C,2,FALSE)</f>
        <v>Flexity</v>
      </c>
      <c r="L818" s="23">
        <f>COUNTIF(A:A,bron[[#This Row],[personeelsnr]])</f>
        <v>3</v>
      </c>
    </row>
    <row r="819" spans="1:12" hidden="1" x14ac:dyDescent="0.25">
      <c r="A819" s="20">
        <v>37254</v>
      </c>
      <c r="B819" t="str">
        <f>VLOOKUP(bron[[#This Row],[personeelsnr]],[1]Blad1!$A:$H,2,FALSE)</f>
        <v>Coulon Rayan</v>
      </c>
      <c r="C819" t="str">
        <f>VLOOKUP(bron[[#This Row],[personeelsnr]],[1]Blad1!$A:$H,3,FALSE)</f>
        <v>Coulon</v>
      </c>
      <c r="D819" t="str">
        <f>VLOOKUP(bron[[#This Row],[personeelsnr]],[1]Blad1!$A:$H,4,FALSE)</f>
        <v>Rayan</v>
      </c>
      <c r="E819" s="2" t="str">
        <f>VLOOKUP(bron[[#This Row],[personeelsnr]],[1]Blad1!$A:$H,8,FALSE)</f>
        <v>De Rick Kenneth</v>
      </c>
      <c r="F819" s="6">
        <v>45876</v>
      </c>
      <c r="G819" s="12" t="s">
        <v>1114</v>
      </c>
      <c r="H819" t="s">
        <v>14</v>
      </c>
      <c r="I819" s="4">
        <v>5053</v>
      </c>
      <c r="J819" s="23" t="str">
        <f>VLOOKUP(bron[[#This Row],[voertuig]],Voertuigen!A:C,3,FALSE)</f>
        <v>Bus</v>
      </c>
      <c r="K819" s="23" t="str">
        <f>VLOOKUP(bron[[#This Row],[voertuig]],Voertuigen!A:C,2,FALSE)</f>
        <v>Gelede</v>
      </c>
      <c r="L819" s="23">
        <f>COUNTIF(A:A,bron[[#This Row],[personeelsnr]])</f>
        <v>2</v>
      </c>
    </row>
    <row r="820" spans="1:12" hidden="1" x14ac:dyDescent="0.25">
      <c r="A820" s="20">
        <v>41874</v>
      </c>
      <c r="B820" t="str">
        <f>VLOOKUP(bron[[#This Row],[personeelsnr]],[1]Blad1!$A:$H,2,FALSE)</f>
        <v>Dobbeleire Bruno</v>
      </c>
      <c r="C820" t="str">
        <f>VLOOKUP(bron[[#This Row],[personeelsnr]],[1]Blad1!$A:$H,3,FALSE)</f>
        <v>Dobbeleire</v>
      </c>
      <c r="D820" t="str">
        <f>VLOOKUP(bron[[#This Row],[personeelsnr]],[1]Blad1!$A:$H,4,FALSE)</f>
        <v>Bruno</v>
      </c>
      <c r="E820" s="2" t="str">
        <f>VLOOKUP(bron[[#This Row],[personeelsnr]],[1]Blad1!$A:$H,8,FALSE)</f>
        <v>De Clercq Dominique</v>
      </c>
      <c r="F820" s="6">
        <v>45876</v>
      </c>
      <c r="G820" s="12" t="s">
        <v>1115</v>
      </c>
      <c r="H820" t="s">
        <v>27</v>
      </c>
      <c r="I820" s="4">
        <v>5923</v>
      </c>
      <c r="J820" s="23" t="str">
        <f>VLOOKUP(bron[[#This Row],[voertuig]],Voertuigen!A:C,3,FALSE)</f>
        <v>Bus</v>
      </c>
      <c r="K820" s="23" t="str">
        <f>VLOOKUP(bron[[#This Row],[voertuig]],Voertuigen!A:C,2,FALSE)</f>
        <v>Standaard</v>
      </c>
      <c r="L820" s="23">
        <f>COUNTIF(A:A,bron[[#This Row],[personeelsnr]])</f>
        <v>3</v>
      </c>
    </row>
    <row r="821" spans="1:12" hidden="1" x14ac:dyDescent="0.25">
      <c r="A821" s="20">
        <v>41092</v>
      </c>
      <c r="B821" t="str">
        <f>VLOOKUP(bron[[#This Row],[personeelsnr]],[1]Blad1!$A:$H,2,FALSE)</f>
        <v>De Keyser Dorien</v>
      </c>
      <c r="C821" t="str">
        <f>VLOOKUP(bron[[#This Row],[personeelsnr]],[1]Blad1!$A:$H,3,FALSE)</f>
        <v>De Keyser</v>
      </c>
      <c r="D821" t="str">
        <f>VLOOKUP(bron[[#This Row],[personeelsnr]],[1]Blad1!$A:$H,4,FALSE)</f>
        <v>Dorien</v>
      </c>
      <c r="E821" s="2" t="str">
        <f>VLOOKUP(bron[[#This Row],[personeelsnr]],[1]Blad1!$A:$H,8,FALSE)</f>
        <v>De Clercq Dominique</v>
      </c>
      <c r="F821" s="6">
        <v>45878</v>
      </c>
      <c r="G821" s="5" t="s">
        <v>1116</v>
      </c>
      <c r="H821" t="s">
        <v>91</v>
      </c>
      <c r="I821" s="4">
        <v>2194</v>
      </c>
      <c r="J821" s="23" t="str">
        <f>VLOOKUP(bron[[#This Row],[voertuig]],Voertuigen!A:C,3,FALSE)</f>
        <v>Bus</v>
      </c>
      <c r="K821" s="23" t="str">
        <f>VLOOKUP(bron[[#This Row],[voertuig]],Voertuigen!A:C,2,FALSE)</f>
        <v>Gelede</v>
      </c>
      <c r="L821" s="23">
        <f>COUNTIF(A:A,bron[[#This Row],[personeelsnr]])</f>
        <v>9</v>
      </c>
    </row>
    <row r="822" spans="1:12" hidden="1" x14ac:dyDescent="0.25">
      <c r="A822" s="20">
        <v>38740</v>
      </c>
      <c r="B822" t="str">
        <f>VLOOKUP(bron[[#This Row],[personeelsnr]],[1]Blad1!$A:$H,2,FALSE)</f>
        <v>Meskens Anthony</v>
      </c>
      <c r="C822" t="str">
        <f>VLOOKUP(bron[[#This Row],[personeelsnr]],[1]Blad1!$A:$H,3,FALSE)</f>
        <v>Meskens</v>
      </c>
      <c r="D822" t="str">
        <f>VLOOKUP(bron[[#This Row],[personeelsnr]],[1]Blad1!$A:$H,4,FALSE)</f>
        <v>Anthony</v>
      </c>
      <c r="E822" s="2" t="str">
        <f>VLOOKUP(bron[[#This Row],[personeelsnr]],[1]Blad1!$A:$H,8,FALSE)</f>
        <v>Rotty Christoff</v>
      </c>
      <c r="F822" s="6">
        <v>45879</v>
      </c>
      <c r="G822" s="12" t="s">
        <v>1117</v>
      </c>
      <c r="H822" t="s">
        <v>7</v>
      </c>
      <c r="I822" s="4">
        <v>6321</v>
      </c>
      <c r="J822" s="23" t="str">
        <f>VLOOKUP(bron[[#This Row],[voertuig]],Voertuigen!A:C,3,FALSE)</f>
        <v>Tram</v>
      </c>
      <c r="K822" s="23" t="str">
        <f>VLOOKUP(bron[[#This Row],[voertuig]],Voertuigen!A:C,2,FALSE)</f>
        <v>Hermelijn</v>
      </c>
      <c r="L822" s="23">
        <f>COUNTIF(A:A,bron[[#This Row],[personeelsnr]])</f>
        <v>3</v>
      </c>
    </row>
    <row r="823" spans="1:12" hidden="1" x14ac:dyDescent="0.25">
      <c r="A823" s="20">
        <v>22202</v>
      </c>
      <c r="B823" t="str">
        <f>VLOOKUP(bron[[#This Row],[personeelsnr]],[1]Blad1!$A:$H,2,FALSE)</f>
        <v>Pluym Pascal</v>
      </c>
      <c r="C823" t="str">
        <f>VLOOKUP(bron[[#This Row],[personeelsnr]],[1]Blad1!$A:$H,3,FALSE)</f>
        <v>Pluym</v>
      </c>
      <c r="D823" t="str">
        <f>VLOOKUP(bron[[#This Row],[personeelsnr]],[1]Blad1!$A:$H,4,FALSE)</f>
        <v>Pascal</v>
      </c>
      <c r="E823" s="2" t="str">
        <f>VLOOKUP(bron[[#This Row],[personeelsnr]],[1]Blad1!$A:$H,8,FALSE)</f>
        <v>Storm Steven</v>
      </c>
      <c r="F823" s="6">
        <v>45883</v>
      </c>
      <c r="G823" s="4" t="s">
        <v>1118</v>
      </c>
      <c r="H823" t="s">
        <v>11</v>
      </c>
      <c r="I823" s="4">
        <v>5266</v>
      </c>
      <c r="J823" s="23" t="str">
        <f>VLOOKUP(bron[[#This Row],[voertuig]],Voertuigen!A:C,3,FALSE)</f>
        <v>Bus</v>
      </c>
      <c r="K823" s="23" t="str">
        <f>VLOOKUP(bron[[#This Row],[voertuig]],Voertuigen!A:C,2,FALSE)</f>
        <v>Gelede</v>
      </c>
      <c r="L823" s="23">
        <f>COUNTIF(A:A,bron[[#This Row],[personeelsnr]])</f>
        <v>1</v>
      </c>
    </row>
    <row r="824" spans="1:12" hidden="1" x14ac:dyDescent="0.25">
      <c r="A824" s="24">
        <v>41348</v>
      </c>
      <c r="B824" t="str">
        <f>VLOOKUP(bron[[#This Row],[personeelsnr]],[1]Blad1!$A:$H,2,FALSE)</f>
        <v>Van Huffel Tim</v>
      </c>
      <c r="C824" t="str">
        <f>VLOOKUP(bron[[#This Row],[personeelsnr]],[1]Blad1!$A:$H,3,FALSE)</f>
        <v>Van Huffel</v>
      </c>
      <c r="D824" t="str">
        <f>VLOOKUP(bron[[#This Row],[personeelsnr]],[1]Blad1!$A:$H,4,FALSE)</f>
        <v>Tim</v>
      </c>
      <c r="E824" s="2" t="str">
        <f>VLOOKUP(bron[[#This Row],[personeelsnr]],[1]Blad1!$A:$H,8,FALSE)</f>
        <v>Rotty Christoff</v>
      </c>
      <c r="F824" s="31">
        <v>45883</v>
      </c>
      <c r="G824" s="32" t="s">
        <v>1119</v>
      </c>
      <c r="H824" s="25" t="s">
        <v>8</v>
      </c>
      <c r="I824" s="27">
        <v>5927</v>
      </c>
      <c r="J824" s="28" t="str">
        <f>VLOOKUP(bron[[#This Row],[voertuig]],Voertuigen!A:C,3,FALSE)</f>
        <v>Bus</v>
      </c>
      <c r="K824" s="28" t="str">
        <f>VLOOKUP(bron[[#This Row],[voertuig]],Voertuigen!A:C,2,FALSE)</f>
        <v>Standaard</v>
      </c>
      <c r="L824" s="28">
        <f>COUNTIF(A:A,bron[[#This Row],[personeelsnr]])</f>
        <v>1</v>
      </c>
    </row>
    <row r="825" spans="1:12" hidden="1" x14ac:dyDescent="0.25">
      <c r="A825" s="20">
        <v>41871</v>
      </c>
      <c r="B825" t="str">
        <f>VLOOKUP(bron[[#This Row],[personeelsnr]],[1]Blad1!$A:$H,2,FALSE)</f>
        <v>Karanfil Ibrahim</v>
      </c>
      <c r="C825" t="str">
        <f>VLOOKUP(bron[[#This Row],[personeelsnr]],[1]Blad1!$A:$H,3,FALSE)</f>
        <v>Karanfil</v>
      </c>
      <c r="D825" t="str">
        <f>VLOOKUP(bron[[#This Row],[personeelsnr]],[1]Blad1!$A:$H,4,FALSE)</f>
        <v>Ibrahim</v>
      </c>
      <c r="E825" s="2" t="str">
        <f>VLOOKUP(bron[[#This Row],[personeelsnr]],[1]Blad1!$A:$H,8,FALSE)</f>
        <v>De Clercq Dominique</v>
      </c>
      <c r="F825" s="6">
        <v>45884</v>
      </c>
      <c r="G825" s="12" t="s">
        <v>1120</v>
      </c>
      <c r="H825" t="s">
        <v>52</v>
      </c>
      <c r="I825" s="4">
        <v>5912</v>
      </c>
      <c r="J825" s="4" t="str">
        <f>VLOOKUP(bron[[#This Row],[voertuig]],Voertuigen!A:C,3,FALSE)</f>
        <v>Bus</v>
      </c>
      <c r="K825" s="4" t="str">
        <f>VLOOKUP(bron[[#This Row],[voertuig]],Voertuigen!A:C,2,FALSE)</f>
        <v>Standaard</v>
      </c>
      <c r="L825" s="23">
        <f>COUNTIF(A:A,bron[[#This Row],[personeelsnr]])</f>
        <v>2</v>
      </c>
    </row>
    <row r="826" spans="1:12" hidden="1" x14ac:dyDescent="0.25">
      <c r="A826" s="20">
        <v>25487</v>
      </c>
      <c r="B826" t="str">
        <f>VLOOKUP(bron[[#This Row],[personeelsnr]],[1]Blad1!$A:$H,2,FALSE)</f>
        <v>Devos Stefaan</v>
      </c>
      <c r="C826" t="str">
        <f>VLOOKUP(bron[[#This Row],[personeelsnr]],[1]Blad1!$A:$H,3,FALSE)</f>
        <v>Devos</v>
      </c>
      <c r="D826" t="str">
        <f>VLOOKUP(bron[[#This Row],[personeelsnr]],[1]Blad1!$A:$H,4,FALSE)</f>
        <v>Stefaan</v>
      </c>
      <c r="E826" s="2" t="str">
        <f>VLOOKUP(bron[[#This Row],[personeelsnr]],[1]Blad1!$A:$H,8,FALSE)</f>
        <v>Storm Steven</v>
      </c>
      <c r="F826" s="6">
        <v>45887</v>
      </c>
      <c r="G826" s="4" t="s">
        <v>1121</v>
      </c>
      <c r="H826" t="s">
        <v>69</v>
      </c>
      <c r="I826" s="4">
        <v>6315</v>
      </c>
      <c r="J826" s="23" t="str">
        <f>VLOOKUP(bron[[#This Row],[voertuig]],Voertuigen!A:C,3,FALSE)</f>
        <v>Tram</v>
      </c>
      <c r="K826" s="23" t="str">
        <f>VLOOKUP(bron[[#This Row],[voertuig]],Voertuigen!A:C,2,FALSE)</f>
        <v>Hermelijn</v>
      </c>
      <c r="L826" s="23">
        <f>COUNTIF(A:A,bron[[#This Row],[personeelsnr]])</f>
        <v>4</v>
      </c>
    </row>
    <row r="827" spans="1:12" hidden="1" x14ac:dyDescent="0.25">
      <c r="A827" s="20">
        <v>18051</v>
      </c>
      <c r="B827" t="str">
        <f>VLOOKUP(bron[[#This Row],[personeelsnr]],[1]Blad1!$A:$H,2,FALSE)</f>
        <v>Van Wittenberge Filip</v>
      </c>
      <c r="C827" t="str">
        <f>VLOOKUP(bron[[#This Row],[personeelsnr]],[1]Blad1!$A:$H,3,FALSE)</f>
        <v>Van Wittenberge</v>
      </c>
      <c r="D827" t="str">
        <f>VLOOKUP(bron[[#This Row],[personeelsnr]],[1]Blad1!$A:$H,4,FALSE)</f>
        <v>Filip</v>
      </c>
      <c r="E827" s="2" t="str">
        <f>VLOOKUP(bron[[#This Row],[personeelsnr]],[1]Blad1!$A:$H,8,FALSE)</f>
        <v>Rotty Christoff</v>
      </c>
      <c r="F827" s="6">
        <v>45890</v>
      </c>
      <c r="G827" s="4" t="s">
        <v>1122</v>
      </c>
      <c r="H827" t="s">
        <v>83</v>
      </c>
      <c r="I827" s="4">
        <v>5233</v>
      </c>
      <c r="J827" s="4" t="str">
        <f>VLOOKUP(bron[[#This Row],[voertuig]],Voertuigen!A:C,3,FALSE)</f>
        <v>Bus</v>
      </c>
      <c r="K827" s="4" t="str">
        <f>VLOOKUP(bron[[#This Row],[voertuig]],Voertuigen!A:C,2,FALSE)</f>
        <v>Gelede</v>
      </c>
      <c r="L827" s="23">
        <f>COUNTIF(A:A,bron[[#This Row],[personeelsnr]])</f>
        <v>3</v>
      </c>
    </row>
    <row r="828" spans="1:12" hidden="1" x14ac:dyDescent="0.25">
      <c r="A828" s="20">
        <v>40403</v>
      </c>
      <c r="B828" t="str">
        <f>VLOOKUP(bron[[#This Row],[personeelsnr]],[1]Blad1!$A:$H,2,FALSE)</f>
        <v>Prové Michaël</v>
      </c>
      <c r="C828" t="str">
        <f>VLOOKUP(bron[[#This Row],[personeelsnr]],[1]Blad1!$A:$H,3,FALSE)</f>
        <v>Prové</v>
      </c>
      <c r="D828" t="str">
        <f>VLOOKUP(bron[[#This Row],[personeelsnr]],[1]Blad1!$A:$H,4,FALSE)</f>
        <v>Michaël</v>
      </c>
      <c r="E828" s="2" t="str">
        <f>VLOOKUP(bron[[#This Row],[personeelsnr]],[1]Blad1!$A:$H,8,FALSE)</f>
        <v>De Clercq Dominique</v>
      </c>
      <c r="F828" s="6">
        <v>45890</v>
      </c>
      <c r="G828" s="4" t="s">
        <v>1123</v>
      </c>
      <c r="H828" t="s">
        <v>362</v>
      </c>
      <c r="I828" s="4">
        <v>5239</v>
      </c>
      <c r="J828" s="23" t="str">
        <f>VLOOKUP(bron[[#This Row],[voertuig]],Voertuigen!A:C,3,FALSE)</f>
        <v>Bus</v>
      </c>
      <c r="K828" s="23" t="str">
        <f>VLOOKUP(bron[[#This Row],[voertuig]],Voertuigen!A:C,2,FALSE)</f>
        <v>Gelede</v>
      </c>
      <c r="L828" s="23">
        <f>COUNTIF(A:A,bron[[#This Row],[personeelsnr]])</f>
        <v>3</v>
      </c>
    </row>
    <row r="829" spans="1:12" hidden="1" x14ac:dyDescent="0.25">
      <c r="A829" s="20">
        <v>25829</v>
      </c>
      <c r="B829" t="str">
        <f>VLOOKUP(bron[[#This Row],[personeelsnr]],[1]Blad1!$A:$H,2,FALSE)</f>
        <v>Kayim Akin</v>
      </c>
      <c r="C829" t="str">
        <f>VLOOKUP(bron[[#This Row],[personeelsnr]],[1]Blad1!$A:$H,3,FALSE)</f>
        <v>Kayim</v>
      </c>
      <c r="D829" t="str">
        <f>VLOOKUP(bron[[#This Row],[personeelsnr]],[1]Blad1!$A:$H,4,FALSE)</f>
        <v>Akin</v>
      </c>
      <c r="E829" s="2" t="str">
        <f>VLOOKUP(bron[[#This Row],[personeelsnr]],[1]Blad1!$A:$H,8,FALSE)</f>
        <v>Storm Steven</v>
      </c>
      <c r="F829" s="6">
        <v>45891</v>
      </c>
      <c r="G829" s="4" t="s">
        <v>1124</v>
      </c>
      <c r="H829" t="s">
        <v>74</v>
      </c>
      <c r="I829" s="4">
        <v>6307</v>
      </c>
      <c r="J829" s="23" t="str">
        <f>VLOOKUP(bron[[#This Row],[voertuig]],Voertuigen!A:C,3,FALSE)</f>
        <v>Tram</v>
      </c>
      <c r="K829" s="23" t="str">
        <f>VLOOKUP(bron[[#This Row],[voertuig]],Voertuigen!A:C,2,FALSE)</f>
        <v>Hermelijn</v>
      </c>
      <c r="L829" s="23">
        <f>COUNTIF(A:A,bron[[#This Row],[personeelsnr]])</f>
        <v>1</v>
      </c>
    </row>
    <row r="830" spans="1:12" hidden="1" x14ac:dyDescent="0.25">
      <c r="A830" s="20">
        <v>39651</v>
      </c>
      <c r="B830" t="str">
        <f>VLOOKUP(bron[[#This Row],[personeelsnr]],[1]Blad1!$A:$H,2,FALSE)</f>
        <v>Kallenbach Sunny</v>
      </c>
      <c r="C830" t="str">
        <f>VLOOKUP(bron[[#This Row],[personeelsnr]],[1]Blad1!$A:$H,3,FALSE)</f>
        <v>Kallenbach</v>
      </c>
      <c r="D830" t="str">
        <f>VLOOKUP(bron[[#This Row],[personeelsnr]],[1]Blad1!$A:$H,4,FALSE)</f>
        <v>Sunny</v>
      </c>
      <c r="E830" s="2" t="str">
        <f>VLOOKUP(bron[[#This Row],[personeelsnr]],[1]Blad1!$A:$H,8,FALSE)</f>
        <v>De Rick Kenneth</v>
      </c>
      <c r="F830" s="6">
        <v>45891</v>
      </c>
      <c r="G830" s="4" t="s">
        <v>1125</v>
      </c>
      <c r="H830" t="s">
        <v>22</v>
      </c>
      <c r="I830" s="4">
        <v>5052</v>
      </c>
      <c r="J830" s="4" t="str">
        <f>VLOOKUP(bron[[#This Row],[voertuig]],Voertuigen!A:C,3,FALSE)</f>
        <v>Bus</v>
      </c>
      <c r="K830" s="4" t="str">
        <f>VLOOKUP(bron[[#This Row],[voertuig]],Voertuigen!A:C,2,FALSE)</f>
        <v>Gelede</v>
      </c>
      <c r="L830" s="23">
        <f>COUNTIF(A:A,bron[[#This Row],[personeelsnr]])</f>
        <v>4</v>
      </c>
    </row>
    <row r="831" spans="1:12" hidden="1" x14ac:dyDescent="0.25">
      <c r="A831" s="20">
        <v>39654</v>
      </c>
      <c r="B831" t="str">
        <f>VLOOKUP(bron[[#This Row],[personeelsnr]],[1]Blad1!$A:$H,2,FALSE)</f>
        <v>Camacho Encarnacion Lisandro Javier</v>
      </c>
      <c r="C831" t="str">
        <f>VLOOKUP(bron[[#This Row],[personeelsnr]],[1]Blad1!$A:$H,3,FALSE)</f>
        <v>Camacho Encarnacion</v>
      </c>
      <c r="D831" t="str">
        <f>VLOOKUP(bron[[#This Row],[personeelsnr]],[1]Blad1!$A:$H,4,FALSE)</f>
        <v>Lisandro Javier</v>
      </c>
      <c r="E831" s="2" t="str">
        <f>VLOOKUP(bron[[#This Row],[personeelsnr]],[1]Blad1!$A:$H,8,FALSE)</f>
        <v>De Rick Kenneth</v>
      </c>
      <c r="F831" s="6">
        <v>45891</v>
      </c>
      <c r="G831" s="5" t="s">
        <v>1126</v>
      </c>
      <c r="H831" t="s">
        <v>20</v>
      </c>
      <c r="I831" s="4">
        <v>5238</v>
      </c>
      <c r="J831" s="4" t="str">
        <f>VLOOKUP(bron[[#This Row],[voertuig]],Voertuigen!A:C,3,FALSE)</f>
        <v>Bus</v>
      </c>
      <c r="K831" s="4" t="str">
        <f>VLOOKUP(bron[[#This Row],[voertuig]],Voertuigen!A:C,2,FALSE)</f>
        <v>Gelede</v>
      </c>
      <c r="L831" s="23">
        <f>COUNTIF(A:A,bron[[#This Row],[personeelsnr]])</f>
        <v>2</v>
      </c>
    </row>
    <row r="832" spans="1:12" hidden="1" x14ac:dyDescent="0.25">
      <c r="A832" s="20">
        <v>41190</v>
      </c>
      <c r="B832" t="e">
        <f>VLOOKUP(bron[[#This Row],[personeelsnr]],[1]Blad1!$A:$H,2,FALSE)</f>
        <v>#N/A</v>
      </c>
      <c r="C832" t="e">
        <f>VLOOKUP(bron[[#This Row],[personeelsnr]],[1]Blad1!$A:$H,3,FALSE)</f>
        <v>#N/A</v>
      </c>
      <c r="D832" t="e">
        <f>VLOOKUP(bron[[#This Row],[personeelsnr]],[1]Blad1!$A:$H,4,FALSE)</f>
        <v>#N/A</v>
      </c>
      <c r="E832" s="2" t="s">
        <v>221</v>
      </c>
      <c r="F832" s="6">
        <v>45891</v>
      </c>
      <c r="G832" s="12" t="s">
        <v>1128</v>
      </c>
      <c r="H832" t="s">
        <v>7</v>
      </c>
      <c r="I832" s="4">
        <v>5765</v>
      </c>
      <c r="J832" s="4" t="str">
        <f>VLOOKUP(bron[[#This Row],[voertuig]],Voertuigen!A:C,3,FALSE)</f>
        <v>Bus</v>
      </c>
      <c r="K832" s="4" t="str">
        <f>VLOOKUP(bron[[#This Row],[voertuig]],Voertuigen!A:C,2,FALSE)</f>
        <v>Standaard</v>
      </c>
      <c r="L832" s="23">
        <f>COUNTIF(A:A,bron[[#This Row],[personeelsnr]])</f>
        <v>1</v>
      </c>
    </row>
    <row r="833" spans="1:12" hidden="1" x14ac:dyDescent="0.25">
      <c r="A833" s="20">
        <v>41619</v>
      </c>
      <c r="B833" t="str">
        <f>VLOOKUP(bron[[#This Row],[personeelsnr]],[1]Blad1!$A:$H,2,FALSE)</f>
        <v>Bachiri Ousama</v>
      </c>
      <c r="C833" t="str">
        <f>VLOOKUP(bron[[#This Row],[personeelsnr]],[1]Blad1!$A:$H,3,FALSE)</f>
        <v>Bachiri</v>
      </c>
      <c r="D833" t="str">
        <f>VLOOKUP(bron[[#This Row],[personeelsnr]],[1]Blad1!$A:$H,4,FALSE)</f>
        <v>Ousama</v>
      </c>
      <c r="E833" s="2" t="str">
        <f>VLOOKUP(bron[[#This Row],[personeelsnr]],[1]Blad1!$A:$H,8,FALSE)</f>
        <v>Van Der Beken Bart</v>
      </c>
      <c r="F833" s="6">
        <v>45892</v>
      </c>
      <c r="G833" s="4" t="s">
        <v>1129</v>
      </c>
      <c r="H833" t="s">
        <v>21</v>
      </c>
      <c r="I833" s="4">
        <v>5048</v>
      </c>
      <c r="J833" s="4" t="str">
        <f>VLOOKUP(bron[[#This Row],[voertuig]],Voertuigen!A:C,3,FALSE)</f>
        <v>Bus</v>
      </c>
      <c r="K833" s="4" t="str">
        <f>VLOOKUP(bron[[#This Row],[voertuig]],Voertuigen!A:C,2,FALSE)</f>
        <v>Gelede</v>
      </c>
      <c r="L833" s="23">
        <f>COUNTIF(A:A,bron[[#This Row],[personeelsnr]])</f>
        <v>4</v>
      </c>
    </row>
    <row r="834" spans="1:12" hidden="1" x14ac:dyDescent="0.25">
      <c r="A834" s="20">
        <v>42145</v>
      </c>
      <c r="B834" t="str">
        <f>VLOOKUP(bron[[#This Row],[personeelsnr]],[1]Blad1!$A:$H,2,FALSE)</f>
        <v>Gys Shayya</v>
      </c>
      <c r="C834" t="str">
        <f>VLOOKUP(bron[[#This Row],[personeelsnr]],[1]Blad1!$A:$H,3,FALSE)</f>
        <v>Gys</v>
      </c>
      <c r="D834" t="str">
        <f>VLOOKUP(bron[[#This Row],[personeelsnr]],[1]Blad1!$A:$H,4,FALSE)</f>
        <v>Shayya</v>
      </c>
      <c r="E834" s="2" t="str">
        <f>VLOOKUP(bron[[#This Row],[personeelsnr]],[1]Blad1!$A:$H,8,FALSE)</f>
        <v>Storm Steven</v>
      </c>
      <c r="F834" s="6">
        <v>45894</v>
      </c>
      <c r="G834" s="4" t="s">
        <v>1130</v>
      </c>
      <c r="H834" t="s">
        <v>109</v>
      </c>
      <c r="I834" s="4">
        <v>8137</v>
      </c>
      <c r="J834" s="4" t="str">
        <f>VLOOKUP(bron[[#This Row],[voertuig]],Voertuigen!A:C,3,FALSE)</f>
        <v>Rijschool</v>
      </c>
      <c r="K834" s="4" t="str">
        <f>VLOOKUP(bron[[#This Row],[voertuig]],Voertuigen!A:C,2,FALSE)</f>
        <v>Rijschool</v>
      </c>
      <c r="L834" s="23">
        <f>COUNTIF(A:A,bron[[#This Row],[personeelsnr]])</f>
        <v>2</v>
      </c>
    </row>
    <row r="835" spans="1:12" hidden="1" x14ac:dyDescent="0.25">
      <c r="A835" s="20">
        <v>34198</v>
      </c>
      <c r="B835" t="str">
        <f>VLOOKUP(bron[[#This Row],[personeelsnr]],[1]Blad1!$A:$H,2,FALSE)</f>
        <v>Pelfrene Toby</v>
      </c>
      <c r="C835" t="str">
        <f>VLOOKUP(bron[[#This Row],[personeelsnr]],[1]Blad1!$A:$H,3,FALSE)</f>
        <v>Pelfrene</v>
      </c>
      <c r="D835" t="str">
        <f>VLOOKUP(bron[[#This Row],[personeelsnr]],[1]Blad1!$A:$H,4,FALSE)</f>
        <v>Toby</v>
      </c>
      <c r="E835" s="2" t="str">
        <f>VLOOKUP(bron[[#This Row],[personeelsnr]],[1]Blad1!$A:$H,8,FALSE)</f>
        <v>Vanhoe Els</v>
      </c>
      <c r="F835" s="6">
        <v>45895</v>
      </c>
      <c r="G835" s="4" t="s">
        <v>1131</v>
      </c>
      <c r="H835" t="s">
        <v>7</v>
      </c>
      <c r="I835" s="4">
        <v>6308</v>
      </c>
      <c r="J835" s="23" t="str">
        <f>VLOOKUP(bron[[#This Row],[voertuig]],Voertuigen!A:C,3,FALSE)</f>
        <v>Tram</v>
      </c>
      <c r="K835" s="23" t="str">
        <f>VLOOKUP(bron[[#This Row],[voertuig]],Voertuigen!A:C,2,FALSE)</f>
        <v>Hermelijn</v>
      </c>
      <c r="L835" s="23">
        <f>COUNTIF(A:A,bron[[#This Row],[personeelsnr]])</f>
        <v>2</v>
      </c>
    </row>
    <row r="836" spans="1:12" hidden="1" x14ac:dyDescent="0.25">
      <c r="A836" s="20">
        <v>16895</v>
      </c>
      <c r="B836" t="str">
        <f>VLOOKUP(bron[[#This Row],[personeelsnr]],[1]Blad1!$A:$H,2,FALSE)</f>
        <v>Van Lauwe Freddy</v>
      </c>
      <c r="C836" t="str">
        <f>VLOOKUP(bron[[#This Row],[personeelsnr]],[1]Blad1!$A:$H,3,FALSE)</f>
        <v>Van Lauwe</v>
      </c>
      <c r="D836" t="str">
        <f>VLOOKUP(bron[[#This Row],[personeelsnr]],[1]Blad1!$A:$H,4,FALSE)</f>
        <v>Freddy</v>
      </c>
      <c r="E836" s="2" t="str">
        <f>VLOOKUP(bron[[#This Row],[personeelsnr]],[1]Blad1!$A:$H,8,FALSE)</f>
        <v>Van Der Beken Bart</v>
      </c>
      <c r="F836" s="6">
        <v>45897</v>
      </c>
      <c r="G836" s="4" t="s">
        <v>1132</v>
      </c>
      <c r="H836" t="s">
        <v>54</v>
      </c>
      <c r="I836" s="4">
        <v>6332</v>
      </c>
      <c r="J836" s="23" t="str">
        <f>VLOOKUP(bron[[#This Row],[voertuig]],Voertuigen!A:C,3,FALSE)</f>
        <v>Tram</v>
      </c>
      <c r="K836" s="23" t="str">
        <f>VLOOKUP(bron[[#This Row],[voertuig]],Voertuigen!A:C,2,FALSE)</f>
        <v>Hermelijn</v>
      </c>
      <c r="L836" s="23">
        <f>COUNTIF(A:A,bron[[#This Row],[personeelsnr]])</f>
        <v>6</v>
      </c>
    </row>
    <row r="837" spans="1:12" hidden="1" x14ac:dyDescent="0.25">
      <c r="A837" s="20">
        <v>11236</v>
      </c>
      <c r="B837" t="str">
        <f>VLOOKUP(bron[[#This Row],[personeelsnr]],[1]Blad1!$A:$H,2,FALSE)</f>
        <v>Baert Freddy</v>
      </c>
      <c r="C837" t="str">
        <f>VLOOKUP(bron[[#This Row],[personeelsnr]],[1]Blad1!$A:$H,3,FALSE)</f>
        <v>Baert</v>
      </c>
      <c r="D837" t="str">
        <f>VLOOKUP(bron[[#This Row],[personeelsnr]],[1]Blad1!$A:$H,4,FALSE)</f>
        <v>Freddy</v>
      </c>
      <c r="E837" s="2" t="str">
        <f>VLOOKUP(bron[[#This Row],[personeelsnr]],[1]Blad1!$A:$H,8,FALSE)</f>
        <v>Van Der Beken Bart</v>
      </c>
      <c r="F837" s="6">
        <v>45897</v>
      </c>
      <c r="G837" s="4" t="s">
        <v>1133</v>
      </c>
      <c r="H837" t="s">
        <v>107</v>
      </c>
      <c r="I837" s="4">
        <v>5046</v>
      </c>
      <c r="J837" s="4" t="str">
        <f>VLOOKUP(bron[[#This Row],[voertuig]],Voertuigen!A:C,3,FALSE)</f>
        <v>Bus</v>
      </c>
      <c r="K837" s="4" t="str">
        <f>VLOOKUP(bron[[#This Row],[voertuig]],Voertuigen!A:C,2,FALSE)</f>
        <v>Gelede</v>
      </c>
      <c r="L837" s="23">
        <f>COUNTIF(A:A,bron[[#This Row],[personeelsnr]])</f>
        <v>4</v>
      </c>
    </row>
    <row r="838" spans="1:12" hidden="1" x14ac:dyDescent="0.25">
      <c r="A838" s="20">
        <v>33488</v>
      </c>
      <c r="B838" t="str">
        <f>VLOOKUP(bron[[#This Row],[personeelsnr]],[1]Blad1!$A:$H,2,FALSE)</f>
        <v>Holub Patrik</v>
      </c>
      <c r="C838" t="str">
        <f>VLOOKUP(bron[[#This Row],[personeelsnr]],[1]Blad1!$A:$H,3,FALSE)</f>
        <v>Holub</v>
      </c>
      <c r="D838" t="str">
        <f>VLOOKUP(bron[[#This Row],[personeelsnr]],[1]Blad1!$A:$H,4,FALSE)</f>
        <v>Patrik</v>
      </c>
      <c r="E838" s="2" t="str">
        <f>VLOOKUP(bron[[#This Row],[personeelsnr]],[1]Blad1!$A:$H,8,FALSE)</f>
        <v>Vanhoe Els</v>
      </c>
      <c r="F838" s="6">
        <v>45898</v>
      </c>
      <c r="G838" s="4" t="s">
        <v>1134</v>
      </c>
      <c r="H838" t="s">
        <v>185</v>
      </c>
      <c r="I838" s="4">
        <v>5327</v>
      </c>
      <c r="J838" s="4" t="str">
        <f>VLOOKUP(bron[[#This Row],[voertuig]],Voertuigen!A:C,3,FALSE)</f>
        <v>Bus</v>
      </c>
      <c r="K838" s="4" t="str">
        <f>VLOOKUP(bron[[#This Row],[voertuig]],Voertuigen!A:C,2,FALSE)</f>
        <v>Gelede</v>
      </c>
      <c r="L838" s="23">
        <f>COUNTIF(A:A,bron[[#This Row],[personeelsnr]])</f>
        <v>2</v>
      </c>
    </row>
    <row r="839" spans="1:12" hidden="1" x14ac:dyDescent="0.25">
      <c r="A839" s="20">
        <v>40856</v>
      </c>
      <c r="B839" t="str">
        <f>VLOOKUP(bron[[#This Row],[personeelsnr]],[1]Blad1!$A:$H,2,FALSE)</f>
        <v>Neissi Sadegh</v>
      </c>
      <c r="C839" t="str">
        <f>VLOOKUP(bron[[#This Row],[personeelsnr]],[1]Blad1!$A:$H,3,FALSE)</f>
        <v>Neissi</v>
      </c>
      <c r="D839" t="str">
        <f>VLOOKUP(bron[[#This Row],[personeelsnr]],[1]Blad1!$A:$H,4,FALSE)</f>
        <v>Sadegh</v>
      </c>
      <c r="E839" s="2" t="str">
        <f>VLOOKUP(bron[[#This Row],[personeelsnr]],[1]Blad1!$A:$H,8,FALSE)</f>
        <v>De Rick Kenneth</v>
      </c>
      <c r="F839" s="6">
        <v>45898</v>
      </c>
      <c r="G839" s="4" t="s">
        <v>1135</v>
      </c>
      <c r="H839" t="s">
        <v>7</v>
      </c>
      <c r="I839" s="4">
        <v>2193</v>
      </c>
      <c r="J839" s="4" t="str">
        <f>VLOOKUP(bron[[#This Row],[voertuig]],Voertuigen!A:C,3,FALSE)</f>
        <v>Bus</v>
      </c>
      <c r="K839" s="4" t="str">
        <f>VLOOKUP(bron[[#This Row],[voertuig]],Voertuigen!A:C,2,FALSE)</f>
        <v>Gelede</v>
      </c>
      <c r="L839" s="23">
        <f>COUNTIF(A:A,bron[[#This Row],[personeelsnr]])</f>
        <v>5</v>
      </c>
    </row>
    <row r="840" spans="1:12" hidden="1" x14ac:dyDescent="0.25">
      <c r="A840" s="20">
        <v>39673</v>
      </c>
      <c r="B840" t="str">
        <f>VLOOKUP(bron[[#This Row],[personeelsnr]],[1]Blad1!$A:$H,2,FALSE)</f>
        <v>Steurbaut Henri</v>
      </c>
      <c r="C840" t="str">
        <f>VLOOKUP(bron[[#This Row],[personeelsnr]],[1]Blad1!$A:$H,3,FALSE)</f>
        <v>Steurbaut</v>
      </c>
      <c r="D840" t="str">
        <f>VLOOKUP(bron[[#This Row],[personeelsnr]],[1]Blad1!$A:$H,4,FALSE)</f>
        <v>Henri</v>
      </c>
      <c r="E840" s="2" t="str">
        <f>VLOOKUP(bron[[#This Row],[personeelsnr]],[1]Blad1!$A:$H,8,FALSE)</f>
        <v>Vanhoe Els</v>
      </c>
      <c r="F840" s="6">
        <v>45899</v>
      </c>
      <c r="G840" s="4" t="s">
        <v>1136</v>
      </c>
      <c r="H840" t="s">
        <v>158</v>
      </c>
      <c r="I840" s="4">
        <v>5044</v>
      </c>
      <c r="J840" s="4" t="str">
        <f>VLOOKUP(bron[[#This Row],[voertuig]],Voertuigen!A:C,3,FALSE)</f>
        <v>Bus</v>
      </c>
      <c r="K840" s="4" t="str">
        <f>VLOOKUP(bron[[#This Row],[voertuig]],Voertuigen!A:C,2,FALSE)</f>
        <v>Gelede</v>
      </c>
      <c r="L840" s="23">
        <f>COUNTIF(A:A,bron[[#This Row],[personeelsnr]])</f>
        <v>5</v>
      </c>
    </row>
    <row r="841" spans="1:12" hidden="1" x14ac:dyDescent="0.25">
      <c r="A841" s="20">
        <v>41874</v>
      </c>
      <c r="B841" t="str">
        <f>VLOOKUP(bron[[#This Row],[personeelsnr]],[1]Blad1!$A:$H,2,FALSE)</f>
        <v>Dobbeleire Bruno</v>
      </c>
      <c r="C841" t="str">
        <f>VLOOKUP(bron[[#This Row],[personeelsnr]],[1]Blad1!$A:$H,3,FALSE)</f>
        <v>Dobbeleire</v>
      </c>
      <c r="D841" t="str">
        <f>VLOOKUP(bron[[#This Row],[personeelsnr]],[1]Blad1!$A:$H,4,FALSE)</f>
        <v>Bruno</v>
      </c>
      <c r="E841" s="2" t="str">
        <f>VLOOKUP(bron[[#This Row],[personeelsnr]],[1]Blad1!$A:$H,8,FALSE)</f>
        <v>De Clercq Dominique</v>
      </c>
      <c r="F841" s="15">
        <v>45901</v>
      </c>
      <c r="G841" s="4" t="s">
        <v>1137</v>
      </c>
      <c r="H841" t="s">
        <v>99</v>
      </c>
      <c r="I841" s="4">
        <v>5938</v>
      </c>
      <c r="J841" s="4" t="str">
        <f>VLOOKUP(bron[[#This Row],[voertuig]],Voertuigen!A:C,3,FALSE)</f>
        <v>Bus</v>
      </c>
      <c r="K841" s="4" t="str">
        <f>VLOOKUP(bron[[#This Row],[voertuig]],Voertuigen!A:C,2,FALSE)</f>
        <v>Standaard</v>
      </c>
      <c r="L841" s="23">
        <f>COUNTIF(A:A,bron[[#This Row],[personeelsnr]])</f>
        <v>3</v>
      </c>
    </row>
    <row r="842" spans="1:12" hidden="1" x14ac:dyDescent="0.25">
      <c r="A842" s="20">
        <v>27153</v>
      </c>
      <c r="B842" t="str">
        <f>VLOOKUP(bron[[#This Row],[personeelsnr]],[1]Blad1!$A:$H,2,FALSE)</f>
        <v>Oben Thibaud</v>
      </c>
      <c r="C842" t="str">
        <f>VLOOKUP(bron[[#This Row],[personeelsnr]],[1]Blad1!$A:$H,3,FALSE)</f>
        <v>Oben</v>
      </c>
      <c r="D842" t="str">
        <f>VLOOKUP(bron[[#This Row],[personeelsnr]],[1]Blad1!$A:$H,4,FALSE)</f>
        <v>Thibaud</v>
      </c>
      <c r="E842" s="2" t="str">
        <f>VLOOKUP(bron[[#This Row],[personeelsnr]],[1]Blad1!$A:$H,8,FALSE)</f>
        <v>Rotty Christoff</v>
      </c>
      <c r="F842" s="15">
        <v>45902</v>
      </c>
      <c r="G842" s="4" t="s">
        <v>1138</v>
      </c>
      <c r="H842" t="s">
        <v>23</v>
      </c>
      <c r="I842" s="4">
        <v>5263</v>
      </c>
      <c r="J842" s="4" t="str">
        <f>VLOOKUP(bron[[#This Row],[voertuig]],Voertuigen!A:C,3,FALSE)</f>
        <v>Bus</v>
      </c>
      <c r="K842" s="4" t="str">
        <f>VLOOKUP(bron[[#This Row],[voertuig]],Voertuigen!A:C,2,FALSE)</f>
        <v>Gelede</v>
      </c>
      <c r="L842" s="23">
        <f>COUNTIF(A:A,bron[[#This Row],[personeelsnr]])</f>
        <v>3</v>
      </c>
    </row>
    <row r="843" spans="1:12" hidden="1" x14ac:dyDescent="0.25">
      <c r="A843" s="20">
        <v>39528</v>
      </c>
      <c r="B843" t="str">
        <f>VLOOKUP(bron[[#This Row],[personeelsnr]],[1]Blad1!$A:$H,2,FALSE)</f>
        <v>Mihaylov Plamen</v>
      </c>
      <c r="C843" t="str">
        <f>VLOOKUP(bron[[#This Row],[personeelsnr]],[1]Blad1!$A:$H,3,FALSE)</f>
        <v>Mihaylov</v>
      </c>
      <c r="D843" t="str">
        <f>VLOOKUP(bron[[#This Row],[personeelsnr]],[1]Blad1!$A:$H,4,FALSE)</f>
        <v>Plamen</v>
      </c>
      <c r="E843" s="2" t="str">
        <f>VLOOKUP(bron[[#This Row],[personeelsnr]],[1]Blad1!$A:$H,8,FALSE)</f>
        <v>Rotty Christoff</v>
      </c>
      <c r="F843" s="15">
        <v>45902</v>
      </c>
      <c r="G843" s="4" t="s">
        <v>1139</v>
      </c>
      <c r="H843" t="s">
        <v>90</v>
      </c>
      <c r="I843" s="4">
        <v>5233</v>
      </c>
      <c r="J843" s="4" t="str">
        <f>VLOOKUP(bron[[#This Row],[voertuig]],Voertuigen!A:C,3,FALSE)</f>
        <v>Bus</v>
      </c>
      <c r="K843" s="4" t="str">
        <f>VLOOKUP(bron[[#This Row],[voertuig]],Voertuigen!A:C,2,FALSE)</f>
        <v>Gelede</v>
      </c>
      <c r="L843" s="23">
        <f>COUNTIF(A:A,bron[[#This Row],[personeelsnr]])</f>
        <v>4</v>
      </c>
    </row>
    <row r="844" spans="1:12" hidden="1" x14ac:dyDescent="0.25">
      <c r="A844" s="20">
        <v>40938</v>
      </c>
      <c r="B844" t="str">
        <f>VLOOKUP(bron[[#This Row],[personeelsnr]],[1]Blad1!$A:$H,2,FALSE)</f>
        <v>Hasnaoui Nejmeddine</v>
      </c>
      <c r="C844" t="str">
        <f>VLOOKUP(bron[[#This Row],[personeelsnr]],[1]Blad1!$A:$H,3,FALSE)</f>
        <v>Hasnaoui</v>
      </c>
      <c r="D844" t="str">
        <f>VLOOKUP(bron[[#This Row],[personeelsnr]],[1]Blad1!$A:$H,4,FALSE)</f>
        <v>Nejmeddine</v>
      </c>
      <c r="E844" s="2" t="str">
        <f>VLOOKUP(bron[[#This Row],[personeelsnr]],[1]Blad1!$A:$H,8,FALSE)</f>
        <v>De Clercq Dominique</v>
      </c>
      <c r="F844" s="15">
        <v>45902</v>
      </c>
      <c r="G844" s="4" t="s">
        <v>1138</v>
      </c>
      <c r="H844" t="s">
        <v>23</v>
      </c>
      <c r="I844" s="4">
        <v>5263</v>
      </c>
      <c r="J844" s="23" t="str">
        <f>VLOOKUP(bron[[#This Row],[voertuig]],Voertuigen!A:C,3,FALSE)</f>
        <v>Bus</v>
      </c>
      <c r="K844" s="23" t="str">
        <f>VLOOKUP(bron[[#This Row],[voertuig]],Voertuigen!A:C,2,FALSE)</f>
        <v>Gelede</v>
      </c>
      <c r="L844" s="23">
        <f>COUNTIF(A:A,bron[[#This Row],[personeelsnr]])</f>
        <v>4</v>
      </c>
    </row>
    <row r="845" spans="1:12" hidden="1" x14ac:dyDescent="0.25">
      <c r="A845" s="20">
        <v>40134</v>
      </c>
      <c r="B845" t="str">
        <f>VLOOKUP(bron[[#This Row],[personeelsnr]],[1]Blad1!$A:$H,2,FALSE)</f>
        <v>Cardon Sharon</v>
      </c>
      <c r="C845" t="str">
        <f>VLOOKUP(bron[[#This Row],[personeelsnr]],[1]Blad1!$A:$H,3,FALSE)</f>
        <v>Cardon</v>
      </c>
      <c r="D845" t="str">
        <f>VLOOKUP(bron[[#This Row],[personeelsnr]],[1]Blad1!$A:$H,4,FALSE)</f>
        <v>Sharon</v>
      </c>
      <c r="E845" s="2" t="str">
        <f>VLOOKUP(bron[[#This Row],[personeelsnr]],[1]Blad1!$A:$H,8,FALSE)</f>
        <v>De Clercq Dominique</v>
      </c>
      <c r="F845" s="15">
        <v>45902</v>
      </c>
      <c r="G845" s="4" t="s">
        <v>1140</v>
      </c>
      <c r="H845" t="s">
        <v>111</v>
      </c>
      <c r="I845" s="4">
        <v>550311</v>
      </c>
      <c r="J845" s="4" t="str">
        <f>VLOOKUP(bron[[#This Row],[voertuig]],Voertuigen!A:C,3,FALSE)</f>
        <v>Bus</v>
      </c>
      <c r="K845" s="4" t="str">
        <f>VLOOKUP(bron[[#This Row],[voertuig]],Voertuigen!A:C,2,FALSE)</f>
        <v>Gehuurd</v>
      </c>
      <c r="L845" s="23">
        <f>COUNTIF(A:A,bron[[#This Row],[personeelsnr]])</f>
        <v>4</v>
      </c>
    </row>
    <row r="846" spans="1:12" hidden="1" x14ac:dyDescent="0.25">
      <c r="A846" s="20">
        <v>24367</v>
      </c>
      <c r="B846" t="str">
        <f>VLOOKUP(bron[[#This Row],[personeelsnr]],[1]Blad1!$A:$H,2,FALSE)</f>
        <v>Tayefeh Arbab Ali</v>
      </c>
      <c r="C846" t="str">
        <f>VLOOKUP(bron[[#This Row],[personeelsnr]],[1]Blad1!$A:$H,3,FALSE)</f>
        <v>Tayefeh Arbab</v>
      </c>
      <c r="D846" t="str">
        <f>VLOOKUP(bron[[#This Row],[personeelsnr]],[1]Blad1!$A:$H,4,FALSE)</f>
        <v>Ali</v>
      </c>
      <c r="E846" s="2" t="str">
        <f>VLOOKUP(bron[[#This Row],[personeelsnr]],[1]Blad1!$A:$H,8,FALSE)</f>
        <v>Van Der Beken Bart</v>
      </c>
      <c r="F846" s="15">
        <v>45903</v>
      </c>
      <c r="G846" s="4" t="s">
        <v>1141</v>
      </c>
      <c r="H846" t="s">
        <v>200</v>
      </c>
      <c r="I846" s="4">
        <v>6319</v>
      </c>
      <c r="J846" s="23" t="str">
        <f>VLOOKUP(bron[[#This Row],[voertuig]],Voertuigen!A:C,3,FALSE)</f>
        <v>Tram</v>
      </c>
      <c r="K846" s="23" t="str">
        <f>VLOOKUP(bron[[#This Row],[voertuig]],Voertuigen!A:C,2,FALSE)</f>
        <v>Hermelijn</v>
      </c>
      <c r="L846" s="23">
        <f>COUNTIF(A:A,bron[[#This Row],[personeelsnr]])</f>
        <v>3</v>
      </c>
    </row>
    <row r="847" spans="1:12" hidden="1" x14ac:dyDescent="0.25">
      <c r="A847" s="20">
        <v>20656</v>
      </c>
      <c r="B847" t="str">
        <f>VLOOKUP(bron[[#This Row],[personeelsnr]],[1]Blad1!$A:$H,2,FALSE)</f>
        <v>Vonck Bart</v>
      </c>
      <c r="C847" t="str">
        <f>VLOOKUP(bron[[#This Row],[personeelsnr]],[1]Blad1!$A:$H,3,FALSE)</f>
        <v>Vonck</v>
      </c>
      <c r="D847" t="str">
        <f>VLOOKUP(bron[[#This Row],[personeelsnr]],[1]Blad1!$A:$H,4,FALSE)</f>
        <v>Bart</v>
      </c>
      <c r="E847" s="2" t="str">
        <f>VLOOKUP(bron[[#This Row],[personeelsnr]],[1]Blad1!$A:$H,8,FALSE)</f>
        <v>Vanhoe Els</v>
      </c>
      <c r="F847" s="15">
        <v>45903</v>
      </c>
      <c r="G847" s="4" t="s">
        <v>1142</v>
      </c>
      <c r="H847" t="s">
        <v>128</v>
      </c>
      <c r="I847" s="4">
        <v>5324</v>
      </c>
      <c r="J847" s="4" t="str">
        <f>VLOOKUP(bron[[#This Row],[voertuig]],Voertuigen!A:C,3,FALSE)</f>
        <v>Bus</v>
      </c>
      <c r="K847" s="4" t="str">
        <f>VLOOKUP(bron[[#This Row],[voertuig]],Voertuigen!A:C,2,FALSE)</f>
        <v>Gelede</v>
      </c>
      <c r="L847" s="23">
        <f>COUNTIF(A:A,bron[[#This Row],[personeelsnr]])</f>
        <v>1</v>
      </c>
    </row>
    <row r="848" spans="1:12" hidden="1" x14ac:dyDescent="0.25">
      <c r="A848" s="20">
        <v>33085</v>
      </c>
      <c r="B848" t="str">
        <f>VLOOKUP(bron[[#This Row],[personeelsnr]],[1]Blad1!$A:$H,2,FALSE)</f>
        <v>Van Hoe Ivo</v>
      </c>
      <c r="C848" t="str">
        <f>VLOOKUP(bron[[#This Row],[personeelsnr]],[1]Blad1!$A:$H,3,FALSE)</f>
        <v>Van Hoe</v>
      </c>
      <c r="D848" t="str">
        <f>VLOOKUP(bron[[#This Row],[personeelsnr]],[1]Blad1!$A:$H,4,FALSE)</f>
        <v>Ivo</v>
      </c>
      <c r="E848" s="2" t="str">
        <f>VLOOKUP(bron[[#This Row],[personeelsnr]],[1]Blad1!$A:$H,8,FALSE)</f>
        <v>De Rick Kenneth</v>
      </c>
      <c r="F848" s="15">
        <v>45904</v>
      </c>
      <c r="G848" s="4" t="s">
        <v>1143</v>
      </c>
      <c r="H848" t="s">
        <v>7</v>
      </c>
      <c r="I848" s="4">
        <v>6316</v>
      </c>
      <c r="J848" s="23" t="str">
        <f>VLOOKUP(bron[[#This Row],[voertuig]],Voertuigen!A:C,3,FALSE)</f>
        <v>Tram</v>
      </c>
      <c r="K848" s="23" t="str">
        <f>VLOOKUP(bron[[#This Row],[voertuig]],Voertuigen!A:C,2,FALSE)</f>
        <v>Hermelijn</v>
      </c>
      <c r="L848" s="23">
        <f>COUNTIF(A:A,bron[[#This Row],[personeelsnr]])</f>
        <v>2</v>
      </c>
    </row>
    <row r="849" spans="1:12" hidden="1" x14ac:dyDescent="0.25">
      <c r="A849" s="20">
        <v>42082</v>
      </c>
      <c r="B849" t="str">
        <f>VLOOKUP(bron[[#This Row],[personeelsnr]],[1]Blad1!$A:$H,2,FALSE)</f>
        <v>Ahmad Othman</v>
      </c>
      <c r="C849" t="str">
        <f>VLOOKUP(bron[[#This Row],[personeelsnr]],[1]Blad1!$A:$H,3,FALSE)</f>
        <v>Ahmad</v>
      </c>
      <c r="D849" t="str">
        <f>VLOOKUP(bron[[#This Row],[personeelsnr]],[1]Blad1!$A:$H,4,FALSE)</f>
        <v>Othman</v>
      </c>
      <c r="E849" s="2" t="str">
        <f>VLOOKUP(bron[[#This Row],[personeelsnr]],[1]Blad1!$A:$H,8,FALSE)</f>
        <v>De Clercq Dominique</v>
      </c>
      <c r="F849" s="15">
        <v>45904</v>
      </c>
      <c r="G849" s="4" t="s">
        <v>1144</v>
      </c>
      <c r="H849" t="s">
        <v>8</v>
      </c>
      <c r="I849" s="4">
        <v>2548</v>
      </c>
      <c r="J849" s="4" t="str">
        <f>VLOOKUP(bron[[#This Row],[voertuig]],Voertuigen!A:C,3,FALSE)</f>
        <v>Bus</v>
      </c>
      <c r="K849" s="4" t="str">
        <f>VLOOKUP(bron[[#This Row],[voertuig]],Voertuigen!A:C,2,FALSE)</f>
        <v>E-bus</v>
      </c>
      <c r="L849" s="23">
        <f>COUNTIF(A:A,bron[[#This Row],[personeelsnr]])</f>
        <v>1</v>
      </c>
    </row>
    <row r="850" spans="1:12" hidden="1" x14ac:dyDescent="0.25">
      <c r="A850" s="20">
        <v>22244</v>
      </c>
      <c r="B850" t="str">
        <f>VLOOKUP(bron[[#This Row],[personeelsnr]],[1]Blad1!$A:$H,2,FALSE)</f>
        <v>Kirdas Süleyman</v>
      </c>
      <c r="C850" t="str">
        <f>VLOOKUP(bron[[#This Row],[personeelsnr]],[1]Blad1!$A:$H,3,FALSE)</f>
        <v>Kirdas</v>
      </c>
      <c r="D850" t="str">
        <f>VLOOKUP(bron[[#This Row],[personeelsnr]],[1]Blad1!$A:$H,4,FALSE)</f>
        <v>Süleyman</v>
      </c>
      <c r="E850" s="2" t="str">
        <f>VLOOKUP(bron[[#This Row],[personeelsnr]],[1]Blad1!$A:$H,8,FALSE)</f>
        <v>Rotty Christoff</v>
      </c>
      <c r="F850" s="15">
        <v>45905</v>
      </c>
      <c r="G850" s="4" t="s">
        <v>1145</v>
      </c>
      <c r="H850" t="s">
        <v>62</v>
      </c>
      <c r="I850" s="4">
        <v>5931</v>
      </c>
      <c r="J850" s="4" t="str">
        <f>VLOOKUP(bron[[#This Row],[voertuig]],Voertuigen!A:C,3,FALSE)</f>
        <v>Bus</v>
      </c>
      <c r="K850" s="4" t="str">
        <f>VLOOKUP(bron[[#This Row],[voertuig]],Voertuigen!A:C,2,FALSE)</f>
        <v>Standaard</v>
      </c>
      <c r="L850" s="23">
        <f>COUNTIF(A:A,bron[[#This Row],[personeelsnr]])</f>
        <v>2</v>
      </c>
    </row>
    <row r="851" spans="1:12" hidden="1" x14ac:dyDescent="0.25">
      <c r="A851" s="20">
        <v>37132</v>
      </c>
      <c r="B851" t="str">
        <f>VLOOKUP(bron[[#This Row],[personeelsnr]],[1]Blad1!$A:$H,2,FALSE)</f>
        <v>Dacic Esmir</v>
      </c>
      <c r="C851" t="str">
        <f>VLOOKUP(bron[[#This Row],[personeelsnr]],[1]Blad1!$A:$H,3,FALSE)</f>
        <v>Dacic</v>
      </c>
      <c r="D851" t="str">
        <f>VLOOKUP(bron[[#This Row],[personeelsnr]],[1]Blad1!$A:$H,4,FALSE)</f>
        <v>Esmir</v>
      </c>
      <c r="E851" s="2" t="str">
        <f>VLOOKUP(bron[[#This Row],[personeelsnr]],[1]Blad1!$A:$H,8,FALSE)</f>
        <v>De Clercq Dominique</v>
      </c>
      <c r="F851" s="15">
        <v>45907</v>
      </c>
      <c r="G851" s="5" t="s">
        <v>1146</v>
      </c>
      <c r="H851" t="s">
        <v>10</v>
      </c>
      <c r="I851" s="4">
        <v>5259</v>
      </c>
      <c r="J851" s="4" t="str">
        <f>VLOOKUP(bron[[#This Row],[voertuig]],Voertuigen!A:C,3,FALSE)</f>
        <v>Bus</v>
      </c>
      <c r="K851" s="4" t="str">
        <f>VLOOKUP(bron[[#This Row],[voertuig]],Voertuigen!A:C,2,FALSE)</f>
        <v>Gelede</v>
      </c>
      <c r="L851" s="23">
        <f>COUNTIF(A:A,bron[[#This Row],[personeelsnr]])</f>
        <v>2</v>
      </c>
    </row>
    <row r="852" spans="1:12" hidden="1" x14ac:dyDescent="0.25">
      <c r="A852" s="20">
        <v>16895</v>
      </c>
      <c r="B852" t="str">
        <f>VLOOKUP(bron[[#This Row],[personeelsnr]],[1]Blad1!$A:$H,2,FALSE)</f>
        <v>Van Lauwe Freddy</v>
      </c>
      <c r="C852" t="str">
        <f>VLOOKUP(bron[[#This Row],[personeelsnr]],[1]Blad1!$A:$H,3,FALSE)</f>
        <v>Van Lauwe</v>
      </c>
      <c r="D852" t="str">
        <f>VLOOKUP(bron[[#This Row],[personeelsnr]],[1]Blad1!$A:$H,4,FALSE)</f>
        <v>Freddy</v>
      </c>
      <c r="E852" s="2" t="str">
        <f>VLOOKUP(bron[[#This Row],[personeelsnr]],[1]Blad1!$A:$H,8,FALSE)</f>
        <v>Van Der Beken Bart</v>
      </c>
      <c r="F852" s="15">
        <v>45909</v>
      </c>
      <c r="G852" s="4" t="s">
        <v>1147</v>
      </c>
      <c r="H852" t="s">
        <v>28</v>
      </c>
      <c r="I852" s="4">
        <v>6331</v>
      </c>
      <c r="J852" s="23" t="str">
        <f>VLOOKUP(bron[[#This Row],[voertuig]],Voertuigen!A:C,3,FALSE)</f>
        <v>Tram</v>
      </c>
      <c r="K852" s="23" t="str">
        <f>VLOOKUP(bron[[#This Row],[voertuig]],Voertuigen!A:C,2,FALSE)</f>
        <v>Hermelijn</v>
      </c>
      <c r="L852" s="23">
        <f>COUNTIF(A:A,bron[[#This Row],[personeelsnr]])</f>
        <v>6</v>
      </c>
    </row>
    <row r="853" spans="1:12" hidden="1" x14ac:dyDescent="0.25">
      <c r="A853" s="20">
        <v>35491</v>
      </c>
      <c r="B853" t="str">
        <f>VLOOKUP(bron[[#This Row],[personeelsnr]],[1]Blad1!$A:$H,2,FALSE)</f>
        <v>Toubadie Zakaria</v>
      </c>
      <c r="C853" t="str">
        <f>VLOOKUP(bron[[#This Row],[personeelsnr]],[1]Blad1!$A:$H,3,FALSE)</f>
        <v>Toubadie</v>
      </c>
      <c r="D853" t="str">
        <f>VLOOKUP(bron[[#This Row],[personeelsnr]],[1]Blad1!$A:$H,4,FALSE)</f>
        <v>Zakaria</v>
      </c>
      <c r="E853" s="2" t="str">
        <f>VLOOKUP(bron[[#This Row],[personeelsnr]],[1]Blad1!$A:$H,8,FALSE)</f>
        <v>Vanhoe Els</v>
      </c>
      <c r="F853" s="15">
        <v>45909</v>
      </c>
      <c r="G853" s="4" t="s">
        <v>1148</v>
      </c>
      <c r="H853" t="s">
        <v>29</v>
      </c>
      <c r="I853" s="4">
        <v>5042</v>
      </c>
      <c r="J853" s="4" t="str">
        <f>VLOOKUP(bron[[#This Row],[voertuig]],Voertuigen!A:C,3,FALSE)</f>
        <v>Bus</v>
      </c>
      <c r="K853" s="4" t="str">
        <f>VLOOKUP(bron[[#This Row],[voertuig]],Voertuigen!A:C,2,FALSE)</f>
        <v>Gelede</v>
      </c>
      <c r="L853" s="23">
        <f>COUNTIF(A:A,bron[[#This Row],[personeelsnr]])</f>
        <v>2</v>
      </c>
    </row>
    <row r="854" spans="1:12" hidden="1" x14ac:dyDescent="0.25">
      <c r="A854" s="20">
        <v>41786</v>
      </c>
      <c r="B854" t="str">
        <f>VLOOKUP(bron[[#This Row],[personeelsnr]],[1]Blad1!$A:$H,2,FALSE)</f>
        <v>Diels Nick</v>
      </c>
      <c r="C854" t="str">
        <f>VLOOKUP(bron[[#This Row],[personeelsnr]],[1]Blad1!$A:$H,3,FALSE)</f>
        <v>Diels</v>
      </c>
      <c r="D854" t="str">
        <f>VLOOKUP(bron[[#This Row],[personeelsnr]],[1]Blad1!$A:$H,4,FALSE)</f>
        <v>Nick</v>
      </c>
      <c r="E854" s="2" t="str">
        <f>VLOOKUP(bron[[#This Row],[personeelsnr]],[1]Blad1!$A:$H,8,FALSE)</f>
        <v>Rotty Christoff</v>
      </c>
      <c r="F854" s="15">
        <v>45909</v>
      </c>
      <c r="G854" s="4" t="s">
        <v>1149</v>
      </c>
      <c r="H854" t="s">
        <v>181</v>
      </c>
      <c r="I854" s="4">
        <v>4678</v>
      </c>
      <c r="J854" s="23" t="str">
        <f>VLOOKUP(bron[[#This Row],[voertuig]],Voertuigen!A:C,3,FALSE)</f>
        <v>Bus</v>
      </c>
      <c r="K854" s="23" t="str">
        <f>VLOOKUP(bron[[#This Row],[voertuig]],Voertuigen!A:C,2,FALSE)</f>
        <v>Citybus</v>
      </c>
      <c r="L854" s="23">
        <f>COUNTIF(A:A,bron[[#This Row],[personeelsnr]])</f>
        <v>1</v>
      </c>
    </row>
    <row r="855" spans="1:12" hidden="1" x14ac:dyDescent="0.25">
      <c r="A855" s="20">
        <v>16895</v>
      </c>
      <c r="B855" t="str">
        <f>VLOOKUP(bron[[#This Row],[personeelsnr]],[1]Blad1!$A:$H,2,FALSE)</f>
        <v>Van Lauwe Freddy</v>
      </c>
      <c r="C855" t="str">
        <f>VLOOKUP(bron[[#This Row],[personeelsnr]],[1]Blad1!$A:$H,3,FALSE)</f>
        <v>Van Lauwe</v>
      </c>
      <c r="D855" t="str">
        <f>VLOOKUP(bron[[#This Row],[personeelsnr]],[1]Blad1!$A:$H,4,FALSE)</f>
        <v>Freddy</v>
      </c>
      <c r="E855" s="2" t="str">
        <f>VLOOKUP(bron[[#This Row],[personeelsnr]],[1]Blad1!$A:$H,8,FALSE)</f>
        <v>Van Der Beken Bart</v>
      </c>
      <c r="F855" s="15">
        <v>45910</v>
      </c>
      <c r="G855" s="12" t="s">
        <v>1150</v>
      </c>
      <c r="H855" t="s">
        <v>81</v>
      </c>
      <c r="I855" s="4">
        <v>6369</v>
      </c>
      <c r="J855" s="23" t="str">
        <f>VLOOKUP(bron[[#This Row],[voertuig]],Voertuigen!A:C,3,FALSE)</f>
        <v>Tram</v>
      </c>
      <c r="K855" s="23" t="str">
        <f>VLOOKUP(bron[[#This Row],[voertuig]],Voertuigen!A:C,2,FALSE)</f>
        <v>Flexity</v>
      </c>
      <c r="L855" s="23">
        <f>COUNTIF(A:A,bron[[#This Row],[personeelsnr]])</f>
        <v>6</v>
      </c>
    </row>
    <row r="856" spans="1:12" hidden="1" x14ac:dyDescent="0.25">
      <c r="A856" s="20">
        <v>9062</v>
      </c>
      <c r="B856" t="str">
        <f>VLOOKUP(bron[[#This Row],[personeelsnr]],[1]Blad1!$A:$H,2,FALSE)</f>
        <v>Westelinck Davy</v>
      </c>
      <c r="C856" t="str">
        <f>VLOOKUP(bron[[#This Row],[personeelsnr]],[1]Blad1!$A:$H,3,FALSE)</f>
        <v>Westelinck</v>
      </c>
      <c r="D856" t="str">
        <f>VLOOKUP(bron[[#This Row],[personeelsnr]],[1]Blad1!$A:$H,4,FALSE)</f>
        <v>Davy</v>
      </c>
      <c r="E856" s="2" t="str">
        <f>VLOOKUP(bron[[#This Row],[personeelsnr]],[1]Blad1!$A:$H,8,FALSE)</f>
        <v>De Rick Kenneth</v>
      </c>
      <c r="F856" s="15">
        <v>45911</v>
      </c>
      <c r="G856" s="4" t="s">
        <v>1151</v>
      </c>
      <c r="H856" t="s">
        <v>199</v>
      </c>
      <c r="I856" s="4">
        <v>6312</v>
      </c>
      <c r="J856" s="23" t="str">
        <f>VLOOKUP(bron[[#This Row],[voertuig]],Voertuigen!A:C,3,FALSE)</f>
        <v>Tram</v>
      </c>
      <c r="K856" s="23" t="str">
        <f>VLOOKUP(bron[[#This Row],[voertuig]],Voertuigen!A:C,2,FALSE)</f>
        <v>Hermelijn</v>
      </c>
      <c r="L856" s="23">
        <f>COUNTIF(A:A,bron[[#This Row],[personeelsnr]])</f>
        <v>1</v>
      </c>
    </row>
    <row r="857" spans="1:12" hidden="1" x14ac:dyDescent="0.25">
      <c r="A857" s="20">
        <v>31634</v>
      </c>
      <c r="B857" t="str">
        <f>VLOOKUP(bron[[#This Row],[personeelsnr]],[1]Blad1!$A:$H,2,FALSE)</f>
        <v>Kirsan Ömer</v>
      </c>
      <c r="C857" t="str">
        <f>VLOOKUP(bron[[#This Row],[personeelsnr]],[1]Blad1!$A:$H,3,FALSE)</f>
        <v>Kirsan</v>
      </c>
      <c r="D857" t="str">
        <f>VLOOKUP(bron[[#This Row],[personeelsnr]],[1]Blad1!$A:$H,4,FALSE)</f>
        <v>Ömer</v>
      </c>
      <c r="E857" s="2" t="str">
        <f>VLOOKUP(bron[[#This Row],[personeelsnr]],[1]Blad1!$A:$H,8,FALSE)</f>
        <v>Vanhoe Els</v>
      </c>
      <c r="F857" s="15">
        <v>45912</v>
      </c>
      <c r="G857" s="4" t="s">
        <v>1152</v>
      </c>
      <c r="H857" t="s">
        <v>15</v>
      </c>
      <c r="I857" s="4">
        <v>5265</v>
      </c>
      <c r="J857" s="23" t="str">
        <f>VLOOKUP(bron[[#This Row],[voertuig]],Voertuigen!A:C,3,FALSE)</f>
        <v>Bus</v>
      </c>
      <c r="K857" s="23" t="str">
        <f>VLOOKUP(bron[[#This Row],[voertuig]],Voertuigen!A:C,2,FALSE)</f>
        <v>Gelede</v>
      </c>
      <c r="L857" s="23">
        <f>COUNTIF(A:A,bron[[#This Row],[personeelsnr]])</f>
        <v>1</v>
      </c>
    </row>
    <row r="858" spans="1:12" hidden="1" x14ac:dyDescent="0.25">
      <c r="A858" s="20">
        <v>41101</v>
      </c>
      <c r="B858" t="str">
        <f>VLOOKUP(bron[[#This Row],[personeelsnr]],[1]Blad1!$A:$H,2,FALSE)</f>
        <v>Shah Sekandar</v>
      </c>
      <c r="C858" t="str">
        <f>VLOOKUP(bron[[#This Row],[personeelsnr]],[1]Blad1!$A:$H,3,FALSE)</f>
        <v>Shah</v>
      </c>
      <c r="D858" t="str">
        <f>VLOOKUP(bron[[#This Row],[personeelsnr]],[1]Blad1!$A:$H,4,FALSE)</f>
        <v>Sekandar</v>
      </c>
      <c r="E858" s="2" t="str">
        <f>VLOOKUP(bron[[#This Row],[personeelsnr]],[1]Blad1!$A:$H,8,FALSE)</f>
        <v>De Clercq Dominique</v>
      </c>
      <c r="F858" s="15">
        <v>45912</v>
      </c>
      <c r="G858" s="4" t="s">
        <v>1153</v>
      </c>
      <c r="H858" t="s">
        <v>23</v>
      </c>
      <c r="I858" s="4">
        <v>2193</v>
      </c>
      <c r="J858" s="23" t="str">
        <f>VLOOKUP(bron[[#This Row],[voertuig]],Voertuigen!A:C,3,FALSE)</f>
        <v>Bus</v>
      </c>
      <c r="K858" s="23" t="str">
        <f>VLOOKUP(bron[[#This Row],[voertuig]],Voertuigen!A:C,2,FALSE)</f>
        <v>Gelede</v>
      </c>
      <c r="L858" s="23">
        <f>COUNTIF(A:A,bron[[#This Row],[personeelsnr]])</f>
        <v>1</v>
      </c>
    </row>
    <row r="859" spans="1:12" hidden="1" x14ac:dyDescent="0.25">
      <c r="A859" s="20">
        <v>11021</v>
      </c>
      <c r="B859" t="str">
        <f>VLOOKUP(bron[[#This Row],[personeelsnr]],[1]Blad1!$A:$H,2,FALSE)</f>
        <v>Seeuws Marnic</v>
      </c>
      <c r="C859" t="str">
        <f>VLOOKUP(bron[[#This Row],[personeelsnr]],[1]Blad1!$A:$H,3,FALSE)</f>
        <v>Seeuws</v>
      </c>
      <c r="D859" t="str">
        <f>VLOOKUP(bron[[#This Row],[personeelsnr]],[1]Blad1!$A:$H,4,FALSE)</f>
        <v>Marnic</v>
      </c>
      <c r="E859" s="2" t="str">
        <f>VLOOKUP(bron[[#This Row],[personeelsnr]],[1]Blad1!$A:$H,8,FALSE)</f>
        <v>Storm Steven</v>
      </c>
      <c r="F859" s="15">
        <v>45914</v>
      </c>
      <c r="G859" s="4" t="s">
        <v>1154</v>
      </c>
      <c r="H859" t="s">
        <v>56</v>
      </c>
      <c r="I859" s="4">
        <v>6374</v>
      </c>
      <c r="J859" s="23" t="str">
        <f>VLOOKUP(bron[[#This Row],[voertuig]],Voertuigen!A:C,3,FALSE)</f>
        <v>Tram</v>
      </c>
      <c r="K859" s="23" t="str">
        <f>VLOOKUP(bron[[#This Row],[voertuig]],Voertuigen!A:C,2,FALSE)</f>
        <v>Flexity</v>
      </c>
      <c r="L859" s="23">
        <f>COUNTIF(A:A,bron[[#This Row],[personeelsnr]])</f>
        <v>1</v>
      </c>
    </row>
    <row r="860" spans="1:12" hidden="1" x14ac:dyDescent="0.25">
      <c r="A860" s="20">
        <v>37222</v>
      </c>
      <c r="B860" t="str">
        <f>VLOOKUP(bron[[#This Row],[personeelsnr]],[1]Blad1!$A:$H,2,FALSE)</f>
        <v>Blondeel Dominique</v>
      </c>
      <c r="C860" t="str">
        <f>VLOOKUP(bron[[#This Row],[personeelsnr]],[1]Blad1!$A:$H,3,FALSE)</f>
        <v>Blondeel</v>
      </c>
      <c r="D860" t="str">
        <f>VLOOKUP(bron[[#This Row],[personeelsnr]],[1]Blad1!$A:$H,4,FALSE)</f>
        <v>Dominique</v>
      </c>
      <c r="E860" s="2" t="str">
        <f>VLOOKUP(bron[[#This Row],[personeelsnr]],[1]Blad1!$A:$H,8,FALSE)</f>
        <v>Van De Velde Lucie</v>
      </c>
      <c r="F860" s="15">
        <v>45915</v>
      </c>
      <c r="G860" s="4" t="s">
        <v>1155</v>
      </c>
      <c r="H860" t="s">
        <v>12</v>
      </c>
      <c r="I860" s="4">
        <v>5237</v>
      </c>
      <c r="J860" s="4" t="str">
        <f>VLOOKUP(bron[[#This Row],[voertuig]],Voertuigen!A:C,3,FALSE)</f>
        <v>Bus</v>
      </c>
      <c r="K860" s="4" t="str">
        <f>VLOOKUP(bron[[#This Row],[voertuig]],Voertuigen!A:C,2,FALSE)</f>
        <v>Gelede</v>
      </c>
      <c r="L860" s="23">
        <f>COUNTIF(A:A,bron[[#This Row],[personeelsnr]])</f>
        <v>1</v>
      </c>
    </row>
    <row r="861" spans="1:12" hidden="1" x14ac:dyDescent="0.25">
      <c r="A861" s="20">
        <v>40645</v>
      </c>
      <c r="B861" t="str">
        <f>VLOOKUP(bron[[#This Row],[personeelsnr]],[1]Blad1!$A:$H,2,FALSE)</f>
        <v>Bytebier Jason</v>
      </c>
      <c r="C861" t="str">
        <f>VLOOKUP(bron[[#This Row],[personeelsnr]],[1]Blad1!$A:$H,3,FALSE)</f>
        <v>Bytebier</v>
      </c>
      <c r="D861" t="str">
        <f>VLOOKUP(bron[[#This Row],[personeelsnr]],[1]Blad1!$A:$H,4,FALSE)</f>
        <v>Jason</v>
      </c>
      <c r="E861" s="2" t="str">
        <f>VLOOKUP(bron[[#This Row],[personeelsnr]],[1]Blad1!$A:$H,8,FALSE)</f>
        <v>Dewulf Els</v>
      </c>
      <c r="F861" s="15">
        <v>45915</v>
      </c>
      <c r="G861" s="4" t="s">
        <v>1156</v>
      </c>
      <c r="H861" t="s">
        <v>21</v>
      </c>
      <c r="I861" s="4">
        <v>5763</v>
      </c>
      <c r="J861" s="4" t="str">
        <f>VLOOKUP(bron[[#This Row],[voertuig]],Voertuigen!A:C,3,FALSE)</f>
        <v>Bus</v>
      </c>
      <c r="K861" s="4" t="str">
        <f>VLOOKUP(bron[[#This Row],[voertuig]],Voertuigen!A:C,2,FALSE)</f>
        <v>Standaard</v>
      </c>
      <c r="L861" s="23">
        <f>COUNTIF(A:A,bron[[#This Row],[personeelsnr]])</f>
        <v>2</v>
      </c>
    </row>
    <row r="862" spans="1:12" hidden="1" x14ac:dyDescent="0.25">
      <c r="A862" s="20">
        <v>42146</v>
      </c>
      <c r="B862" t="str">
        <f>VLOOKUP(bron[[#This Row],[personeelsnr]],[1]Blad1!$A:$H,2,FALSE)</f>
        <v>Cichonski Kamil</v>
      </c>
      <c r="C862" t="str">
        <f>VLOOKUP(bron[[#This Row],[personeelsnr]],[1]Blad1!$A:$H,3,FALSE)</f>
        <v>Cichonski</v>
      </c>
      <c r="D862" t="str">
        <f>VLOOKUP(bron[[#This Row],[personeelsnr]],[1]Blad1!$A:$H,4,FALSE)</f>
        <v>Kamil</v>
      </c>
      <c r="E862" s="2" t="str">
        <f>VLOOKUP(bron[[#This Row],[personeelsnr]],[1]Blad1!$A:$H,8,FALSE)</f>
        <v>Storm Steven</v>
      </c>
      <c r="F862" s="15">
        <v>45915</v>
      </c>
      <c r="G862" s="4" t="s">
        <v>1157</v>
      </c>
      <c r="H862" t="s">
        <v>56</v>
      </c>
      <c r="I862" s="4">
        <v>5488</v>
      </c>
      <c r="J862" s="4" t="str">
        <f>VLOOKUP(bron[[#This Row],[voertuig]],Voertuigen!A:C,3,FALSE)</f>
        <v>Bus</v>
      </c>
      <c r="K862" s="4" t="str">
        <f>VLOOKUP(bron[[#This Row],[voertuig]],Voertuigen!A:C,2,FALSE)</f>
        <v>Standaard</v>
      </c>
      <c r="L862" s="23">
        <f>COUNTIF(A:A,bron[[#This Row],[personeelsnr]])</f>
        <v>3</v>
      </c>
    </row>
    <row r="863" spans="1:12" hidden="1" x14ac:dyDescent="0.25">
      <c r="A863" s="24">
        <v>39529</v>
      </c>
      <c r="B863" t="str">
        <f>VLOOKUP(bron[[#This Row],[personeelsnr]],[1]Blad1!$A:$H,2,FALSE)</f>
        <v>Desmet Patricia</v>
      </c>
      <c r="C863" t="str">
        <f>VLOOKUP(bron[[#This Row],[personeelsnr]],[1]Blad1!$A:$H,3,FALSE)</f>
        <v>Desmet</v>
      </c>
      <c r="D863" t="str">
        <f>VLOOKUP(bron[[#This Row],[personeelsnr]],[1]Blad1!$A:$H,4,FALSE)</f>
        <v>Patricia</v>
      </c>
      <c r="E863" s="2" t="str">
        <f>VLOOKUP(bron[[#This Row],[personeelsnr]],[1]Blad1!$A:$H,8,FALSE)</f>
        <v>Rotty Christoff</v>
      </c>
      <c r="F863" s="26">
        <v>45916</v>
      </c>
      <c r="G863" s="27" t="s">
        <v>1158</v>
      </c>
      <c r="H863" s="25" t="s">
        <v>934</v>
      </c>
      <c r="I863" s="27">
        <v>6334</v>
      </c>
      <c r="J863" s="27" t="str">
        <f>VLOOKUP(bron[[#This Row],[voertuig]],Voertuigen!A:C,3,FALSE)</f>
        <v>Tram</v>
      </c>
      <c r="K863" s="27" t="str">
        <f>VLOOKUP(bron[[#This Row],[voertuig]],Voertuigen!A:C,2,FALSE)</f>
        <v>Hermelijn</v>
      </c>
      <c r="L863" s="28">
        <f>COUNTIF(A:A,bron[[#This Row],[personeelsnr]])</f>
        <v>4</v>
      </c>
    </row>
    <row r="864" spans="1:12" hidden="1" x14ac:dyDescent="0.25">
      <c r="A864" s="20">
        <v>42120</v>
      </c>
      <c r="B864" t="str">
        <f>VLOOKUP(bron[[#This Row],[personeelsnr]],[1]Blad1!$A:$H,2,FALSE)</f>
        <v>De Bruycker Dylan</v>
      </c>
      <c r="C864" t="str">
        <f>VLOOKUP(bron[[#This Row],[personeelsnr]],[1]Blad1!$A:$H,3,FALSE)</f>
        <v>De Bruycker</v>
      </c>
      <c r="D864" t="str">
        <f>VLOOKUP(bron[[#This Row],[personeelsnr]],[1]Blad1!$A:$H,4,FALSE)</f>
        <v>Dylan</v>
      </c>
      <c r="E864" s="2" t="str">
        <f>VLOOKUP(bron[[#This Row],[personeelsnr]],[1]Blad1!$A:$H,8,FALSE)</f>
        <v>De Rick Kenneth</v>
      </c>
      <c r="F864" s="15">
        <v>45917</v>
      </c>
      <c r="G864" s="4" t="s">
        <v>1159</v>
      </c>
      <c r="H864" t="s">
        <v>70</v>
      </c>
      <c r="I864" s="4">
        <v>5913</v>
      </c>
      <c r="J864" s="23" t="str">
        <f>VLOOKUP(bron[[#This Row],[voertuig]],Voertuigen!A:C,3,FALSE)</f>
        <v>Bus</v>
      </c>
      <c r="K864" s="23" t="str">
        <f>VLOOKUP(bron[[#This Row],[voertuig]],Voertuigen!A:C,2,FALSE)</f>
        <v>Standaard</v>
      </c>
      <c r="L864" s="23">
        <f>COUNTIF(A:A,bron[[#This Row],[personeelsnr]])</f>
        <v>3</v>
      </c>
    </row>
    <row r="865" spans="1:12" hidden="1" x14ac:dyDescent="0.25">
      <c r="A865" s="20">
        <v>41918</v>
      </c>
      <c r="B865" t="str">
        <f>VLOOKUP(bron[[#This Row],[personeelsnr]],[1]Blad1!$A:$H,2,FALSE)</f>
        <v>Babai Saber</v>
      </c>
      <c r="C865" t="str">
        <f>VLOOKUP(bron[[#This Row],[personeelsnr]],[1]Blad1!$A:$H,3,FALSE)</f>
        <v>Babai</v>
      </c>
      <c r="D865" t="str">
        <f>VLOOKUP(bron[[#This Row],[personeelsnr]],[1]Blad1!$A:$H,4,FALSE)</f>
        <v>Saber</v>
      </c>
      <c r="E865" s="2" t="str">
        <f>VLOOKUP(bron[[#This Row],[personeelsnr]],[1]Blad1!$A:$H,8,FALSE)</f>
        <v>Rotty Christoff</v>
      </c>
      <c r="F865" s="15">
        <v>45917</v>
      </c>
      <c r="G865" s="4" t="s">
        <v>1160</v>
      </c>
      <c r="H865" t="s">
        <v>16</v>
      </c>
      <c r="I865" s="4">
        <v>5488</v>
      </c>
      <c r="J865" s="23" t="str">
        <f>VLOOKUP(bron[[#This Row],[voertuig]],Voertuigen!A:C,3,FALSE)</f>
        <v>Bus</v>
      </c>
      <c r="K865" s="23" t="str">
        <f>VLOOKUP(bron[[#This Row],[voertuig]],Voertuigen!A:C,2,FALSE)</f>
        <v>Standaard</v>
      </c>
      <c r="L865" s="23">
        <f>COUNTIF(A:A,bron[[#This Row],[personeelsnr]])</f>
        <v>2</v>
      </c>
    </row>
    <row r="866" spans="1:12" hidden="1" x14ac:dyDescent="0.25">
      <c r="A866" s="20">
        <v>41948</v>
      </c>
      <c r="B866" t="str">
        <f>VLOOKUP(bron[[#This Row],[personeelsnr]],[1]Blad1!$A:$H,2,FALSE)</f>
        <v>Vervaecke Wim</v>
      </c>
      <c r="C866" t="str">
        <f>VLOOKUP(bron[[#This Row],[personeelsnr]],[1]Blad1!$A:$H,3,FALSE)</f>
        <v>Vervaecke</v>
      </c>
      <c r="D866" t="str">
        <f>VLOOKUP(bron[[#This Row],[personeelsnr]],[1]Blad1!$A:$H,4,FALSE)</f>
        <v>Wim</v>
      </c>
      <c r="E866" s="2" t="str">
        <f>VLOOKUP(bron[[#This Row],[personeelsnr]],[1]Blad1!$A:$H,8,FALSE)</f>
        <v>Dewulf Els</v>
      </c>
      <c r="F866" s="15">
        <v>45919</v>
      </c>
      <c r="G866" s="4" t="s">
        <v>1161</v>
      </c>
      <c r="H866" t="s">
        <v>124</v>
      </c>
      <c r="I866" s="4">
        <v>5488</v>
      </c>
      <c r="J866" s="23" t="str">
        <f>VLOOKUP(bron[[#This Row],[voertuig]],Voertuigen!A:C,3,FALSE)</f>
        <v>Bus</v>
      </c>
      <c r="K866" s="23" t="str">
        <f>VLOOKUP(bron[[#This Row],[voertuig]],Voertuigen!A:C,2,FALSE)</f>
        <v>Standaard</v>
      </c>
      <c r="L866" s="23">
        <f>COUNTIF(A:A,bron[[#This Row],[personeelsnr]])</f>
        <v>3</v>
      </c>
    </row>
    <row r="867" spans="1:12" hidden="1" x14ac:dyDescent="0.25">
      <c r="A867" s="20">
        <v>40856</v>
      </c>
      <c r="B867" t="str">
        <f>VLOOKUP(bron[[#This Row],[personeelsnr]],[1]Blad1!$A:$H,2,FALSE)</f>
        <v>Neissi Sadegh</v>
      </c>
      <c r="C867" t="str">
        <f>VLOOKUP(bron[[#This Row],[personeelsnr]],[1]Blad1!$A:$H,3,FALSE)</f>
        <v>Neissi</v>
      </c>
      <c r="D867" t="str">
        <f>VLOOKUP(bron[[#This Row],[personeelsnr]],[1]Blad1!$A:$H,4,FALSE)</f>
        <v>Sadegh</v>
      </c>
      <c r="E867" s="2" t="str">
        <f>VLOOKUP(bron[[#This Row],[personeelsnr]],[1]Blad1!$A:$H,8,FALSE)</f>
        <v>De Rick Kenneth</v>
      </c>
      <c r="F867" s="15">
        <v>45919</v>
      </c>
      <c r="G867" s="4" t="s">
        <v>1162</v>
      </c>
      <c r="H867" t="s">
        <v>24</v>
      </c>
      <c r="I867" s="4">
        <v>5923</v>
      </c>
      <c r="J867" s="23" t="str">
        <f>VLOOKUP(bron[[#This Row],[voertuig]],Voertuigen!A:C,3,FALSE)</f>
        <v>Bus</v>
      </c>
      <c r="K867" s="23" t="str">
        <f>VLOOKUP(bron[[#This Row],[voertuig]],Voertuigen!A:C,2,FALSE)</f>
        <v>Standaard</v>
      </c>
      <c r="L867" s="23">
        <f>COUNTIF(A:A,bron[[#This Row],[personeelsnr]])</f>
        <v>5</v>
      </c>
    </row>
    <row r="868" spans="1:12" hidden="1" x14ac:dyDescent="0.25">
      <c r="A868" s="20">
        <v>39850</v>
      </c>
      <c r="B868" t="str">
        <f>VLOOKUP(bron[[#This Row],[personeelsnr]],[1]Blad1!$A:$H,2,FALSE)</f>
        <v>Helleputte William</v>
      </c>
      <c r="C868" t="str">
        <f>VLOOKUP(bron[[#This Row],[personeelsnr]],[1]Blad1!$A:$H,3,FALSE)</f>
        <v>Helleputte</v>
      </c>
      <c r="D868" t="str">
        <f>VLOOKUP(bron[[#This Row],[personeelsnr]],[1]Blad1!$A:$H,4,FALSE)</f>
        <v>William</v>
      </c>
      <c r="E868" s="2" t="str">
        <f>VLOOKUP(bron[[#This Row],[personeelsnr]],[1]Blad1!$A:$H,8,FALSE)</f>
        <v>De Clercq Dominique</v>
      </c>
      <c r="F868" s="15">
        <v>45922</v>
      </c>
      <c r="G868" s="4" t="s">
        <v>1163</v>
      </c>
      <c r="H868" t="s">
        <v>144</v>
      </c>
      <c r="I868" s="4">
        <v>5225</v>
      </c>
      <c r="J868" s="23" t="str">
        <f>VLOOKUP(bron[[#This Row],[voertuig]],Voertuigen!A:C,3,FALSE)</f>
        <v>Bus</v>
      </c>
      <c r="K868" s="23" t="str">
        <f>VLOOKUP(bron[[#This Row],[voertuig]],Voertuigen!A:C,2,FALSE)</f>
        <v>Gelede</v>
      </c>
      <c r="L868" s="23">
        <f>COUNTIF(A:A,bron[[#This Row],[personeelsnr]])</f>
        <v>3</v>
      </c>
    </row>
    <row r="869" spans="1:12" hidden="1" x14ac:dyDescent="0.25">
      <c r="A869" s="20">
        <v>31360</v>
      </c>
      <c r="B869" t="str">
        <f>VLOOKUP(bron[[#This Row],[personeelsnr]],[1]Blad1!$A:$H,2,FALSE)</f>
        <v>Simsek Fatih</v>
      </c>
      <c r="C869" t="str">
        <f>VLOOKUP(bron[[#This Row],[personeelsnr]],[1]Blad1!$A:$H,3,FALSE)</f>
        <v>Simsek</v>
      </c>
      <c r="D869" t="str">
        <f>VLOOKUP(bron[[#This Row],[personeelsnr]],[1]Blad1!$A:$H,4,FALSE)</f>
        <v>Fatih</v>
      </c>
      <c r="E869" s="2" t="str">
        <f>VLOOKUP(bron[[#This Row],[personeelsnr]],[1]Blad1!$A:$H,8,FALSE)</f>
        <v>De Clercq Dominique</v>
      </c>
      <c r="F869" s="15">
        <v>45922</v>
      </c>
      <c r="G869" s="4" t="s">
        <v>1164</v>
      </c>
      <c r="H869" t="s">
        <v>7</v>
      </c>
      <c r="I869" s="4">
        <v>6375</v>
      </c>
      <c r="J869" s="23" t="str">
        <f>VLOOKUP(bron[[#This Row],[voertuig]],Voertuigen!A:C,3,FALSE)</f>
        <v>Tram</v>
      </c>
      <c r="K869" s="23" t="str">
        <f>VLOOKUP(bron[[#This Row],[voertuig]],Voertuigen!A:C,2,FALSE)</f>
        <v>Flexity</v>
      </c>
      <c r="L869" s="23">
        <f>COUNTIF(A:A,bron[[#This Row],[personeelsnr]])</f>
        <v>3</v>
      </c>
    </row>
    <row r="870" spans="1:12" hidden="1" x14ac:dyDescent="0.25">
      <c r="A870" s="20">
        <v>42252</v>
      </c>
      <c r="B870" t="str">
        <f>VLOOKUP(bron[[#This Row],[personeelsnr]],[1]Blad1!$A:$H,2,FALSE)</f>
        <v>Sular Abdullah</v>
      </c>
      <c r="C870" t="str">
        <f>VLOOKUP(bron[[#This Row],[personeelsnr]],[1]Blad1!$A:$H,3,FALSE)</f>
        <v>Sular</v>
      </c>
      <c r="D870" t="str">
        <f>VLOOKUP(bron[[#This Row],[personeelsnr]],[1]Blad1!$A:$H,4,FALSE)</f>
        <v>Abdullah</v>
      </c>
      <c r="E870" s="2" t="str">
        <f>VLOOKUP(bron[[#This Row],[personeelsnr]],[1]Blad1!$A:$H,8,FALSE)</f>
        <v>Rotty Christoff</v>
      </c>
      <c r="F870" s="15">
        <v>45922</v>
      </c>
      <c r="G870" s="4" t="s">
        <v>1165</v>
      </c>
      <c r="H870" t="s">
        <v>63</v>
      </c>
      <c r="I870" s="4">
        <v>2047</v>
      </c>
      <c r="J870" s="23" t="str">
        <f>VLOOKUP(bron[[#This Row],[voertuig]],Voertuigen!A:C,3,FALSE)</f>
        <v>Rijschool</v>
      </c>
      <c r="K870" s="23" t="str">
        <f>VLOOKUP(bron[[#This Row],[voertuig]],Voertuigen!A:C,2,FALSE)</f>
        <v>Rijschool</v>
      </c>
      <c r="L870" s="23">
        <f>COUNTIF(A:A,bron[[#This Row],[personeelsnr]])</f>
        <v>5</v>
      </c>
    </row>
    <row r="871" spans="1:12" hidden="1" x14ac:dyDescent="0.25">
      <c r="A871" s="20">
        <v>21509</v>
      </c>
      <c r="B871" t="str">
        <f>VLOOKUP(bron[[#This Row],[personeelsnr]],[1]Blad1!$A:$H,2,FALSE)</f>
        <v>De Craemer Kris</v>
      </c>
      <c r="C871" t="str">
        <f>VLOOKUP(bron[[#This Row],[personeelsnr]],[1]Blad1!$A:$H,3,FALSE)</f>
        <v>De Craemer</v>
      </c>
      <c r="D871" t="str">
        <f>VLOOKUP(bron[[#This Row],[personeelsnr]],[1]Blad1!$A:$H,4,FALSE)</f>
        <v>Kris</v>
      </c>
      <c r="E871" s="2" t="str">
        <f>VLOOKUP(bron[[#This Row],[personeelsnr]],[1]Blad1!$A:$H,8,FALSE)</f>
        <v>De Clercq Dominique</v>
      </c>
      <c r="F871" s="15">
        <v>45923</v>
      </c>
      <c r="G871" s="4" t="s">
        <v>1166</v>
      </c>
      <c r="H871" t="s">
        <v>28</v>
      </c>
      <c r="I871" s="4">
        <v>6328</v>
      </c>
      <c r="J871" s="23" t="str">
        <f>VLOOKUP(bron[[#This Row],[voertuig]],Voertuigen!A:C,3,FALSE)</f>
        <v>Tram</v>
      </c>
      <c r="K871" s="23" t="str">
        <f>VLOOKUP(bron[[#This Row],[voertuig]],Voertuigen!A:C,2,FALSE)</f>
        <v>Hermelijn</v>
      </c>
      <c r="L871" s="23">
        <f>COUNTIF(A:A,bron[[#This Row],[personeelsnr]])</f>
        <v>6</v>
      </c>
    </row>
    <row r="872" spans="1:12" hidden="1" x14ac:dyDescent="0.25">
      <c r="A872" s="20">
        <v>42252</v>
      </c>
      <c r="B872" t="str">
        <f>VLOOKUP(bron[[#This Row],[personeelsnr]],[1]Blad1!$A:$H,2,FALSE)</f>
        <v>Sular Abdullah</v>
      </c>
      <c r="C872" t="str">
        <f>VLOOKUP(bron[[#This Row],[personeelsnr]],[1]Blad1!$A:$H,3,FALSE)</f>
        <v>Sular</v>
      </c>
      <c r="D872" t="str">
        <f>VLOOKUP(bron[[#This Row],[personeelsnr]],[1]Blad1!$A:$H,4,FALSE)</f>
        <v>Abdullah</v>
      </c>
      <c r="E872" s="2" t="str">
        <f>VLOOKUP(bron[[#This Row],[personeelsnr]],[1]Blad1!$A:$H,8,FALSE)</f>
        <v>Rotty Christoff</v>
      </c>
      <c r="F872" s="15">
        <v>45923</v>
      </c>
      <c r="G872" s="4" t="s">
        <v>1167</v>
      </c>
      <c r="H872" t="s">
        <v>17</v>
      </c>
      <c r="I872" s="4">
        <v>2047</v>
      </c>
      <c r="J872" s="23" t="str">
        <f>VLOOKUP(bron[[#This Row],[voertuig]],Voertuigen!A:C,3,FALSE)</f>
        <v>Rijschool</v>
      </c>
      <c r="K872" s="23" t="str">
        <f>VLOOKUP(bron[[#This Row],[voertuig]],Voertuigen!A:C,2,FALSE)</f>
        <v>Rijschool</v>
      </c>
      <c r="L872" s="23">
        <f>COUNTIF(A:A,bron[[#This Row],[personeelsnr]])</f>
        <v>5</v>
      </c>
    </row>
    <row r="873" spans="1:12" hidden="1" x14ac:dyDescent="0.25">
      <c r="A873" s="20">
        <v>41888</v>
      </c>
      <c r="B873" t="str">
        <f>VLOOKUP(bron[[#This Row],[personeelsnr]],[1]Blad1!$A:$H,2,FALSE)</f>
        <v>De Rammelaere Bjorn</v>
      </c>
      <c r="C873" t="str">
        <f>VLOOKUP(bron[[#This Row],[personeelsnr]],[1]Blad1!$A:$H,3,FALSE)</f>
        <v>De Rammelaere</v>
      </c>
      <c r="D873" t="str">
        <f>VLOOKUP(bron[[#This Row],[personeelsnr]],[1]Blad1!$A:$H,4,FALSE)</f>
        <v>Bjorn</v>
      </c>
      <c r="E873" s="2" t="str">
        <f>VLOOKUP(bron[[#This Row],[personeelsnr]],[1]Blad1!$A:$H,8,FALSE)</f>
        <v>De Rick Kenneth</v>
      </c>
      <c r="F873" s="15">
        <v>45924</v>
      </c>
      <c r="G873" s="4" t="s">
        <v>1168</v>
      </c>
      <c r="H873" t="s">
        <v>77</v>
      </c>
      <c r="I873" s="4">
        <v>5922</v>
      </c>
      <c r="J873" s="23" t="str">
        <f>VLOOKUP(bron[[#This Row],[voertuig]],Voertuigen!A:C,3,FALSE)</f>
        <v>Bus</v>
      </c>
      <c r="K873" s="23" t="str">
        <f>VLOOKUP(bron[[#This Row],[voertuig]],Voertuigen!A:C,2,FALSE)</f>
        <v>Standaard</v>
      </c>
      <c r="L873" s="23">
        <f>COUNTIF(A:A,bron[[#This Row],[personeelsnr]])</f>
        <v>1</v>
      </c>
    </row>
    <row r="874" spans="1:12" hidden="1" x14ac:dyDescent="0.25">
      <c r="A874" s="20">
        <v>19917</v>
      </c>
      <c r="B874" t="str">
        <f>VLOOKUP(bron[[#This Row],[personeelsnr]],[1]Blad1!$A:$H,2,FALSE)</f>
        <v>Vandevyvere Frank</v>
      </c>
      <c r="C874" t="str">
        <f>VLOOKUP(bron[[#This Row],[personeelsnr]],[1]Blad1!$A:$H,3,FALSE)</f>
        <v>Vandevyvere</v>
      </c>
      <c r="D874" t="str">
        <f>VLOOKUP(bron[[#This Row],[personeelsnr]],[1]Blad1!$A:$H,4,FALSE)</f>
        <v>Frank</v>
      </c>
      <c r="E874" s="2" t="str">
        <f>VLOOKUP(bron[[#This Row],[personeelsnr]],[1]Blad1!$A:$H,8,FALSE)</f>
        <v>Van Der Beken Bart</v>
      </c>
      <c r="F874" s="15">
        <v>45924</v>
      </c>
      <c r="G874" s="4" t="s">
        <v>1169</v>
      </c>
      <c r="H874" t="s">
        <v>22</v>
      </c>
      <c r="I874" s="4">
        <v>2190</v>
      </c>
      <c r="J874" s="23" t="str">
        <f>VLOOKUP(bron[[#This Row],[voertuig]],Voertuigen!A:C,3,FALSE)</f>
        <v>Bus</v>
      </c>
      <c r="K874" s="23" t="str">
        <f>VLOOKUP(bron[[#This Row],[voertuig]],Voertuigen!A:C,2,FALSE)</f>
        <v>Gelede</v>
      </c>
      <c r="L874" s="23">
        <f>COUNTIF(A:A,bron[[#This Row],[personeelsnr]])</f>
        <v>10</v>
      </c>
    </row>
    <row r="875" spans="1:12" hidden="1" x14ac:dyDescent="0.25">
      <c r="A875" s="20">
        <v>39728</v>
      </c>
      <c r="B875" t="str">
        <f>VLOOKUP(bron[[#This Row],[personeelsnr]],[1]Blad1!$A:$H,2,FALSE)</f>
        <v>Nohut Baki</v>
      </c>
      <c r="C875" t="str">
        <f>VLOOKUP(bron[[#This Row],[personeelsnr]],[1]Blad1!$A:$H,3,FALSE)</f>
        <v>Nohut</v>
      </c>
      <c r="D875" t="str">
        <f>VLOOKUP(bron[[#This Row],[personeelsnr]],[1]Blad1!$A:$H,4,FALSE)</f>
        <v>Baki</v>
      </c>
      <c r="E875" s="2" t="str">
        <f>VLOOKUP(bron[[#This Row],[personeelsnr]],[1]Blad1!$A:$H,8,FALSE)</f>
        <v>Van De Velde Lucie</v>
      </c>
      <c r="F875" s="15">
        <v>45924</v>
      </c>
      <c r="G875" s="4" t="s">
        <v>1170</v>
      </c>
      <c r="H875" t="s">
        <v>48</v>
      </c>
      <c r="I875" s="4">
        <v>5768</v>
      </c>
      <c r="J875" s="23" t="str">
        <f>VLOOKUP(bron[[#This Row],[voertuig]],Voertuigen!A:C,3,FALSE)</f>
        <v>Bus</v>
      </c>
      <c r="K875" s="23" t="str">
        <f>VLOOKUP(bron[[#This Row],[voertuig]],Voertuigen!A:C,2,FALSE)</f>
        <v>Standaard</v>
      </c>
      <c r="L875" s="23">
        <f>COUNTIF(A:A,bron[[#This Row],[personeelsnr]])</f>
        <v>2</v>
      </c>
    </row>
    <row r="876" spans="1:12" hidden="1" x14ac:dyDescent="0.25">
      <c r="A876" s="20">
        <v>42307</v>
      </c>
      <c r="B876" t="e">
        <f>VLOOKUP(bron[[#This Row],[personeelsnr]],[1]Blad1!$A:$H,2,FALSE)</f>
        <v>#N/A</v>
      </c>
      <c r="C876" t="e">
        <f>VLOOKUP(bron[[#This Row],[personeelsnr]],[1]Blad1!$A:$H,3,FALSE)</f>
        <v>#N/A</v>
      </c>
      <c r="D876" t="e">
        <f>VLOOKUP(bron[[#This Row],[personeelsnr]],[1]Blad1!$A:$H,4,FALSE)</f>
        <v>#N/A</v>
      </c>
      <c r="E876" s="2" t="s">
        <v>221</v>
      </c>
      <c r="F876" s="15">
        <v>45924</v>
      </c>
      <c r="G876" s="4" t="s">
        <v>1171</v>
      </c>
      <c r="H876" t="s">
        <v>63</v>
      </c>
      <c r="I876" s="4">
        <v>2085</v>
      </c>
      <c r="J876" s="23" t="str">
        <f>VLOOKUP(bron[[#This Row],[voertuig]],Voertuigen!A:C,3,FALSE)</f>
        <v>Rijschool</v>
      </c>
      <c r="K876" s="23" t="str">
        <f>VLOOKUP(bron[[#This Row],[voertuig]],Voertuigen!A:C,2,FALSE)</f>
        <v>Rijschool</v>
      </c>
      <c r="L876" s="23">
        <f>COUNTIF(A:A,bron[[#This Row],[personeelsnr]])</f>
        <v>3</v>
      </c>
    </row>
    <row r="877" spans="1:12" hidden="1" x14ac:dyDescent="0.25">
      <c r="A877" s="24">
        <v>40110</v>
      </c>
      <c r="B877" t="str">
        <f>VLOOKUP(bron[[#This Row],[personeelsnr]],[1]Blad1!$A:$H,2,FALSE)</f>
        <v>Vanlerberghe Sandra</v>
      </c>
      <c r="C877" t="str">
        <f>VLOOKUP(bron[[#This Row],[personeelsnr]],[1]Blad1!$A:$H,3,FALSE)</f>
        <v>Vanlerberghe</v>
      </c>
      <c r="D877" t="str">
        <f>VLOOKUP(bron[[#This Row],[personeelsnr]],[1]Blad1!$A:$H,4,FALSE)</f>
        <v>Sandra</v>
      </c>
      <c r="E877" s="2" t="str">
        <f>VLOOKUP(bron[[#This Row],[personeelsnr]],[1]Blad1!$A:$H,8,FALSE)</f>
        <v>Rotty Christoff</v>
      </c>
      <c r="F877" s="26">
        <v>45925</v>
      </c>
      <c r="G877" s="27" t="s">
        <v>1172</v>
      </c>
      <c r="H877" s="25" t="s">
        <v>23</v>
      </c>
      <c r="I877" s="27">
        <v>2201</v>
      </c>
      <c r="J877" s="28" t="str">
        <f>VLOOKUP(bron[[#This Row],[voertuig]],Voertuigen!A:C,3,FALSE)</f>
        <v>Bus</v>
      </c>
      <c r="K877" s="28" t="str">
        <f>VLOOKUP(bron[[#This Row],[voertuig]],Voertuigen!A:C,2,FALSE)</f>
        <v>Gelede</v>
      </c>
      <c r="L877" s="28">
        <f>COUNTIF(A:A,bron[[#This Row],[personeelsnr]])</f>
        <v>7</v>
      </c>
    </row>
    <row r="878" spans="1:12" hidden="1" x14ac:dyDescent="0.25">
      <c r="A878" s="20">
        <v>19917</v>
      </c>
      <c r="B878" t="str">
        <f>VLOOKUP(bron[[#This Row],[personeelsnr]],[1]Blad1!$A:$H,2,FALSE)</f>
        <v>Vandevyvere Frank</v>
      </c>
      <c r="C878" t="str">
        <f>VLOOKUP(bron[[#This Row],[personeelsnr]],[1]Blad1!$A:$H,3,FALSE)</f>
        <v>Vandevyvere</v>
      </c>
      <c r="D878" t="str">
        <f>VLOOKUP(bron[[#This Row],[personeelsnr]],[1]Blad1!$A:$H,4,FALSE)</f>
        <v>Frank</v>
      </c>
      <c r="E878" s="2" t="str">
        <f>VLOOKUP(bron[[#This Row],[personeelsnr]],[1]Blad1!$A:$H,8,FALSE)</f>
        <v>Van Der Beken Bart</v>
      </c>
      <c r="F878" s="15">
        <v>45925</v>
      </c>
      <c r="G878" s="4" t="s">
        <v>1173</v>
      </c>
      <c r="H878" t="s">
        <v>84</v>
      </c>
      <c r="I878" s="4">
        <v>5938</v>
      </c>
      <c r="J878" s="23" t="str">
        <f>VLOOKUP(bron[[#This Row],[voertuig]],Voertuigen!A:C,3,FALSE)</f>
        <v>Bus</v>
      </c>
      <c r="K878" s="23" t="str">
        <f>VLOOKUP(bron[[#This Row],[voertuig]],Voertuigen!A:C,2,FALSE)</f>
        <v>Standaard</v>
      </c>
      <c r="L878" s="23">
        <f>COUNTIF(A:A,bron[[#This Row],[personeelsnr]])</f>
        <v>10</v>
      </c>
    </row>
    <row r="879" spans="1:12" hidden="1" x14ac:dyDescent="0.25">
      <c r="A879" s="20">
        <v>41874</v>
      </c>
      <c r="B879" t="str">
        <f>VLOOKUP(bron[[#This Row],[personeelsnr]],[1]Blad1!$A:$H,2,FALSE)</f>
        <v>Dobbeleire Bruno</v>
      </c>
      <c r="C879" t="str">
        <f>VLOOKUP(bron[[#This Row],[personeelsnr]],[1]Blad1!$A:$H,3,FALSE)</f>
        <v>Dobbeleire</v>
      </c>
      <c r="D879" t="str">
        <f>VLOOKUP(bron[[#This Row],[personeelsnr]],[1]Blad1!$A:$H,4,FALSE)</f>
        <v>Bruno</v>
      </c>
      <c r="E879" s="2" t="str">
        <f>VLOOKUP(bron[[#This Row],[personeelsnr]],[1]Blad1!$A:$H,8,FALSE)</f>
        <v>De Clercq Dominique</v>
      </c>
      <c r="F879" s="15">
        <v>45926</v>
      </c>
      <c r="G879" s="4" t="s">
        <v>1174</v>
      </c>
      <c r="H879" t="s">
        <v>9</v>
      </c>
      <c r="I879" s="4">
        <v>5773</v>
      </c>
      <c r="J879" s="23" t="str">
        <f>VLOOKUP(bron[[#This Row],[voertuig]],Voertuigen!A:C,3,FALSE)</f>
        <v>Bus</v>
      </c>
      <c r="K879" s="23" t="str">
        <f>VLOOKUP(bron[[#This Row],[voertuig]],Voertuigen!A:C,2,FALSE)</f>
        <v>Standaard</v>
      </c>
      <c r="L879" s="23">
        <f>COUNTIF(A:A,bron[[#This Row],[personeelsnr]])</f>
        <v>3</v>
      </c>
    </row>
    <row r="880" spans="1:12" hidden="1" x14ac:dyDescent="0.25">
      <c r="A880" s="20">
        <v>42105</v>
      </c>
      <c r="B880" t="e">
        <f>VLOOKUP(bron[[#This Row],[personeelsnr]],[1]Blad1!$A:$H,2,FALSE)</f>
        <v>#N/A</v>
      </c>
      <c r="C880" t="e">
        <f>VLOOKUP(bron[[#This Row],[personeelsnr]],[1]Blad1!$A:$H,3,FALSE)</f>
        <v>#N/A</v>
      </c>
      <c r="D880" t="e">
        <f>VLOOKUP(bron[[#This Row],[personeelsnr]],[1]Blad1!$A:$H,4,FALSE)</f>
        <v>#N/A</v>
      </c>
      <c r="E880" s="2" t="s">
        <v>221</v>
      </c>
      <c r="F880" s="15">
        <v>45926</v>
      </c>
      <c r="G880" s="4" t="s">
        <v>1175</v>
      </c>
      <c r="H880" t="s">
        <v>13</v>
      </c>
      <c r="I880" s="4">
        <v>5910</v>
      </c>
      <c r="J880" s="23" t="str">
        <f>VLOOKUP(bron[[#This Row],[voertuig]],Voertuigen!A:C,3,FALSE)</f>
        <v>Bus</v>
      </c>
      <c r="K880" s="23" t="str">
        <f>VLOOKUP(bron[[#This Row],[voertuig]],Voertuigen!A:C,2,FALSE)</f>
        <v>Standaard</v>
      </c>
      <c r="L880" s="23">
        <f>COUNTIF(A:A,bron[[#This Row],[personeelsnr]])</f>
        <v>2</v>
      </c>
    </row>
    <row r="881" spans="1:12" hidden="1" x14ac:dyDescent="0.25">
      <c r="A881" s="20">
        <v>42146</v>
      </c>
      <c r="B881" t="str">
        <f>VLOOKUP(bron[[#This Row],[personeelsnr]],[1]Blad1!$A:$H,2,FALSE)</f>
        <v>Cichonski Kamil</v>
      </c>
      <c r="C881" t="str">
        <f>VLOOKUP(bron[[#This Row],[personeelsnr]],[1]Blad1!$A:$H,3,FALSE)</f>
        <v>Cichonski</v>
      </c>
      <c r="D881" t="str">
        <f>VLOOKUP(bron[[#This Row],[personeelsnr]],[1]Blad1!$A:$H,4,FALSE)</f>
        <v>Kamil</v>
      </c>
      <c r="E881" s="2" t="str">
        <f>VLOOKUP(bron[[#This Row],[personeelsnr]],[1]Blad1!$A:$H,8,FALSE)</f>
        <v>Storm Steven</v>
      </c>
      <c r="F881" s="15">
        <v>45926</v>
      </c>
      <c r="G881" s="4" t="s">
        <v>1176</v>
      </c>
      <c r="H881" t="s">
        <v>116</v>
      </c>
      <c r="I881" s="4">
        <v>5917</v>
      </c>
      <c r="J881" s="23" t="str">
        <f>VLOOKUP(bron[[#This Row],[voertuig]],Voertuigen!A:C,3,FALSE)</f>
        <v>Bus</v>
      </c>
      <c r="K881" s="23" t="str">
        <f>VLOOKUP(bron[[#This Row],[voertuig]],Voertuigen!A:C,2,FALSE)</f>
        <v>Standaard</v>
      </c>
      <c r="L881" s="23">
        <f>COUNTIF(A:A,bron[[#This Row],[personeelsnr]])</f>
        <v>3</v>
      </c>
    </row>
    <row r="882" spans="1:12" hidden="1" x14ac:dyDescent="0.25">
      <c r="A882" s="20">
        <v>42002</v>
      </c>
      <c r="B882" t="str">
        <f>VLOOKUP(bron[[#This Row],[personeelsnr]],[1]Blad1!$A:$H,2,FALSE)</f>
        <v>Bogaert Kevin</v>
      </c>
      <c r="C882" t="str">
        <f>VLOOKUP(bron[[#This Row],[personeelsnr]],[1]Blad1!$A:$H,3,FALSE)</f>
        <v>Bogaert</v>
      </c>
      <c r="D882" t="str">
        <f>VLOOKUP(bron[[#This Row],[personeelsnr]],[1]Blad1!$A:$H,4,FALSE)</f>
        <v>Kevin</v>
      </c>
      <c r="E882" s="2" t="str">
        <f>VLOOKUP(bron[[#This Row],[personeelsnr]],[1]Blad1!$A:$H,8,FALSE)</f>
        <v>Vanhoe Els</v>
      </c>
      <c r="F882" s="15">
        <v>45926</v>
      </c>
      <c r="G882" s="4" t="s">
        <v>1177</v>
      </c>
      <c r="H882" t="s">
        <v>62</v>
      </c>
      <c r="I882" s="4">
        <v>5913</v>
      </c>
      <c r="J882" s="23" t="str">
        <f>VLOOKUP(bron[[#This Row],[voertuig]],Voertuigen!A:C,3,FALSE)</f>
        <v>Bus</v>
      </c>
      <c r="K882" s="23" t="str">
        <f>VLOOKUP(bron[[#This Row],[voertuig]],Voertuigen!A:C,2,FALSE)</f>
        <v>Standaard</v>
      </c>
      <c r="L882" s="23">
        <f>COUNTIF(A:A,bron[[#This Row],[personeelsnr]])</f>
        <v>3</v>
      </c>
    </row>
    <row r="883" spans="1:12" hidden="1" x14ac:dyDescent="0.25">
      <c r="A883" s="20">
        <v>39014</v>
      </c>
      <c r="B883" t="str">
        <f>VLOOKUP(bron[[#This Row],[personeelsnr]],[1]Blad1!$A:$H,2,FALSE)</f>
        <v>Genbrugge Kyllian</v>
      </c>
      <c r="C883" t="str">
        <f>VLOOKUP(bron[[#This Row],[personeelsnr]],[1]Blad1!$A:$H,3,FALSE)</f>
        <v>Genbrugge</v>
      </c>
      <c r="D883" t="str">
        <f>VLOOKUP(bron[[#This Row],[personeelsnr]],[1]Blad1!$A:$H,4,FALSE)</f>
        <v>Kyllian</v>
      </c>
      <c r="E883" s="2" t="str">
        <f>VLOOKUP(bron[[#This Row],[personeelsnr]],[1]Blad1!$A:$H,8,FALSE)</f>
        <v>Van Der Beken Bart</v>
      </c>
      <c r="F883" s="15">
        <v>45926</v>
      </c>
      <c r="G883" s="4" t="s">
        <v>1178</v>
      </c>
      <c r="H883" t="s">
        <v>149</v>
      </c>
      <c r="I883" s="4">
        <v>2191</v>
      </c>
      <c r="J883" s="23" t="str">
        <f>VLOOKUP(bron[[#This Row],[voertuig]],Voertuigen!A:C,3,FALSE)</f>
        <v>Bus</v>
      </c>
      <c r="K883" s="23" t="str">
        <f>VLOOKUP(bron[[#This Row],[voertuig]],Voertuigen!A:C,2,FALSE)</f>
        <v>Gelede</v>
      </c>
      <c r="L883" s="23">
        <f>COUNTIF(A:A,bron[[#This Row],[personeelsnr]])</f>
        <v>3</v>
      </c>
    </row>
    <row r="884" spans="1:12" hidden="1" x14ac:dyDescent="0.25">
      <c r="A884" s="20">
        <v>36289</v>
      </c>
      <c r="B884" t="str">
        <f>VLOOKUP(bron[[#This Row],[personeelsnr]],[1]Blad1!$A:$H,2,FALSE)</f>
        <v>Van Rentergem Steve</v>
      </c>
      <c r="C884" t="str">
        <f>VLOOKUP(bron[[#This Row],[personeelsnr]],[1]Blad1!$A:$H,3,FALSE)</f>
        <v>Van Rentergem</v>
      </c>
      <c r="D884" t="str">
        <f>VLOOKUP(bron[[#This Row],[personeelsnr]],[1]Blad1!$A:$H,4,FALSE)</f>
        <v>Steve</v>
      </c>
      <c r="E884" s="2" t="str">
        <f>VLOOKUP(bron[[#This Row],[personeelsnr]],[1]Blad1!$A:$H,8,FALSE)</f>
        <v>Vanhoe Els</v>
      </c>
      <c r="F884" s="15">
        <v>45930</v>
      </c>
      <c r="G884" s="4" t="s">
        <v>1179</v>
      </c>
      <c r="H884" t="s">
        <v>52</v>
      </c>
      <c r="I884" s="4">
        <v>550822</v>
      </c>
      <c r="J884" s="23" t="str">
        <f>VLOOKUP(bron[[#This Row],[voertuig]],Voertuigen!A:C,3,FALSE)</f>
        <v>Bus</v>
      </c>
      <c r="K884" s="23" t="str">
        <f>VLOOKUP(bron[[#This Row],[voertuig]],Voertuigen!A:C,2,FALSE)</f>
        <v>Gehuurd</v>
      </c>
      <c r="L884" s="23">
        <f>COUNTIF(A:A,bron[[#This Row],[personeelsnr]])</f>
        <v>3</v>
      </c>
    </row>
    <row r="885" spans="1:12" hidden="1" x14ac:dyDescent="0.25">
      <c r="A885" s="20">
        <v>21892</v>
      </c>
      <c r="B885" t="str">
        <f>VLOOKUP(bron[[#This Row],[personeelsnr]],[1]Blad1!$A:$H,2,FALSE)</f>
        <v>Dierick Steve</v>
      </c>
      <c r="C885" t="str">
        <f>VLOOKUP(bron[[#This Row],[personeelsnr]],[1]Blad1!$A:$H,3,FALSE)</f>
        <v>Dierick</v>
      </c>
      <c r="D885" t="str">
        <f>VLOOKUP(bron[[#This Row],[personeelsnr]],[1]Blad1!$A:$H,4,FALSE)</f>
        <v>Steve</v>
      </c>
      <c r="E885" s="2" t="str">
        <f>VLOOKUP(bron[[#This Row],[personeelsnr]],[1]Blad1!$A:$H,8,FALSE)</f>
        <v>Storm Steven</v>
      </c>
      <c r="F885" s="15">
        <v>45933</v>
      </c>
      <c r="G885" s="4" t="s">
        <v>1180</v>
      </c>
      <c r="H885" t="s">
        <v>132</v>
      </c>
      <c r="I885" s="4">
        <v>6325</v>
      </c>
      <c r="J885" s="23" t="str">
        <f>VLOOKUP(bron[[#This Row],[voertuig]],Voertuigen!A:C,3,FALSE)</f>
        <v>Tram</v>
      </c>
      <c r="K885" s="23" t="str">
        <f>VLOOKUP(bron[[#This Row],[voertuig]],Voertuigen!A:C,2,FALSE)</f>
        <v>Hermelijn</v>
      </c>
      <c r="L885" s="23">
        <f>COUNTIF(A:A,bron[[#This Row],[personeelsnr]])</f>
        <v>2</v>
      </c>
    </row>
    <row r="886" spans="1:12" hidden="1" x14ac:dyDescent="0.25">
      <c r="A886" s="20">
        <v>40058</v>
      </c>
      <c r="B886" t="str">
        <f>VLOOKUP(bron[[#This Row],[personeelsnr]],[1]Blad1!$A:$H,2,FALSE)</f>
        <v>Sögüt Can</v>
      </c>
      <c r="C886" t="str">
        <f>VLOOKUP(bron[[#This Row],[personeelsnr]],[1]Blad1!$A:$H,3,FALSE)</f>
        <v>Sögüt</v>
      </c>
      <c r="D886" t="str">
        <f>VLOOKUP(bron[[#This Row],[personeelsnr]],[1]Blad1!$A:$H,4,FALSE)</f>
        <v>Can</v>
      </c>
      <c r="E886" s="2" t="str">
        <f>VLOOKUP(bron[[#This Row],[personeelsnr]],[1]Blad1!$A:$H,8,FALSE)</f>
        <v>Rotty Christoff</v>
      </c>
      <c r="F886" s="15">
        <v>45933</v>
      </c>
      <c r="G886" s="5" t="s">
        <v>1181</v>
      </c>
      <c r="H886" t="s">
        <v>50</v>
      </c>
      <c r="I886" s="4">
        <v>5265</v>
      </c>
      <c r="J886" s="23" t="str">
        <f>VLOOKUP(bron[[#This Row],[voertuig]],Voertuigen!A:C,3,FALSE)</f>
        <v>Bus</v>
      </c>
      <c r="K886" s="23" t="str">
        <f>VLOOKUP(bron[[#This Row],[voertuig]],Voertuigen!A:C,2,FALSE)</f>
        <v>Gelede</v>
      </c>
      <c r="L886" s="23">
        <f>COUNTIF(A:A,bron[[#This Row],[personeelsnr]])</f>
        <v>3</v>
      </c>
    </row>
    <row r="887" spans="1:12" hidden="1" x14ac:dyDescent="0.25">
      <c r="A887" s="20">
        <v>42146</v>
      </c>
      <c r="B887" t="str">
        <f>VLOOKUP(bron[[#This Row],[personeelsnr]],[1]Blad1!$A:$H,2,FALSE)</f>
        <v>Cichonski Kamil</v>
      </c>
      <c r="C887" t="str">
        <f>VLOOKUP(bron[[#This Row],[personeelsnr]],[1]Blad1!$A:$H,3,FALSE)</f>
        <v>Cichonski</v>
      </c>
      <c r="D887" t="str">
        <f>VLOOKUP(bron[[#This Row],[personeelsnr]],[1]Blad1!$A:$H,4,FALSE)</f>
        <v>Kamil</v>
      </c>
      <c r="E887" s="2" t="str">
        <f>VLOOKUP(bron[[#This Row],[personeelsnr]],[1]Blad1!$A:$H,8,FALSE)</f>
        <v>Storm Steven</v>
      </c>
      <c r="F887" s="15">
        <v>45933</v>
      </c>
      <c r="G887" s="4" t="s">
        <v>1182</v>
      </c>
      <c r="H887" t="s">
        <v>19</v>
      </c>
      <c r="I887" s="4">
        <v>5486</v>
      </c>
      <c r="J887" s="23" t="str">
        <f>VLOOKUP(bron[[#This Row],[voertuig]],Voertuigen!A:C,3,FALSE)</f>
        <v>Bus</v>
      </c>
      <c r="K887" s="23" t="str">
        <f>VLOOKUP(bron[[#This Row],[voertuig]],Voertuigen!A:C,2,FALSE)</f>
        <v>Standaard</v>
      </c>
      <c r="L887" s="23">
        <f>COUNTIF(A:A,bron[[#This Row],[personeelsnr]])</f>
        <v>3</v>
      </c>
    </row>
    <row r="888" spans="1:12" hidden="1" x14ac:dyDescent="0.25">
      <c r="A888" s="20">
        <v>40055</v>
      </c>
      <c r="B888" t="str">
        <f>VLOOKUP(bron[[#This Row],[personeelsnr]],[1]Blad1!$A:$H,2,FALSE)</f>
        <v>Afara Ammar</v>
      </c>
      <c r="C888" t="str">
        <f>VLOOKUP(bron[[#This Row],[personeelsnr]],[1]Blad1!$A:$H,3,FALSE)</f>
        <v>Afara</v>
      </c>
      <c r="D888" t="str">
        <f>VLOOKUP(bron[[#This Row],[personeelsnr]],[1]Blad1!$A:$H,4,FALSE)</f>
        <v>Ammar</v>
      </c>
      <c r="E888" s="2" t="str">
        <f>VLOOKUP(bron[[#This Row],[personeelsnr]],[1]Blad1!$A:$H,8,FALSE)</f>
        <v>Vanhoe Els</v>
      </c>
      <c r="F888" s="15">
        <v>45933</v>
      </c>
      <c r="G888" s="4" t="s">
        <v>1183</v>
      </c>
      <c r="H888" t="s">
        <v>21</v>
      </c>
      <c r="I888" s="4">
        <v>5048</v>
      </c>
      <c r="J888" s="23" t="str">
        <f>VLOOKUP(bron[[#This Row],[voertuig]],Voertuigen!A:C,3,FALSE)</f>
        <v>Bus</v>
      </c>
      <c r="K888" s="23" t="str">
        <f>VLOOKUP(bron[[#This Row],[voertuig]],Voertuigen!A:C,2,FALSE)</f>
        <v>Gelede</v>
      </c>
      <c r="L888" s="23">
        <f>COUNTIF(A:A,bron[[#This Row],[personeelsnr]])</f>
        <v>2</v>
      </c>
    </row>
    <row r="889" spans="1:12" hidden="1" x14ac:dyDescent="0.25">
      <c r="A889" s="20">
        <v>29271</v>
      </c>
      <c r="B889" t="str">
        <f>VLOOKUP(bron[[#This Row],[personeelsnr]],[1]Blad1!$A:$H,2,FALSE)</f>
        <v>Maes Filip</v>
      </c>
      <c r="C889" t="str">
        <f>VLOOKUP(bron[[#This Row],[personeelsnr]],[1]Blad1!$A:$H,3,FALSE)</f>
        <v>Maes</v>
      </c>
      <c r="D889" t="str">
        <f>VLOOKUP(bron[[#This Row],[personeelsnr]],[1]Blad1!$A:$H,4,FALSE)</f>
        <v>Filip</v>
      </c>
      <c r="E889" s="2" t="str">
        <f>VLOOKUP(bron[[#This Row],[personeelsnr]],[1]Blad1!$A:$H,8,FALSE)</f>
        <v>Dewulf Els</v>
      </c>
      <c r="F889" s="15">
        <v>45933</v>
      </c>
      <c r="G889" s="4" t="s">
        <v>1184</v>
      </c>
      <c r="H889" t="s">
        <v>7</v>
      </c>
      <c r="I889" s="4">
        <v>5273</v>
      </c>
      <c r="J889" s="23" t="str">
        <f>VLOOKUP(bron[[#This Row],[voertuig]],Voertuigen!A:C,3,FALSE)</f>
        <v>Bus</v>
      </c>
      <c r="K889" s="23" t="str">
        <f>VLOOKUP(bron[[#This Row],[voertuig]],Voertuigen!A:C,2,FALSE)</f>
        <v>Gelede</v>
      </c>
      <c r="L889" s="23">
        <f>COUNTIF(A:A,bron[[#This Row],[personeelsnr]])</f>
        <v>1</v>
      </c>
    </row>
    <row r="890" spans="1:12" hidden="1" x14ac:dyDescent="0.25">
      <c r="A890" s="20">
        <v>42044</v>
      </c>
      <c r="B890" t="str">
        <f>VLOOKUP(bron[[#This Row],[personeelsnr]],[1]Blad1!$A:$H,2,FALSE)</f>
        <v>El Gana Karim</v>
      </c>
      <c r="C890" t="str">
        <f>VLOOKUP(bron[[#This Row],[personeelsnr]],[1]Blad1!$A:$H,3,FALSE)</f>
        <v>El Gana</v>
      </c>
      <c r="D890" t="str">
        <f>VLOOKUP(bron[[#This Row],[personeelsnr]],[1]Blad1!$A:$H,4,FALSE)</f>
        <v>Karim</v>
      </c>
      <c r="E890" s="2" t="str">
        <f>VLOOKUP(bron[[#This Row],[personeelsnr]],[1]Blad1!$A:$H,8,FALSE)</f>
        <v>De Clercq Dominique</v>
      </c>
      <c r="F890" s="15">
        <v>45933</v>
      </c>
      <c r="G890" s="4" t="s">
        <v>1185</v>
      </c>
      <c r="H890" t="s">
        <v>8</v>
      </c>
      <c r="I890" s="4">
        <v>5765</v>
      </c>
      <c r="J890" s="23" t="str">
        <f>VLOOKUP(bron[[#This Row],[voertuig]],Voertuigen!A:C,3,FALSE)</f>
        <v>Bus</v>
      </c>
      <c r="K890" s="23" t="str">
        <f>VLOOKUP(bron[[#This Row],[voertuig]],Voertuigen!A:C,2,FALSE)</f>
        <v>Standaard</v>
      </c>
      <c r="L890" s="23">
        <f>COUNTIF(A:A,bron[[#This Row],[personeelsnr]])</f>
        <v>1</v>
      </c>
    </row>
    <row r="891" spans="1:12" hidden="1" x14ac:dyDescent="0.25">
      <c r="A891" s="20">
        <v>28910</v>
      </c>
      <c r="B891" t="str">
        <f>VLOOKUP(bron[[#This Row],[personeelsnr]],[1]Blad1!$A:$H,2,FALSE)</f>
        <v>Gassa Osmane</v>
      </c>
      <c r="C891" t="str">
        <f>VLOOKUP(bron[[#This Row],[personeelsnr]],[1]Blad1!$A:$H,3,FALSE)</f>
        <v>Gassa</v>
      </c>
      <c r="D891" t="str">
        <f>VLOOKUP(bron[[#This Row],[personeelsnr]],[1]Blad1!$A:$H,4,FALSE)</f>
        <v>Osmane</v>
      </c>
      <c r="E891" s="2" t="str">
        <f>VLOOKUP(bron[[#This Row],[personeelsnr]],[1]Blad1!$A:$H,8,FALSE)</f>
        <v>Van Der Beken Bart</v>
      </c>
      <c r="F891" s="15">
        <v>45933</v>
      </c>
      <c r="G891" s="4" t="s">
        <v>1181</v>
      </c>
      <c r="H891" t="s">
        <v>50</v>
      </c>
      <c r="I891" s="4">
        <v>5263</v>
      </c>
      <c r="J891" s="23" t="str">
        <f>VLOOKUP(bron[[#This Row],[voertuig]],Voertuigen!A:C,3,FALSE)</f>
        <v>Bus</v>
      </c>
      <c r="K891" s="23" t="str">
        <f>VLOOKUP(bron[[#This Row],[voertuig]],Voertuigen!A:C,2,FALSE)</f>
        <v>Gelede</v>
      </c>
      <c r="L891" s="23">
        <f>COUNTIF(A:A,bron[[#This Row],[personeelsnr]])</f>
        <v>2</v>
      </c>
    </row>
    <row r="892" spans="1:12" hidden="1" x14ac:dyDescent="0.25">
      <c r="A892" s="20">
        <v>41619</v>
      </c>
      <c r="B892" t="str">
        <f>VLOOKUP(bron[[#This Row],[personeelsnr]],[1]Blad1!$A:$H,2,FALSE)</f>
        <v>Bachiri Ousama</v>
      </c>
      <c r="C892" t="str">
        <f>VLOOKUP(bron[[#This Row],[personeelsnr]],[1]Blad1!$A:$H,3,FALSE)</f>
        <v>Bachiri</v>
      </c>
      <c r="D892" t="str">
        <f>VLOOKUP(bron[[#This Row],[personeelsnr]],[1]Blad1!$A:$H,4,FALSE)</f>
        <v>Ousama</v>
      </c>
      <c r="E892" s="2" t="str">
        <f>VLOOKUP(bron[[#This Row],[personeelsnr]],[1]Blad1!$A:$H,8,FALSE)</f>
        <v>Van Der Beken Bart</v>
      </c>
      <c r="F892" s="15">
        <v>45933</v>
      </c>
      <c r="G892" s="4" t="s">
        <v>1186</v>
      </c>
      <c r="H892" t="s">
        <v>21</v>
      </c>
      <c r="I892" s="4">
        <v>5042</v>
      </c>
      <c r="J892" s="23" t="str">
        <f>VLOOKUP(bron[[#This Row],[voertuig]],Voertuigen!A:C,3,FALSE)</f>
        <v>Bus</v>
      </c>
      <c r="K892" s="23" t="str">
        <f>VLOOKUP(bron[[#This Row],[voertuig]],Voertuigen!A:C,2,FALSE)</f>
        <v>Gelede</v>
      </c>
      <c r="L892" s="23">
        <f>COUNTIF(A:A,bron[[#This Row],[personeelsnr]])</f>
        <v>4</v>
      </c>
    </row>
    <row r="893" spans="1:12" hidden="1" x14ac:dyDescent="0.25">
      <c r="A893" s="20">
        <v>32611</v>
      </c>
      <c r="B893" t="str">
        <f>VLOOKUP(bron[[#This Row],[personeelsnr]],[1]Blad1!$A:$H,2,FALSE)</f>
        <v>Özer Özgur</v>
      </c>
      <c r="C893" t="str">
        <f>VLOOKUP(bron[[#This Row],[personeelsnr]],[1]Blad1!$A:$H,3,FALSE)</f>
        <v>Özer</v>
      </c>
      <c r="D893" t="str">
        <f>VLOOKUP(bron[[#This Row],[personeelsnr]],[1]Blad1!$A:$H,4,FALSE)</f>
        <v>Özgur</v>
      </c>
      <c r="E893" s="2" t="str">
        <f>VLOOKUP(bron[[#This Row],[personeelsnr]],[1]Blad1!$A:$H,8,FALSE)</f>
        <v>De Rick Kenneth</v>
      </c>
      <c r="F893" s="15">
        <v>45934</v>
      </c>
      <c r="G893" s="4" t="s">
        <v>1187</v>
      </c>
      <c r="H893" t="s">
        <v>39</v>
      </c>
      <c r="I893" s="4">
        <v>6315</v>
      </c>
      <c r="J893" s="23" t="str">
        <f>VLOOKUP(bron[[#This Row],[voertuig]],Voertuigen!A:C,3,FALSE)</f>
        <v>Tram</v>
      </c>
      <c r="K893" s="23" t="str">
        <f>VLOOKUP(bron[[#This Row],[voertuig]],Voertuigen!A:C,2,FALSE)</f>
        <v>Hermelijn</v>
      </c>
      <c r="L893" s="23">
        <f>COUNTIF(A:A,bron[[#This Row],[personeelsnr]])</f>
        <v>3</v>
      </c>
    </row>
    <row r="894" spans="1:12" hidden="1" x14ac:dyDescent="0.25">
      <c r="A894" s="20">
        <v>41948</v>
      </c>
      <c r="B894" t="str">
        <f>VLOOKUP(bron[[#This Row],[personeelsnr]],[1]Blad1!$A:$H,2,FALSE)</f>
        <v>Vervaecke Wim</v>
      </c>
      <c r="C894" t="str">
        <f>VLOOKUP(bron[[#This Row],[personeelsnr]],[1]Blad1!$A:$H,3,FALSE)</f>
        <v>Vervaecke</v>
      </c>
      <c r="D894" t="str">
        <f>VLOOKUP(bron[[#This Row],[personeelsnr]],[1]Blad1!$A:$H,4,FALSE)</f>
        <v>Wim</v>
      </c>
      <c r="E894" s="2" t="str">
        <f>VLOOKUP(bron[[#This Row],[personeelsnr]],[1]Blad1!$A:$H,8,FALSE)</f>
        <v>Dewulf Els</v>
      </c>
      <c r="F894" s="15">
        <v>45934</v>
      </c>
      <c r="G894" s="4" t="s">
        <v>1188</v>
      </c>
      <c r="H894" t="s">
        <v>66</v>
      </c>
      <c r="I894" s="4">
        <v>2548</v>
      </c>
      <c r="J894" s="23" t="str">
        <f>VLOOKUP(bron[[#This Row],[voertuig]],Voertuigen!A:C,3,FALSE)</f>
        <v>Bus</v>
      </c>
      <c r="K894" s="23" t="str">
        <f>VLOOKUP(bron[[#This Row],[voertuig]],Voertuigen!A:C,2,FALSE)</f>
        <v>E-bus</v>
      </c>
      <c r="L894" s="23">
        <f>COUNTIF(A:A,bron[[#This Row],[personeelsnr]])</f>
        <v>3</v>
      </c>
    </row>
    <row r="895" spans="1:12" hidden="1" x14ac:dyDescent="0.25">
      <c r="A895" s="20">
        <v>38555</v>
      </c>
      <c r="B895" t="str">
        <f>VLOOKUP(bron[[#This Row],[personeelsnr]],[1]Blad1!$A:$H,2,FALSE)</f>
        <v>Almohammad Malek</v>
      </c>
      <c r="C895" t="str">
        <f>VLOOKUP(bron[[#This Row],[personeelsnr]],[1]Blad1!$A:$H,3,FALSE)</f>
        <v>Almohammad</v>
      </c>
      <c r="D895" t="str">
        <f>VLOOKUP(bron[[#This Row],[personeelsnr]],[1]Blad1!$A:$H,4,FALSE)</f>
        <v>Malek</v>
      </c>
      <c r="E895" s="2" t="str">
        <f>VLOOKUP(bron[[#This Row],[personeelsnr]],[1]Blad1!$A:$H,8,FALSE)</f>
        <v>Vanhoe Els</v>
      </c>
      <c r="F895" s="15">
        <v>45934</v>
      </c>
      <c r="G895" s="4" t="s">
        <v>1189</v>
      </c>
      <c r="H895" t="s">
        <v>85</v>
      </c>
      <c r="I895" s="4">
        <v>5044</v>
      </c>
      <c r="J895" s="23" t="str">
        <f>VLOOKUP(bron[[#This Row],[voertuig]],Voertuigen!A:C,3,FALSE)</f>
        <v>Bus</v>
      </c>
      <c r="K895" s="23" t="str">
        <f>VLOOKUP(bron[[#This Row],[voertuig]],Voertuigen!A:C,2,FALSE)</f>
        <v>Gelede</v>
      </c>
      <c r="L895" s="23">
        <f>COUNTIF(A:A,bron[[#This Row],[personeelsnr]])</f>
        <v>1</v>
      </c>
    </row>
    <row r="896" spans="1:12" hidden="1" x14ac:dyDescent="0.25">
      <c r="A896" s="20">
        <v>41520</v>
      </c>
      <c r="B896" t="str">
        <f>VLOOKUP(bron[[#This Row],[personeelsnr]],[1]Blad1!$A:$H,2,FALSE)</f>
        <v>Smets Avery</v>
      </c>
      <c r="C896" t="str">
        <f>VLOOKUP(bron[[#This Row],[personeelsnr]],[1]Blad1!$A:$H,3,FALSE)</f>
        <v>Smets</v>
      </c>
      <c r="D896" t="str">
        <f>VLOOKUP(bron[[#This Row],[personeelsnr]],[1]Blad1!$A:$H,4,FALSE)</f>
        <v>Avery</v>
      </c>
      <c r="E896" s="2" t="str">
        <f>VLOOKUP(bron[[#This Row],[personeelsnr]],[1]Blad1!$A:$H,8,FALSE)</f>
        <v>Rotty Christoff</v>
      </c>
      <c r="F896" s="15">
        <v>45934</v>
      </c>
      <c r="G896" s="4" t="s">
        <v>1190</v>
      </c>
      <c r="H896" t="s">
        <v>17</v>
      </c>
      <c r="I896" s="4">
        <v>2196</v>
      </c>
      <c r="J896" s="23" t="str">
        <f>VLOOKUP(bron[[#This Row],[voertuig]],Voertuigen!A:C,3,FALSE)</f>
        <v>Bus</v>
      </c>
      <c r="K896" s="23" t="str">
        <f>VLOOKUP(bron[[#This Row],[voertuig]],Voertuigen!A:C,2,FALSE)</f>
        <v>Gelede</v>
      </c>
      <c r="L896" s="23">
        <f>COUNTIF(A:A,bron[[#This Row],[personeelsnr]])</f>
        <v>3</v>
      </c>
    </row>
    <row r="897" spans="1:12" hidden="1" x14ac:dyDescent="0.25">
      <c r="A897" s="20">
        <v>35397</v>
      </c>
      <c r="B897" t="str">
        <f>VLOOKUP(bron[[#This Row],[personeelsnr]],[1]Blad1!$A:$H,2,FALSE)</f>
        <v>Minbari Ako</v>
      </c>
      <c r="C897" t="str">
        <f>VLOOKUP(bron[[#This Row],[personeelsnr]],[1]Blad1!$A:$H,3,FALSE)</f>
        <v>Minbari</v>
      </c>
      <c r="D897" t="str">
        <f>VLOOKUP(bron[[#This Row],[personeelsnr]],[1]Blad1!$A:$H,4,FALSE)</f>
        <v>Ako</v>
      </c>
      <c r="E897" s="2" t="str">
        <f>VLOOKUP(bron[[#This Row],[personeelsnr]],[1]Blad1!$A:$H,8,FALSE)</f>
        <v>Van De Velde Lucie</v>
      </c>
      <c r="F897" s="15">
        <v>45934</v>
      </c>
      <c r="G897" s="4" t="s">
        <v>1191</v>
      </c>
      <c r="H897" t="s">
        <v>21</v>
      </c>
      <c r="I897" s="2">
        <v>5051</v>
      </c>
      <c r="J897" s="16" t="str">
        <f>VLOOKUP(bron[[#This Row],[voertuig]],Voertuigen!A:C,3,FALSE)</f>
        <v>Bus</v>
      </c>
      <c r="K897" s="16" t="str">
        <f>VLOOKUP(bron[[#This Row],[voertuig]],Voertuigen!A:C,2,FALSE)</f>
        <v>Gelede</v>
      </c>
      <c r="L897">
        <f>COUNTIF(A:A,bron[[#This Row],[personeelsnr]])</f>
        <v>3</v>
      </c>
    </row>
    <row r="898" spans="1:12" hidden="1" x14ac:dyDescent="0.25">
      <c r="A898" s="20">
        <v>39856</v>
      </c>
      <c r="B898" t="str">
        <f>VLOOKUP(bron[[#This Row],[personeelsnr]],[1]Blad1!$A:$H,2,FALSE)</f>
        <v>Curukcu Bayram</v>
      </c>
      <c r="C898" t="str">
        <f>VLOOKUP(bron[[#This Row],[personeelsnr]],[1]Blad1!$A:$H,3,FALSE)</f>
        <v>Curukcu</v>
      </c>
      <c r="D898" t="str">
        <f>VLOOKUP(bron[[#This Row],[personeelsnr]],[1]Blad1!$A:$H,4,FALSE)</f>
        <v>Bayram</v>
      </c>
      <c r="E898" s="2" t="str">
        <f>VLOOKUP(bron[[#This Row],[personeelsnr]],[1]Blad1!$A:$H,8,FALSE)</f>
        <v>De Rick Kenneth</v>
      </c>
      <c r="F898" s="15">
        <v>45936</v>
      </c>
      <c r="G898" s="4" t="s">
        <v>1192</v>
      </c>
      <c r="H898" t="s">
        <v>12</v>
      </c>
      <c r="I898" s="4">
        <v>5052</v>
      </c>
      <c r="J898" s="23" t="str">
        <f>VLOOKUP(bron[[#This Row],[voertuig]],Voertuigen!A:C,3,FALSE)</f>
        <v>Bus</v>
      </c>
      <c r="K898" s="23" t="str">
        <f>VLOOKUP(bron[[#This Row],[voertuig]],Voertuigen!A:C,2,FALSE)</f>
        <v>Gelede</v>
      </c>
      <c r="L898" s="23">
        <f>COUNTIF(A:A,bron[[#This Row],[personeelsnr]])</f>
        <v>2</v>
      </c>
    </row>
    <row r="899" spans="1:12" hidden="1" x14ac:dyDescent="0.25">
      <c r="A899" s="20">
        <v>41871</v>
      </c>
      <c r="B899" t="str">
        <f>VLOOKUP(bron[[#This Row],[personeelsnr]],[1]Blad1!$A:$H,2,FALSE)</f>
        <v>Karanfil Ibrahim</v>
      </c>
      <c r="C899" t="str">
        <f>VLOOKUP(bron[[#This Row],[personeelsnr]],[1]Blad1!$A:$H,3,FALSE)</f>
        <v>Karanfil</v>
      </c>
      <c r="D899" t="str">
        <f>VLOOKUP(bron[[#This Row],[personeelsnr]],[1]Blad1!$A:$H,4,FALSE)</f>
        <v>Ibrahim</v>
      </c>
      <c r="E899" s="2" t="str">
        <f>VLOOKUP(bron[[#This Row],[personeelsnr]],[1]Blad1!$A:$H,8,FALSE)</f>
        <v>De Clercq Dominique</v>
      </c>
      <c r="F899" s="15">
        <v>45936</v>
      </c>
      <c r="G899" s="4" t="s">
        <v>1193</v>
      </c>
      <c r="H899" t="s">
        <v>19</v>
      </c>
      <c r="I899" s="4">
        <v>5487</v>
      </c>
      <c r="J899" s="23" t="str">
        <f>VLOOKUP(bron[[#This Row],[voertuig]],Voertuigen!A:C,3,FALSE)</f>
        <v>Bus</v>
      </c>
      <c r="K899" s="23" t="str">
        <f>VLOOKUP(bron[[#This Row],[voertuig]],Voertuigen!A:C,2,FALSE)</f>
        <v>Standaard</v>
      </c>
      <c r="L899" s="23">
        <f>COUNTIF(A:A,bron[[#This Row],[personeelsnr]])</f>
        <v>2</v>
      </c>
    </row>
    <row r="900" spans="1:12" hidden="1" x14ac:dyDescent="0.25">
      <c r="A900" s="20">
        <v>42015</v>
      </c>
      <c r="B900" t="str">
        <f>VLOOKUP(bron[[#This Row],[personeelsnr]],[1]Blad1!$A:$H,2,FALSE)</f>
        <v>Crop Alexander</v>
      </c>
      <c r="C900" t="str">
        <f>VLOOKUP(bron[[#This Row],[personeelsnr]],[1]Blad1!$A:$H,3,FALSE)</f>
        <v>Crop</v>
      </c>
      <c r="D900" t="str">
        <f>VLOOKUP(bron[[#This Row],[personeelsnr]],[1]Blad1!$A:$H,4,FALSE)</f>
        <v>Alexander</v>
      </c>
      <c r="E900" s="2" t="str">
        <f>VLOOKUP(bron[[#This Row],[personeelsnr]],[1]Blad1!$A:$H,8,FALSE)</f>
        <v>Vanhoe Els</v>
      </c>
      <c r="F900" s="15">
        <v>45938</v>
      </c>
      <c r="G900" s="4" t="s">
        <v>1194</v>
      </c>
      <c r="H900" t="s">
        <v>27</v>
      </c>
      <c r="I900" s="4">
        <v>5771</v>
      </c>
      <c r="J900" s="23" t="str">
        <f>VLOOKUP(bron[[#This Row],[voertuig]],Voertuigen!A:C,3,FALSE)</f>
        <v>Bus</v>
      </c>
      <c r="K900" s="23" t="str">
        <f>VLOOKUP(bron[[#This Row],[voertuig]],Voertuigen!A:C,2,FALSE)</f>
        <v>Standaard</v>
      </c>
      <c r="L900" s="23">
        <f>COUNTIF(A:A,bron[[#This Row],[personeelsnr]])</f>
        <v>1</v>
      </c>
    </row>
    <row r="901" spans="1:12" hidden="1" x14ac:dyDescent="0.25">
      <c r="A901" s="20">
        <v>12024</v>
      </c>
      <c r="B901" t="str">
        <f>VLOOKUP(bron[[#This Row],[personeelsnr]],[1]Blad1!$A:$H,2,FALSE)</f>
        <v>De Cooman Kurt</v>
      </c>
      <c r="C901" t="str">
        <f>VLOOKUP(bron[[#This Row],[personeelsnr]],[1]Blad1!$A:$H,3,FALSE)</f>
        <v>De Cooman</v>
      </c>
      <c r="D901" t="str">
        <f>VLOOKUP(bron[[#This Row],[personeelsnr]],[1]Blad1!$A:$H,4,FALSE)</f>
        <v>Kurt</v>
      </c>
      <c r="E901" s="2" t="str">
        <f>VLOOKUP(bron[[#This Row],[personeelsnr]],[1]Blad1!$A:$H,8,FALSE)</f>
        <v>Van De Velde Lucie</v>
      </c>
      <c r="F901" s="15">
        <v>45938</v>
      </c>
      <c r="G901" s="4" t="s">
        <v>1195</v>
      </c>
      <c r="H901" t="s">
        <v>177</v>
      </c>
      <c r="I901" s="4">
        <v>5328</v>
      </c>
      <c r="J901" s="23" t="str">
        <f>VLOOKUP(bron[[#This Row],[voertuig]],Voertuigen!A:C,3,FALSE)</f>
        <v>Bus</v>
      </c>
      <c r="K901" s="23" t="str">
        <f>VLOOKUP(bron[[#This Row],[voertuig]],Voertuigen!A:C,2,FALSE)</f>
        <v>Gelede</v>
      </c>
      <c r="L901" s="23">
        <f>COUNTIF(A:A,bron[[#This Row],[personeelsnr]])</f>
        <v>1</v>
      </c>
    </row>
    <row r="902" spans="1:12" hidden="1" x14ac:dyDescent="0.25">
      <c r="A902" s="20">
        <v>41482</v>
      </c>
      <c r="B902" t="str">
        <f>VLOOKUP(bron[[#This Row],[personeelsnr]],[1]Blad1!$A:$H,2,FALSE)</f>
        <v>Özdemir Osman</v>
      </c>
      <c r="C902" t="str">
        <f>VLOOKUP(bron[[#This Row],[personeelsnr]],[1]Blad1!$A:$H,3,FALSE)</f>
        <v>Özdemir</v>
      </c>
      <c r="D902" t="str">
        <f>VLOOKUP(bron[[#This Row],[personeelsnr]],[1]Blad1!$A:$H,4,FALSE)</f>
        <v>Osman</v>
      </c>
      <c r="E902" s="2" t="str">
        <f>VLOOKUP(bron[[#This Row],[personeelsnr]],[1]Blad1!$A:$H,8,FALSE)</f>
        <v>Van Der Beken Bart</v>
      </c>
      <c r="F902" s="15">
        <v>45938</v>
      </c>
      <c r="G902" s="12" t="s">
        <v>1196</v>
      </c>
      <c r="H902" t="s">
        <v>58</v>
      </c>
      <c r="I902" s="4">
        <v>2189</v>
      </c>
      <c r="J902" s="23" t="str">
        <f>VLOOKUP(bron[[#This Row],[voertuig]],Voertuigen!A:C,3,FALSE)</f>
        <v>Bus</v>
      </c>
      <c r="K902" s="23" t="str">
        <f>VLOOKUP(bron[[#This Row],[voertuig]],Voertuigen!A:C,2,FALSE)</f>
        <v>Gelede</v>
      </c>
      <c r="L902" s="23">
        <f>COUNTIF(A:A,bron[[#This Row],[personeelsnr]])</f>
        <v>3</v>
      </c>
    </row>
    <row r="903" spans="1:12" hidden="1" x14ac:dyDescent="0.25">
      <c r="A903" s="20">
        <v>30623</v>
      </c>
      <c r="B903" t="str">
        <f>VLOOKUP(bron[[#This Row],[personeelsnr]],[1]Blad1!$A:$H,2,FALSE)</f>
        <v>Gassa Mustafa</v>
      </c>
      <c r="C903" t="str">
        <f>VLOOKUP(bron[[#This Row],[personeelsnr]],[1]Blad1!$A:$H,3,FALSE)</f>
        <v>Gassa</v>
      </c>
      <c r="D903" t="str">
        <f>VLOOKUP(bron[[#This Row],[personeelsnr]],[1]Blad1!$A:$H,4,FALSE)</f>
        <v>Mustafa</v>
      </c>
      <c r="E903" s="2" t="str">
        <f>VLOOKUP(bron[[#This Row],[personeelsnr]],[1]Blad1!$A:$H,8,FALSE)</f>
        <v>De Rick Kenneth</v>
      </c>
      <c r="F903" s="15">
        <v>45938</v>
      </c>
      <c r="G903" s="4" t="s">
        <v>1197</v>
      </c>
      <c r="H903" t="s">
        <v>170</v>
      </c>
      <c r="I903" s="4">
        <v>5770</v>
      </c>
      <c r="J903" s="23" t="str">
        <f>VLOOKUP(bron[[#This Row],[voertuig]],Voertuigen!A:C,3,FALSE)</f>
        <v>Bus</v>
      </c>
      <c r="K903" s="23" t="str">
        <f>VLOOKUP(bron[[#This Row],[voertuig]],Voertuigen!A:C,2,FALSE)</f>
        <v>Standaard</v>
      </c>
      <c r="L903" s="23">
        <f>COUNTIF(A:A,bron[[#This Row],[personeelsnr]])</f>
        <v>2</v>
      </c>
    </row>
    <row r="904" spans="1:12" hidden="1" x14ac:dyDescent="0.25">
      <c r="A904" s="24">
        <v>40138</v>
      </c>
      <c r="B904" t="str">
        <f>VLOOKUP(bron[[#This Row],[personeelsnr]],[1]Blad1!$A:$H,2,FALSE)</f>
        <v>Moerman Tjimmy</v>
      </c>
      <c r="C904" t="str">
        <f>VLOOKUP(bron[[#This Row],[personeelsnr]],[1]Blad1!$A:$H,3,FALSE)</f>
        <v>Moerman</v>
      </c>
      <c r="D904" t="str">
        <f>VLOOKUP(bron[[#This Row],[personeelsnr]],[1]Blad1!$A:$H,4,FALSE)</f>
        <v>Tjimmy</v>
      </c>
      <c r="E904" s="2" t="str">
        <f>VLOOKUP(bron[[#This Row],[personeelsnr]],[1]Blad1!$A:$H,8,FALSE)</f>
        <v>Rotty Christoff</v>
      </c>
      <c r="F904" s="26">
        <v>45939</v>
      </c>
      <c r="G904" s="27" t="s">
        <v>1198</v>
      </c>
      <c r="H904" s="25" t="s">
        <v>79</v>
      </c>
      <c r="I904" s="27">
        <v>5041</v>
      </c>
      <c r="J904" s="28" t="str">
        <f>VLOOKUP(bron[[#This Row],[voertuig]],Voertuigen!A:C,3,FALSE)</f>
        <v>Bus</v>
      </c>
      <c r="K904" s="28" t="str">
        <f>VLOOKUP(bron[[#This Row],[voertuig]],Voertuigen!A:C,2,FALSE)</f>
        <v>Gelede</v>
      </c>
      <c r="L904" s="28">
        <f>COUNTIF(A:A,bron[[#This Row],[personeelsnr]])</f>
        <v>10</v>
      </c>
    </row>
    <row r="905" spans="1:12" hidden="1" x14ac:dyDescent="0.25">
      <c r="A905" s="24">
        <v>39929</v>
      </c>
      <c r="B905" t="str">
        <f>VLOOKUP(bron[[#This Row],[personeelsnr]],[1]Blad1!$A:$H,2,FALSE)</f>
        <v>Staneva Mariyana</v>
      </c>
      <c r="C905" t="str">
        <f>VLOOKUP(bron[[#This Row],[personeelsnr]],[1]Blad1!$A:$H,3,FALSE)</f>
        <v>Staneva</v>
      </c>
      <c r="D905" t="str">
        <f>VLOOKUP(bron[[#This Row],[personeelsnr]],[1]Blad1!$A:$H,4,FALSE)</f>
        <v>Mariyana</v>
      </c>
      <c r="E905" s="2" t="str">
        <f>VLOOKUP(bron[[#This Row],[personeelsnr]],[1]Blad1!$A:$H,8,FALSE)</f>
        <v>Rotty Christoff</v>
      </c>
      <c r="F905" s="26">
        <v>45940</v>
      </c>
      <c r="G905" s="27" t="s">
        <v>1199</v>
      </c>
      <c r="H905" s="25" t="s">
        <v>11</v>
      </c>
      <c r="I905" s="27">
        <v>2195</v>
      </c>
      <c r="J905" s="28" t="str">
        <f>VLOOKUP(bron[[#This Row],[voertuig]],Voertuigen!A:C,3,FALSE)</f>
        <v>Bus</v>
      </c>
      <c r="K905" s="28" t="str">
        <f>VLOOKUP(bron[[#This Row],[voertuig]],Voertuigen!A:C,2,FALSE)</f>
        <v>Gelede</v>
      </c>
      <c r="L905" s="28">
        <f>COUNTIF(A:A,bron[[#This Row],[personeelsnr]])</f>
        <v>9</v>
      </c>
    </row>
    <row r="906" spans="1:12" hidden="1" x14ac:dyDescent="0.25">
      <c r="A906" s="20">
        <v>20542</v>
      </c>
      <c r="B906" t="str">
        <f>VLOOKUP(bron[[#This Row],[personeelsnr]],[1]Blad1!$A:$H,2,FALSE)</f>
        <v>Kizilmese Emra</v>
      </c>
      <c r="C906" t="str">
        <f>VLOOKUP(bron[[#This Row],[personeelsnr]],[1]Blad1!$A:$H,3,FALSE)</f>
        <v>Kizilmese</v>
      </c>
      <c r="D906" t="str">
        <f>VLOOKUP(bron[[#This Row],[personeelsnr]],[1]Blad1!$A:$H,4,FALSE)</f>
        <v>Emra</v>
      </c>
      <c r="E906" s="2" t="str">
        <f>VLOOKUP(bron[[#This Row],[personeelsnr]],[1]Blad1!$A:$H,8,FALSE)</f>
        <v>Dewulf Els</v>
      </c>
      <c r="F906" s="15">
        <v>45940</v>
      </c>
      <c r="G906" s="4" t="s">
        <v>1200</v>
      </c>
      <c r="H906" t="s">
        <v>12</v>
      </c>
      <c r="I906" s="4">
        <v>5235</v>
      </c>
      <c r="J906" s="23" t="str">
        <f>VLOOKUP(bron[[#This Row],[voertuig]],Voertuigen!A:C,3,FALSE)</f>
        <v>Bus</v>
      </c>
      <c r="K906" s="23" t="str">
        <f>VLOOKUP(bron[[#This Row],[voertuig]],Voertuigen!A:C,2,FALSE)</f>
        <v>Gelede</v>
      </c>
      <c r="L906" s="23">
        <f>COUNTIF(A:A,bron[[#This Row],[personeelsnr]])</f>
        <v>1</v>
      </c>
    </row>
    <row r="907" spans="1:12" hidden="1" x14ac:dyDescent="0.25">
      <c r="A907" s="20">
        <v>35430</v>
      </c>
      <c r="B907" t="str">
        <f>VLOOKUP(bron[[#This Row],[personeelsnr]],[1]Blad1!$A:$H,2,FALSE)</f>
        <v>Vlaminck Dirk</v>
      </c>
      <c r="C907" t="str">
        <f>VLOOKUP(bron[[#This Row],[personeelsnr]],[1]Blad1!$A:$H,3,FALSE)</f>
        <v>Vlaminck</v>
      </c>
      <c r="D907" t="str">
        <f>VLOOKUP(bron[[#This Row],[personeelsnr]],[1]Blad1!$A:$H,4,FALSE)</f>
        <v>Dirk</v>
      </c>
      <c r="E907" s="2" t="str">
        <f>VLOOKUP(bron[[#This Row],[personeelsnr]],[1]Blad1!$A:$H,8,FALSE)</f>
        <v>Vanhoe Els</v>
      </c>
      <c r="F907" s="15">
        <v>45941</v>
      </c>
      <c r="G907" s="4" t="s">
        <v>1201</v>
      </c>
      <c r="H907" t="s">
        <v>85</v>
      </c>
      <c r="I907" s="4">
        <v>5237</v>
      </c>
      <c r="J907" s="23" t="str">
        <f>VLOOKUP(bron[[#This Row],[voertuig]],Voertuigen!A:C,3,FALSE)</f>
        <v>Bus</v>
      </c>
      <c r="K907" s="23" t="str">
        <f>VLOOKUP(bron[[#This Row],[voertuig]],Voertuigen!A:C,2,FALSE)</f>
        <v>Gelede</v>
      </c>
      <c r="L907" s="23">
        <f>COUNTIF(A:A,bron[[#This Row],[personeelsnr]])</f>
        <v>2</v>
      </c>
    </row>
    <row r="908" spans="1:12" hidden="1" x14ac:dyDescent="0.25">
      <c r="A908" s="20">
        <v>15219</v>
      </c>
      <c r="B908" t="str">
        <f>VLOOKUP(bron[[#This Row],[personeelsnr]],[1]Blad1!$A:$H,2,FALSE)</f>
        <v>De Mey Peter</v>
      </c>
      <c r="C908" t="str">
        <f>VLOOKUP(bron[[#This Row],[personeelsnr]],[1]Blad1!$A:$H,3,FALSE)</f>
        <v>De Mey</v>
      </c>
      <c r="D908" t="str">
        <f>VLOOKUP(bron[[#This Row],[personeelsnr]],[1]Blad1!$A:$H,4,FALSE)</f>
        <v>Peter</v>
      </c>
      <c r="E908" s="2" t="str">
        <f>VLOOKUP(bron[[#This Row],[personeelsnr]],[1]Blad1!$A:$H,8,FALSE)</f>
        <v>Van Der Beken Bart</v>
      </c>
      <c r="F908" s="15">
        <v>45942</v>
      </c>
      <c r="G908" s="4" t="s">
        <v>1202</v>
      </c>
      <c r="H908" t="s">
        <v>76</v>
      </c>
      <c r="I908" s="4">
        <v>6362</v>
      </c>
      <c r="J908" s="23" t="str">
        <f>VLOOKUP(bron[[#This Row],[voertuig]],Voertuigen!A:C,3,FALSE)</f>
        <v>Tram</v>
      </c>
      <c r="K908" s="23" t="str">
        <f>VLOOKUP(bron[[#This Row],[voertuig]],Voertuigen!A:C,2,FALSE)</f>
        <v>Flexity</v>
      </c>
      <c r="L908" s="23">
        <f>COUNTIF(A:A,bron[[#This Row],[personeelsnr]])</f>
        <v>1</v>
      </c>
    </row>
    <row r="909" spans="1:12" hidden="1" x14ac:dyDescent="0.25">
      <c r="A909" s="20">
        <v>16275</v>
      </c>
      <c r="B909" t="str">
        <f>VLOOKUP(bron[[#This Row],[personeelsnr]],[1]Blad1!$A:$H,2,FALSE)</f>
        <v>Devriendt Patrick</v>
      </c>
      <c r="C909" t="str">
        <f>VLOOKUP(bron[[#This Row],[personeelsnr]],[1]Blad1!$A:$H,3,FALSE)</f>
        <v>Devriendt</v>
      </c>
      <c r="D909" t="str">
        <f>VLOOKUP(bron[[#This Row],[personeelsnr]],[1]Blad1!$A:$H,4,FALSE)</f>
        <v>Patrick</v>
      </c>
      <c r="E909" s="2" t="str">
        <f>VLOOKUP(bron[[#This Row],[personeelsnr]],[1]Blad1!$A:$H,8,FALSE)</f>
        <v>Dewulf Els</v>
      </c>
      <c r="F909" s="15">
        <v>45943</v>
      </c>
      <c r="G909" s="4" t="s">
        <v>1203</v>
      </c>
      <c r="H909" t="s">
        <v>7</v>
      </c>
      <c r="I909" s="4">
        <v>6329</v>
      </c>
      <c r="J909" s="23" t="str">
        <f>VLOOKUP(bron[[#This Row],[voertuig]],Voertuigen!A:C,3,FALSE)</f>
        <v>Tram</v>
      </c>
      <c r="K909" s="23" t="str">
        <f>VLOOKUP(bron[[#This Row],[voertuig]],Voertuigen!A:C,2,FALSE)</f>
        <v>Hermelijn</v>
      </c>
      <c r="L909" s="23">
        <f>COUNTIF(A:A,bron[[#This Row],[personeelsnr]])</f>
        <v>1</v>
      </c>
    </row>
    <row r="910" spans="1:12" hidden="1" x14ac:dyDescent="0.25">
      <c r="A910" s="20">
        <v>38633</v>
      </c>
      <c r="B910" t="str">
        <f>VLOOKUP(bron[[#This Row],[personeelsnr]],[1]Blad1!$A:$H,2,FALSE)</f>
        <v>Stomphorst Mattanja</v>
      </c>
      <c r="C910" t="str">
        <f>VLOOKUP(bron[[#This Row],[personeelsnr]],[1]Blad1!$A:$H,3,FALSE)</f>
        <v>Stomphorst</v>
      </c>
      <c r="D910" t="str">
        <f>VLOOKUP(bron[[#This Row],[personeelsnr]],[1]Blad1!$A:$H,4,FALSE)</f>
        <v>Mattanja</v>
      </c>
      <c r="E910" s="2" t="str">
        <f>VLOOKUP(bron[[#This Row],[personeelsnr]],[1]Blad1!$A:$H,8,FALSE)</f>
        <v>Dewulf Els</v>
      </c>
      <c r="F910" s="15">
        <v>45943</v>
      </c>
      <c r="G910" s="4" t="s">
        <v>1204</v>
      </c>
      <c r="H910" t="s">
        <v>32</v>
      </c>
      <c r="I910" s="4">
        <v>5047</v>
      </c>
      <c r="J910" s="23" t="str">
        <f>VLOOKUP(bron[[#This Row],[voertuig]],Voertuigen!A:C,3,FALSE)</f>
        <v>Bus</v>
      </c>
      <c r="K910" s="23" t="str">
        <f>VLOOKUP(bron[[#This Row],[voertuig]],Voertuigen!A:C,2,FALSE)</f>
        <v>Gelede</v>
      </c>
      <c r="L910" s="23">
        <f>COUNTIF(A:A,bron[[#This Row],[personeelsnr]])</f>
        <v>4</v>
      </c>
    </row>
    <row r="911" spans="1:12" hidden="1" x14ac:dyDescent="0.25">
      <c r="A911" s="20">
        <v>35588</v>
      </c>
      <c r="B911" t="str">
        <f>VLOOKUP(bron[[#This Row],[personeelsnr]],[1]Blad1!$A:$H,2,FALSE)</f>
        <v>Smesman Glenn</v>
      </c>
      <c r="C911" t="str">
        <f>VLOOKUP(bron[[#This Row],[personeelsnr]],[1]Blad1!$A:$H,3,FALSE)</f>
        <v>Smesman</v>
      </c>
      <c r="D911" t="str">
        <f>VLOOKUP(bron[[#This Row],[personeelsnr]],[1]Blad1!$A:$H,4,FALSE)</f>
        <v>Glenn</v>
      </c>
      <c r="E911" s="2" t="str">
        <f>VLOOKUP(bron[[#This Row],[personeelsnr]],[1]Blad1!$A:$H,8,FALSE)</f>
        <v>Van De Velde Lucie</v>
      </c>
      <c r="F911" s="15">
        <v>45943</v>
      </c>
      <c r="G911" s="4" t="s">
        <v>1205</v>
      </c>
      <c r="H911" t="s">
        <v>114</v>
      </c>
      <c r="I911" s="4">
        <v>5772</v>
      </c>
      <c r="J911" s="23" t="str">
        <f>VLOOKUP(bron[[#This Row],[voertuig]],Voertuigen!A:C,3,FALSE)</f>
        <v>Bus</v>
      </c>
      <c r="K911" s="23" t="str">
        <f>VLOOKUP(bron[[#This Row],[voertuig]],Voertuigen!A:C,2,FALSE)</f>
        <v>Standaard</v>
      </c>
      <c r="L911" s="23">
        <f>COUNTIF(A:A,bron[[#This Row],[personeelsnr]])</f>
        <v>3</v>
      </c>
    </row>
    <row r="912" spans="1:12" hidden="1" x14ac:dyDescent="0.25">
      <c r="A912" s="20">
        <v>41588</v>
      </c>
      <c r="B912" t="str">
        <f>VLOOKUP(bron[[#This Row],[personeelsnr]],[1]Blad1!$A:$H,2,FALSE)</f>
        <v>Naessens Yves</v>
      </c>
      <c r="C912" t="str">
        <f>VLOOKUP(bron[[#This Row],[personeelsnr]],[1]Blad1!$A:$H,3,FALSE)</f>
        <v>Naessens</v>
      </c>
      <c r="D912" t="str">
        <f>VLOOKUP(bron[[#This Row],[personeelsnr]],[1]Blad1!$A:$H,4,FALSE)</f>
        <v>Yves</v>
      </c>
      <c r="E912" s="2" t="str">
        <f>VLOOKUP(bron[[#This Row],[personeelsnr]],[1]Blad1!$A:$H,8,FALSE)</f>
        <v>De Rick Kenneth</v>
      </c>
      <c r="F912" s="15">
        <v>45944</v>
      </c>
      <c r="G912" s="4" t="s">
        <v>1206</v>
      </c>
      <c r="H912" t="s">
        <v>9</v>
      </c>
      <c r="I912" s="4">
        <v>2196</v>
      </c>
      <c r="J912" s="23" t="str">
        <f>VLOOKUP(bron[[#This Row],[voertuig]],Voertuigen!A:C,3,FALSE)</f>
        <v>Bus</v>
      </c>
      <c r="K912" s="23" t="str">
        <f>VLOOKUP(bron[[#This Row],[voertuig]],Voertuigen!A:C,2,FALSE)</f>
        <v>Gelede</v>
      </c>
      <c r="L912" s="23">
        <f>COUNTIF(A:A,bron[[#This Row],[personeelsnr]])</f>
        <v>3</v>
      </c>
    </row>
    <row r="913" spans="1:12" hidden="1" x14ac:dyDescent="0.25">
      <c r="A913" s="20">
        <v>39928</v>
      </c>
      <c r="B913" t="str">
        <f>VLOOKUP(bron[[#This Row],[personeelsnr]],[1]Blad1!$A:$H,2,FALSE)</f>
        <v>Momand Abdullah</v>
      </c>
      <c r="C913" t="str">
        <f>VLOOKUP(bron[[#This Row],[personeelsnr]],[1]Blad1!$A:$H,3,FALSE)</f>
        <v>Momand</v>
      </c>
      <c r="D913" t="str">
        <f>VLOOKUP(bron[[#This Row],[personeelsnr]],[1]Blad1!$A:$H,4,FALSE)</f>
        <v>Abdullah</v>
      </c>
      <c r="E913" s="2" t="str">
        <f>VLOOKUP(bron[[#This Row],[personeelsnr]],[1]Blad1!$A:$H,8,FALSE)</f>
        <v>Van Der Beken Bart</v>
      </c>
      <c r="F913" s="15">
        <v>45944</v>
      </c>
      <c r="G913" s="4" t="s">
        <v>1207</v>
      </c>
      <c r="H913" t="s">
        <v>70</v>
      </c>
      <c r="I913" s="4">
        <v>5934</v>
      </c>
      <c r="J913" s="23" t="str">
        <f>VLOOKUP(bron[[#This Row],[voertuig]],Voertuigen!A:C,3,FALSE)</f>
        <v>Bus</v>
      </c>
      <c r="K913" s="23" t="str">
        <f>VLOOKUP(bron[[#This Row],[voertuig]],Voertuigen!A:C,2,FALSE)</f>
        <v>Standaard</v>
      </c>
      <c r="L913" s="23">
        <f>COUNTIF(A:A,bron[[#This Row],[personeelsnr]])</f>
        <v>2</v>
      </c>
    </row>
    <row r="914" spans="1:12" hidden="1" x14ac:dyDescent="0.25">
      <c r="A914" s="24">
        <v>42252</v>
      </c>
      <c r="B914" t="str">
        <f>VLOOKUP(bron[[#This Row],[personeelsnr]],[1]Blad1!$A:$H,2,FALSE)</f>
        <v>Sular Abdullah</v>
      </c>
      <c r="C914" t="str">
        <f>VLOOKUP(bron[[#This Row],[personeelsnr]],[1]Blad1!$A:$H,3,FALSE)</f>
        <v>Sular</v>
      </c>
      <c r="D914" t="str">
        <f>VLOOKUP(bron[[#This Row],[personeelsnr]],[1]Blad1!$A:$H,4,FALSE)</f>
        <v>Abdullah</v>
      </c>
      <c r="E914" s="2" t="str">
        <f>VLOOKUP(bron[[#This Row],[personeelsnr]],[1]Blad1!$A:$H,8,FALSE)</f>
        <v>Rotty Christoff</v>
      </c>
      <c r="F914" s="26">
        <v>45945</v>
      </c>
      <c r="G914" s="27" t="s">
        <v>1208</v>
      </c>
      <c r="H914" s="25" t="s">
        <v>48</v>
      </c>
      <c r="I914" s="27">
        <v>5910</v>
      </c>
      <c r="J914" s="28" t="str">
        <f>VLOOKUP(bron[[#This Row],[voertuig]],Voertuigen!A:C,3,FALSE)</f>
        <v>Bus</v>
      </c>
      <c r="K914" s="28" t="str">
        <f>VLOOKUP(bron[[#This Row],[voertuig]],Voertuigen!A:C,2,FALSE)</f>
        <v>Standaard</v>
      </c>
      <c r="L914" s="28">
        <f>COUNTIF(A:A,bron[[#This Row],[personeelsnr]])</f>
        <v>5</v>
      </c>
    </row>
    <row r="915" spans="1:12" hidden="1" x14ac:dyDescent="0.25">
      <c r="A915" s="20">
        <v>20543</v>
      </c>
      <c r="B915" t="str">
        <f>VLOOKUP(bron[[#This Row],[personeelsnr]],[1]Blad1!$A:$H,2,FALSE)</f>
        <v>Pekdemir Ilkmur</v>
      </c>
      <c r="C915" t="str">
        <f>VLOOKUP(bron[[#This Row],[personeelsnr]],[1]Blad1!$A:$H,3,FALSE)</f>
        <v>Pekdemir</v>
      </c>
      <c r="D915" t="str">
        <f>VLOOKUP(bron[[#This Row],[personeelsnr]],[1]Blad1!$A:$H,4,FALSE)</f>
        <v>Ilkmur</v>
      </c>
      <c r="E915" s="2" t="str">
        <f>VLOOKUP(bron[[#This Row],[personeelsnr]],[1]Blad1!$A:$H,8,FALSE)</f>
        <v>De Rick Kenneth</v>
      </c>
      <c r="F915" s="15">
        <v>45947</v>
      </c>
      <c r="G915" s="4" t="s">
        <v>1209</v>
      </c>
      <c r="H915" t="s">
        <v>54</v>
      </c>
      <c r="I915" s="4">
        <v>6314</v>
      </c>
      <c r="J915" s="23" t="str">
        <f>VLOOKUP(bron[[#This Row],[voertuig]],Voertuigen!A:C,3,FALSE)</f>
        <v>Tram</v>
      </c>
      <c r="K915" s="23" t="str">
        <f>VLOOKUP(bron[[#This Row],[voertuig]],Voertuigen!A:C,2,FALSE)</f>
        <v>Hermelijn</v>
      </c>
      <c r="L915" s="23">
        <f>COUNTIF(A:A,bron[[#This Row],[personeelsnr]])</f>
        <v>1</v>
      </c>
    </row>
    <row r="916" spans="1:12" hidden="1" x14ac:dyDescent="0.25">
      <c r="A916" s="20">
        <v>42252</v>
      </c>
      <c r="B916" t="str">
        <f>VLOOKUP(bron[[#This Row],[personeelsnr]],[1]Blad1!$A:$H,2,FALSE)</f>
        <v>Sular Abdullah</v>
      </c>
      <c r="C916" t="str">
        <f>VLOOKUP(bron[[#This Row],[personeelsnr]],[1]Blad1!$A:$H,3,FALSE)</f>
        <v>Sular</v>
      </c>
      <c r="D916" t="str">
        <f>VLOOKUP(bron[[#This Row],[personeelsnr]],[1]Blad1!$A:$H,4,FALSE)</f>
        <v>Abdullah</v>
      </c>
      <c r="E916" s="2" t="str">
        <f>VLOOKUP(bron[[#This Row],[personeelsnr]],[1]Blad1!$A:$H,8,FALSE)</f>
        <v>Rotty Christoff</v>
      </c>
      <c r="F916" s="15">
        <v>45947</v>
      </c>
      <c r="G916" s="4" t="s">
        <v>1210</v>
      </c>
      <c r="H916" t="s">
        <v>59</v>
      </c>
      <c r="I916" s="4">
        <v>5927</v>
      </c>
      <c r="J916" s="23" t="str">
        <f>VLOOKUP(bron[[#This Row],[voertuig]],Voertuigen!A:C,3,FALSE)</f>
        <v>Bus</v>
      </c>
      <c r="K916" s="23" t="str">
        <f>VLOOKUP(bron[[#This Row],[voertuig]],Voertuigen!A:C,2,FALSE)</f>
        <v>Standaard</v>
      </c>
      <c r="L916" s="23">
        <f>COUNTIF(A:A,bron[[#This Row],[personeelsnr]])</f>
        <v>5</v>
      </c>
    </row>
    <row r="917" spans="1:12" hidden="1" x14ac:dyDescent="0.25">
      <c r="A917" s="20">
        <v>41870</v>
      </c>
      <c r="B917" t="str">
        <f>VLOOKUP(bron[[#This Row],[personeelsnr]],[1]Blad1!$A:$H,2,FALSE)</f>
        <v>Goossens Yannick</v>
      </c>
      <c r="C917" t="str">
        <f>VLOOKUP(bron[[#This Row],[personeelsnr]],[1]Blad1!$A:$H,3,FALSE)</f>
        <v>Goossens</v>
      </c>
      <c r="D917" t="str">
        <f>VLOOKUP(bron[[#This Row],[personeelsnr]],[1]Blad1!$A:$H,4,FALSE)</f>
        <v>Yannick</v>
      </c>
      <c r="E917" s="2" t="str">
        <f>VLOOKUP(bron[[#This Row],[personeelsnr]],[1]Blad1!$A:$H,8,FALSE)</f>
        <v>Storm Steven</v>
      </c>
      <c r="F917" s="15">
        <v>45948</v>
      </c>
      <c r="G917" s="4" t="s">
        <v>1211</v>
      </c>
      <c r="H917" t="s">
        <v>24</v>
      </c>
      <c r="I917" s="4">
        <v>550822</v>
      </c>
      <c r="J917" s="23" t="str">
        <f>VLOOKUP(bron[[#This Row],[voertuig]],Voertuigen!A:C,3,FALSE)</f>
        <v>Bus</v>
      </c>
      <c r="K917" s="23" t="str">
        <f>VLOOKUP(bron[[#This Row],[voertuig]],Voertuigen!A:C,2,FALSE)</f>
        <v>Gehuurd</v>
      </c>
      <c r="L917" s="23">
        <f>COUNTIF(A:A,bron[[#This Row],[personeelsnr]])</f>
        <v>1</v>
      </c>
    </row>
    <row r="918" spans="1:12" hidden="1" x14ac:dyDescent="0.25">
      <c r="A918" s="20">
        <v>20653</v>
      </c>
      <c r="B918" t="str">
        <f>VLOOKUP(bron[[#This Row],[personeelsnr]],[1]Blad1!$A:$H,2,FALSE)</f>
        <v>Mestdag Marius</v>
      </c>
      <c r="C918" t="str">
        <f>VLOOKUP(bron[[#This Row],[personeelsnr]],[1]Blad1!$A:$H,3,FALSE)</f>
        <v>Mestdag</v>
      </c>
      <c r="D918" t="str">
        <f>VLOOKUP(bron[[#This Row],[personeelsnr]],[1]Blad1!$A:$H,4,FALSE)</f>
        <v>Marius</v>
      </c>
      <c r="E918" s="2" t="str">
        <f>VLOOKUP(bron[[#This Row],[personeelsnr]],[1]Blad1!$A:$H,8,FALSE)</f>
        <v>Van Der Beken Bart</v>
      </c>
      <c r="F918" s="15">
        <v>45950</v>
      </c>
      <c r="G918" s="4" t="s">
        <v>1212</v>
      </c>
      <c r="H918" t="s">
        <v>1213</v>
      </c>
      <c r="I918" s="4">
        <v>6366</v>
      </c>
      <c r="J918" s="23" t="str">
        <f>VLOOKUP(bron[[#This Row],[voertuig]],Voertuigen!A:C,3,FALSE)</f>
        <v>Tram</v>
      </c>
      <c r="K918" s="23" t="str">
        <f>VLOOKUP(bron[[#This Row],[voertuig]],Voertuigen!A:C,2,FALSE)</f>
        <v>Flexity</v>
      </c>
      <c r="L918" s="23">
        <f>COUNTIF(A:A,bron[[#This Row],[personeelsnr]])</f>
        <v>3</v>
      </c>
    </row>
    <row r="919" spans="1:12" hidden="1" x14ac:dyDescent="0.25">
      <c r="A919" s="20">
        <v>40938</v>
      </c>
      <c r="B919" t="str">
        <f>VLOOKUP(bron[[#This Row],[personeelsnr]],[1]Blad1!$A:$H,2,FALSE)</f>
        <v>Hasnaoui Nejmeddine</v>
      </c>
      <c r="C919" t="str">
        <f>VLOOKUP(bron[[#This Row],[personeelsnr]],[1]Blad1!$A:$H,3,FALSE)</f>
        <v>Hasnaoui</v>
      </c>
      <c r="D919" t="str">
        <f>VLOOKUP(bron[[#This Row],[personeelsnr]],[1]Blad1!$A:$H,4,FALSE)</f>
        <v>Nejmeddine</v>
      </c>
      <c r="E919" s="2" t="str">
        <f>VLOOKUP(bron[[#This Row],[personeelsnr]],[1]Blad1!$A:$H,8,FALSE)</f>
        <v>De Clercq Dominique</v>
      </c>
      <c r="F919" s="15">
        <v>45951</v>
      </c>
      <c r="G919" s="4" t="s">
        <v>1214</v>
      </c>
      <c r="H919" t="s">
        <v>184</v>
      </c>
      <c r="I919" s="4">
        <v>5259</v>
      </c>
      <c r="J919" s="23" t="str">
        <f>VLOOKUP(bron[[#This Row],[voertuig]],Voertuigen!A:C,3,FALSE)</f>
        <v>Bus</v>
      </c>
      <c r="K919" s="23" t="str">
        <f>VLOOKUP(bron[[#This Row],[voertuig]],Voertuigen!A:C,2,FALSE)</f>
        <v>Gelede</v>
      </c>
      <c r="L919" s="23">
        <f>COUNTIF(A:A,bron[[#This Row],[personeelsnr]])</f>
        <v>4</v>
      </c>
    </row>
    <row r="920" spans="1:12" hidden="1" x14ac:dyDescent="0.25">
      <c r="A920" s="20">
        <v>30321</v>
      </c>
      <c r="B920" t="str">
        <f>VLOOKUP(bron[[#This Row],[personeelsnr]],[1]Blad1!$A:$H,2,FALSE)</f>
        <v>Unver Ismaïl</v>
      </c>
      <c r="C920" t="str">
        <f>VLOOKUP(bron[[#This Row],[personeelsnr]],[1]Blad1!$A:$H,3,FALSE)</f>
        <v>Unver</v>
      </c>
      <c r="D920" t="str">
        <f>VLOOKUP(bron[[#This Row],[personeelsnr]],[1]Blad1!$A:$H,4,FALSE)</f>
        <v>Ismaïl</v>
      </c>
      <c r="E920" s="2" t="str">
        <f>VLOOKUP(bron[[#This Row],[personeelsnr]],[1]Blad1!$A:$H,8,FALSE)</f>
        <v>De Rick Kenneth</v>
      </c>
      <c r="F920" s="15">
        <v>45951</v>
      </c>
      <c r="G920" s="4" t="s">
        <v>1215</v>
      </c>
      <c r="H920" t="s">
        <v>15</v>
      </c>
      <c r="I920" s="4">
        <v>5767</v>
      </c>
      <c r="J920" s="23" t="str">
        <f>VLOOKUP(bron[[#This Row],[voertuig]],Voertuigen!A:C,3,FALSE)</f>
        <v>Bus</v>
      </c>
      <c r="K920" s="23" t="str">
        <f>VLOOKUP(bron[[#This Row],[voertuig]],Voertuigen!A:C,2,FALSE)</f>
        <v>Standaard</v>
      </c>
      <c r="L920" s="23">
        <f>COUNTIF(A:A,bron[[#This Row],[personeelsnr]])</f>
        <v>2</v>
      </c>
    </row>
    <row r="921" spans="1:12" hidden="1" x14ac:dyDescent="0.25">
      <c r="A921" s="20">
        <v>16895</v>
      </c>
      <c r="B921" t="str">
        <f>VLOOKUP(bron[[#This Row],[personeelsnr]],[1]Blad1!$A:$H,2,FALSE)</f>
        <v>Van Lauwe Freddy</v>
      </c>
      <c r="C921" t="str">
        <f>VLOOKUP(bron[[#This Row],[personeelsnr]],[1]Blad1!$A:$H,3,FALSE)</f>
        <v>Van Lauwe</v>
      </c>
      <c r="D921" t="str">
        <f>VLOOKUP(bron[[#This Row],[personeelsnr]],[1]Blad1!$A:$H,4,FALSE)</f>
        <v>Freddy</v>
      </c>
      <c r="E921" s="2" t="str">
        <f>VLOOKUP(bron[[#This Row],[personeelsnr]],[1]Blad1!$A:$H,8,FALSE)</f>
        <v>Van Der Beken Bart</v>
      </c>
      <c r="F921" s="15">
        <v>45952</v>
      </c>
      <c r="G921" s="4" t="s">
        <v>1216</v>
      </c>
      <c r="H921" t="s">
        <v>36</v>
      </c>
      <c r="I921" s="4">
        <v>6337</v>
      </c>
      <c r="J921" s="23" t="str">
        <f>VLOOKUP(bron[[#This Row],[voertuig]],Voertuigen!A:C,3,FALSE)</f>
        <v>Tram</v>
      </c>
      <c r="K921" s="23" t="str">
        <f>VLOOKUP(bron[[#This Row],[voertuig]],Voertuigen!A:C,2,FALSE)</f>
        <v>Hermelijn</v>
      </c>
      <c r="L921" s="23">
        <f>COUNTIF(A:A,bron[[#This Row],[personeelsnr]])</f>
        <v>6</v>
      </c>
    </row>
    <row r="922" spans="1:12" hidden="1" x14ac:dyDescent="0.25">
      <c r="A922" s="24">
        <v>40138</v>
      </c>
      <c r="B922" t="str">
        <f>VLOOKUP(bron[[#This Row],[personeelsnr]],[1]Blad1!$A:$H,2,FALSE)</f>
        <v>Moerman Tjimmy</v>
      </c>
      <c r="C922" t="str">
        <f>VLOOKUP(bron[[#This Row],[personeelsnr]],[1]Blad1!$A:$H,3,FALSE)</f>
        <v>Moerman</v>
      </c>
      <c r="D922" t="str">
        <f>VLOOKUP(bron[[#This Row],[personeelsnr]],[1]Blad1!$A:$H,4,FALSE)</f>
        <v>Tjimmy</v>
      </c>
      <c r="E922" s="2" t="str">
        <f>VLOOKUP(bron[[#This Row],[personeelsnr]],[1]Blad1!$A:$H,8,FALSE)</f>
        <v>Rotty Christoff</v>
      </c>
      <c r="F922" s="26">
        <v>45952</v>
      </c>
      <c r="G922" s="27" t="s">
        <v>1217</v>
      </c>
      <c r="H922" s="25" t="s">
        <v>186</v>
      </c>
      <c r="I922" s="27">
        <v>2195</v>
      </c>
      <c r="J922" s="28" t="str">
        <f>VLOOKUP(bron[[#This Row],[voertuig]],Voertuigen!A:C,3,FALSE)</f>
        <v>Bus</v>
      </c>
      <c r="K922" s="28" t="str">
        <f>VLOOKUP(bron[[#This Row],[voertuig]],Voertuigen!A:C,2,FALSE)</f>
        <v>Gelede</v>
      </c>
      <c r="L922" s="28">
        <f>COUNTIF(A:A,bron[[#This Row],[personeelsnr]])</f>
        <v>10</v>
      </c>
    </row>
    <row r="923" spans="1:12" hidden="1" x14ac:dyDescent="0.25">
      <c r="A923" s="20">
        <v>35645</v>
      </c>
      <c r="B923" t="str">
        <f>VLOOKUP(bron[[#This Row],[personeelsnr]],[1]Blad1!$A:$H,2,FALSE)</f>
        <v>Jalili Yaseeb</v>
      </c>
      <c r="C923" t="str">
        <f>VLOOKUP(bron[[#This Row],[personeelsnr]],[1]Blad1!$A:$H,3,FALSE)</f>
        <v>Jalili</v>
      </c>
      <c r="D923" t="str">
        <f>VLOOKUP(bron[[#This Row],[personeelsnr]],[1]Blad1!$A:$H,4,FALSE)</f>
        <v>Yaseeb</v>
      </c>
      <c r="E923" s="2" t="str">
        <f>VLOOKUP(bron[[#This Row],[personeelsnr]],[1]Blad1!$A:$H,8,FALSE)</f>
        <v>Storm Steven</v>
      </c>
      <c r="F923" s="15">
        <v>45954</v>
      </c>
      <c r="G923" s="4" t="s">
        <v>1218</v>
      </c>
      <c r="H923" t="s">
        <v>8</v>
      </c>
      <c r="I923" s="4">
        <v>5764</v>
      </c>
      <c r="J923" s="23" t="str">
        <f>VLOOKUP(bron[[#This Row],[voertuig]],Voertuigen!A:C,3,FALSE)</f>
        <v>Bus</v>
      </c>
      <c r="K923" s="23" t="str">
        <f>VLOOKUP(bron[[#This Row],[voertuig]],Voertuigen!A:C,2,FALSE)</f>
        <v>Standaard</v>
      </c>
      <c r="L923" s="23">
        <f>COUNTIF(A:A,bron[[#This Row],[personeelsnr]])</f>
        <v>4</v>
      </c>
    </row>
    <row r="924" spans="1:12" hidden="1" x14ac:dyDescent="0.25">
      <c r="A924" s="20">
        <v>16895</v>
      </c>
      <c r="B924" t="str">
        <f>VLOOKUP(bron[[#This Row],[personeelsnr]],[1]Blad1!$A:$H,2,FALSE)</f>
        <v>Van Lauwe Freddy</v>
      </c>
      <c r="C924" t="str">
        <f>VLOOKUP(bron[[#This Row],[personeelsnr]],[1]Blad1!$A:$H,3,FALSE)</f>
        <v>Van Lauwe</v>
      </c>
      <c r="D924" t="str">
        <f>VLOOKUP(bron[[#This Row],[personeelsnr]],[1]Blad1!$A:$H,4,FALSE)</f>
        <v>Freddy</v>
      </c>
      <c r="E924" s="2" t="str">
        <f>VLOOKUP(bron[[#This Row],[personeelsnr]],[1]Blad1!$A:$H,8,FALSE)</f>
        <v>Van Der Beken Bart</v>
      </c>
      <c r="F924" s="15">
        <v>45954</v>
      </c>
      <c r="G924" s="4" t="s">
        <v>1219</v>
      </c>
      <c r="H924" t="s">
        <v>13</v>
      </c>
      <c r="I924" s="4">
        <v>6368</v>
      </c>
      <c r="J924" s="23" t="str">
        <f>VLOOKUP(bron[[#This Row],[voertuig]],Voertuigen!A:C,3,FALSE)</f>
        <v>Tram</v>
      </c>
      <c r="K924" s="23" t="str">
        <f>VLOOKUP(bron[[#This Row],[voertuig]],Voertuigen!A:C,2,FALSE)</f>
        <v>Flexity</v>
      </c>
      <c r="L924" s="23">
        <f>COUNTIF(A:A,bron[[#This Row],[personeelsnr]])</f>
        <v>6</v>
      </c>
    </row>
    <row r="925" spans="1:12" hidden="1" x14ac:dyDescent="0.25">
      <c r="A925" s="20">
        <v>27673</v>
      </c>
      <c r="B925" t="str">
        <f>VLOOKUP(bron[[#This Row],[personeelsnr]],[1]Blad1!$A:$H,2,FALSE)</f>
        <v>Verbanck Koen</v>
      </c>
      <c r="C925" t="str">
        <f>VLOOKUP(bron[[#This Row],[personeelsnr]],[1]Blad1!$A:$H,3,FALSE)</f>
        <v>Verbanck</v>
      </c>
      <c r="D925" t="str">
        <f>VLOOKUP(bron[[#This Row],[personeelsnr]],[1]Blad1!$A:$H,4,FALSE)</f>
        <v>Koen</v>
      </c>
      <c r="E925" s="2" t="str">
        <f>VLOOKUP(bron[[#This Row],[personeelsnr]],[1]Blad1!$A:$H,8,FALSE)</f>
        <v>Rotty Christoff</v>
      </c>
      <c r="F925" s="15">
        <v>45955</v>
      </c>
      <c r="G925" s="4" t="s">
        <v>1220</v>
      </c>
      <c r="H925" t="s">
        <v>934</v>
      </c>
      <c r="I925" s="4">
        <v>6375</v>
      </c>
      <c r="J925" s="23" t="str">
        <f>VLOOKUP(bron[[#This Row],[voertuig]],Voertuigen!A:C,3,FALSE)</f>
        <v>Tram</v>
      </c>
      <c r="K925" s="23" t="str">
        <f>VLOOKUP(bron[[#This Row],[voertuig]],Voertuigen!A:C,2,FALSE)</f>
        <v>Flexity</v>
      </c>
      <c r="L925" s="23">
        <f>COUNTIF(A:A,bron[[#This Row],[personeelsnr]])</f>
        <v>1</v>
      </c>
    </row>
    <row r="926" spans="1:12" hidden="1" x14ac:dyDescent="0.25">
      <c r="A926" s="20">
        <v>42307</v>
      </c>
      <c r="B926" t="e">
        <f>VLOOKUP(bron[[#This Row],[personeelsnr]],[1]Blad1!$A:$H,2,FALSE)</f>
        <v>#N/A</v>
      </c>
      <c r="C926" t="e">
        <f>VLOOKUP(bron[[#This Row],[personeelsnr]],[1]Blad1!$A:$H,3,FALSE)</f>
        <v>#N/A</v>
      </c>
      <c r="D926" t="e">
        <f>VLOOKUP(bron[[#This Row],[personeelsnr]],[1]Blad1!$A:$H,4,FALSE)</f>
        <v>#N/A</v>
      </c>
      <c r="E926" s="2" t="s">
        <v>221</v>
      </c>
      <c r="F926" s="15">
        <v>45955</v>
      </c>
      <c r="G926" s="4" t="s">
        <v>1221</v>
      </c>
      <c r="H926" t="s">
        <v>24</v>
      </c>
      <c r="I926" s="4">
        <v>5767</v>
      </c>
      <c r="J926" s="23" t="str">
        <f>VLOOKUP(bron[[#This Row],[voertuig]],Voertuigen!A:C,3,FALSE)</f>
        <v>Bus</v>
      </c>
      <c r="K926" s="23" t="str">
        <f>VLOOKUP(bron[[#This Row],[voertuig]],Voertuigen!A:C,2,FALSE)</f>
        <v>Standaard</v>
      </c>
      <c r="L926" s="23">
        <f>COUNTIF(A:A,bron[[#This Row],[personeelsnr]])</f>
        <v>3</v>
      </c>
    </row>
    <row r="927" spans="1:12" hidden="1" x14ac:dyDescent="0.25">
      <c r="A927" s="20">
        <v>15220</v>
      </c>
      <c r="B927" t="str">
        <f>VLOOKUP(bron[[#This Row],[personeelsnr]],[1]Blad1!$A:$H,2,FALSE)</f>
        <v>Dejonghe Katleen</v>
      </c>
      <c r="C927" t="str">
        <f>VLOOKUP(bron[[#This Row],[personeelsnr]],[1]Blad1!$A:$H,3,FALSE)</f>
        <v>Dejonghe</v>
      </c>
      <c r="D927" t="str">
        <f>VLOOKUP(bron[[#This Row],[personeelsnr]],[1]Blad1!$A:$H,4,FALSE)</f>
        <v>Katleen</v>
      </c>
      <c r="E927" s="2" t="str">
        <f>VLOOKUP(bron[[#This Row],[personeelsnr]],[1]Blad1!$A:$H,8,FALSE)</f>
        <v>De Clercq Dominique</v>
      </c>
      <c r="F927" s="15">
        <v>45956</v>
      </c>
      <c r="G927" s="4" t="s">
        <v>1222</v>
      </c>
      <c r="H927" t="s">
        <v>81</v>
      </c>
      <c r="I927" s="4">
        <v>6321</v>
      </c>
      <c r="J927" s="23" t="str">
        <f>VLOOKUP(bron[[#This Row],[voertuig]],Voertuigen!A:C,3,FALSE)</f>
        <v>Tram</v>
      </c>
      <c r="K927" s="23" t="str">
        <f>VLOOKUP(bron[[#This Row],[voertuig]],Voertuigen!A:C,2,FALSE)</f>
        <v>Hermelijn</v>
      </c>
      <c r="L927" s="23">
        <f>COUNTIF(A:A,bron[[#This Row],[personeelsnr]])</f>
        <v>1</v>
      </c>
    </row>
    <row r="928" spans="1:12" hidden="1" x14ac:dyDescent="0.25">
      <c r="A928" s="20">
        <v>27209</v>
      </c>
      <c r="B928" t="str">
        <f>VLOOKUP(bron[[#This Row],[personeelsnr]],[1]Blad1!$A:$H,2,FALSE)</f>
        <v>Meyvaert Steven</v>
      </c>
      <c r="C928" t="str">
        <f>VLOOKUP(bron[[#This Row],[personeelsnr]],[1]Blad1!$A:$H,3,FALSE)</f>
        <v>Meyvaert</v>
      </c>
      <c r="D928" t="str">
        <f>VLOOKUP(bron[[#This Row],[personeelsnr]],[1]Blad1!$A:$H,4,FALSE)</f>
        <v>Steven</v>
      </c>
      <c r="E928" s="2" t="str">
        <f>VLOOKUP(bron[[#This Row],[personeelsnr]],[1]Blad1!$A:$H,8,FALSE)</f>
        <v>Dewulf Els</v>
      </c>
      <c r="F928" s="15">
        <v>45956</v>
      </c>
      <c r="G928" s="4" t="s">
        <v>1223</v>
      </c>
      <c r="H928" t="s">
        <v>10</v>
      </c>
      <c r="I928" s="4">
        <v>5232</v>
      </c>
      <c r="J928" s="23" t="str">
        <f>VLOOKUP(bron[[#This Row],[voertuig]],Voertuigen!A:C,3,FALSE)</f>
        <v>Bus</v>
      </c>
      <c r="K928" s="23" t="str">
        <f>VLOOKUP(bron[[#This Row],[voertuig]],Voertuigen!A:C,2,FALSE)</f>
        <v>Gelede</v>
      </c>
      <c r="L928" s="23">
        <f>COUNTIF(A:A,bron[[#This Row],[personeelsnr]])</f>
        <v>3</v>
      </c>
    </row>
    <row r="929" spans="1:12" hidden="1" x14ac:dyDescent="0.25">
      <c r="A929" s="20">
        <v>40278</v>
      </c>
      <c r="B929" t="str">
        <f>VLOOKUP(bron[[#This Row],[personeelsnr]],[1]Blad1!$A:$H,2,FALSE)</f>
        <v>Ates Firat</v>
      </c>
      <c r="C929" t="str">
        <f>VLOOKUP(bron[[#This Row],[personeelsnr]],[1]Blad1!$A:$H,3,FALSE)</f>
        <v>Ates</v>
      </c>
      <c r="D929" t="str">
        <f>VLOOKUP(bron[[#This Row],[personeelsnr]],[1]Blad1!$A:$H,4,FALSE)</f>
        <v>Firat</v>
      </c>
      <c r="E929" s="2" t="str">
        <f>VLOOKUP(bron[[#This Row],[personeelsnr]],[1]Blad1!$A:$H,8,FALSE)</f>
        <v>Rotty Christoff</v>
      </c>
      <c r="F929" s="15">
        <v>45957</v>
      </c>
      <c r="G929" s="4" t="s">
        <v>1224</v>
      </c>
      <c r="H929" t="s">
        <v>113</v>
      </c>
      <c r="I929" s="4">
        <v>5271</v>
      </c>
      <c r="J929" s="23" t="str">
        <f>VLOOKUP(bron[[#This Row],[voertuig]],Voertuigen!A:C,3,FALSE)</f>
        <v>Bus</v>
      </c>
      <c r="K929" s="23" t="str">
        <f>VLOOKUP(bron[[#This Row],[voertuig]],Voertuigen!A:C,2,FALSE)</f>
        <v>Gelede</v>
      </c>
      <c r="L929" s="23">
        <f>COUNTIF(A:A,bron[[#This Row],[personeelsnr]])</f>
        <v>5</v>
      </c>
    </row>
    <row r="930" spans="1:12" hidden="1" x14ac:dyDescent="0.25">
      <c r="A930" s="20">
        <v>5559</v>
      </c>
      <c r="B930" t="str">
        <f>VLOOKUP(bron[[#This Row],[personeelsnr]],[1]Blad1!$A:$H,2,FALSE)</f>
        <v>Hoste Tania</v>
      </c>
      <c r="C930" t="str">
        <f>VLOOKUP(bron[[#This Row],[personeelsnr]],[1]Blad1!$A:$H,3,FALSE)</f>
        <v>Hoste</v>
      </c>
      <c r="D930" t="str">
        <f>VLOOKUP(bron[[#This Row],[personeelsnr]],[1]Blad1!$A:$H,4,FALSE)</f>
        <v>Tania</v>
      </c>
      <c r="E930" s="2" t="str">
        <f>VLOOKUP(bron[[#This Row],[personeelsnr]],[1]Blad1!$A:$H,8,FALSE)</f>
        <v>Storm Steven</v>
      </c>
      <c r="F930" s="15">
        <v>45957</v>
      </c>
      <c r="G930" s="4" t="s">
        <v>1225</v>
      </c>
      <c r="H930" t="s">
        <v>11</v>
      </c>
      <c r="I930" s="4">
        <v>6374</v>
      </c>
      <c r="J930" s="23" t="str">
        <f>VLOOKUP(bron[[#This Row],[voertuig]],Voertuigen!A:C,3,FALSE)</f>
        <v>Tram</v>
      </c>
      <c r="K930" s="23" t="str">
        <f>VLOOKUP(bron[[#This Row],[voertuig]],Voertuigen!A:C,2,FALSE)</f>
        <v>Flexity</v>
      </c>
      <c r="L930" s="23">
        <f>COUNTIF(A:A,bron[[#This Row],[personeelsnr]])</f>
        <v>2</v>
      </c>
    </row>
    <row r="931" spans="1:12" hidden="1" x14ac:dyDescent="0.25">
      <c r="A931" s="20">
        <v>37345</v>
      </c>
      <c r="B931" t="str">
        <f>VLOOKUP(bron[[#This Row],[personeelsnr]],[1]Blad1!$A:$H,2,FALSE)</f>
        <v>Walleyn Renaat</v>
      </c>
      <c r="C931" t="str">
        <f>VLOOKUP(bron[[#This Row],[personeelsnr]],[1]Blad1!$A:$H,3,FALSE)</f>
        <v>Walleyn</v>
      </c>
      <c r="D931" t="str">
        <f>VLOOKUP(bron[[#This Row],[personeelsnr]],[1]Blad1!$A:$H,4,FALSE)</f>
        <v>Renaat</v>
      </c>
      <c r="E931" s="2" t="str">
        <f>VLOOKUP(bron[[#This Row],[personeelsnr]],[1]Blad1!$A:$H,8,FALSE)</f>
        <v>Van De Velde Lucie</v>
      </c>
      <c r="F931" s="15">
        <v>45958</v>
      </c>
      <c r="G931" s="4" t="s">
        <v>1226</v>
      </c>
      <c r="H931" t="s">
        <v>68</v>
      </c>
      <c r="I931" s="4">
        <v>6318</v>
      </c>
      <c r="J931" s="23" t="str">
        <f>VLOOKUP(bron[[#This Row],[voertuig]],Voertuigen!A:C,3,FALSE)</f>
        <v>Tram</v>
      </c>
      <c r="K931" s="23" t="str">
        <f>VLOOKUP(bron[[#This Row],[voertuig]],Voertuigen!A:C,2,FALSE)</f>
        <v>Hermelijn</v>
      </c>
      <c r="L931" s="23">
        <f>COUNTIF(A:A,bron[[#This Row],[personeelsnr]])</f>
        <v>3</v>
      </c>
    </row>
    <row r="932" spans="1:12" hidden="1" x14ac:dyDescent="0.25">
      <c r="A932" s="20">
        <v>34328</v>
      </c>
      <c r="B932" t="str">
        <f>VLOOKUP(bron[[#This Row],[personeelsnr]],[1]Blad1!$A:$H,2,FALSE)</f>
        <v>Kerremans Jürgen</v>
      </c>
      <c r="C932" t="str">
        <f>VLOOKUP(bron[[#This Row],[personeelsnr]],[1]Blad1!$A:$H,3,FALSE)</f>
        <v>Kerremans</v>
      </c>
      <c r="D932" t="str">
        <f>VLOOKUP(bron[[#This Row],[personeelsnr]],[1]Blad1!$A:$H,4,FALSE)</f>
        <v>Jürgen</v>
      </c>
      <c r="E932" s="2" t="str">
        <f>VLOOKUP(bron[[#This Row],[personeelsnr]],[1]Blad1!$A:$H,8,FALSE)</f>
        <v>De Rick Kenneth</v>
      </c>
      <c r="F932" s="15">
        <v>45959</v>
      </c>
      <c r="G932" s="4" t="s">
        <v>1227</v>
      </c>
      <c r="H932" t="s">
        <v>7</v>
      </c>
      <c r="I932" s="4">
        <v>6334</v>
      </c>
      <c r="J932" s="23" t="str">
        <f>VLOOKUP(bron[[#This Row],[voertuig]],Voertuigen!A:C,3,FALSE)</f>
        <v>Tram</v>
      </c>
      <c r="K932" s="23" t="str">
        <f>VLOOKUP(bron[[#This Row],[voertuig]],Voertuigen!A:C,2,FALSE)</f>
        <v>Hermelijn</v>
      </c>
      <c r="L932" s="23">
        <f>COUNTIF(A:A,bron[[#This Row],[personeelsnr]])</f>
        <v>4</v>
      </c>
    </row>
    <row r="933" spans="1:12" hidden="1" x14ac:dyDescent="0.25">
      <c r="A933" s="20">
        <v>42105</v>
      </c>
      <c r="B933" t="e">
        <f>VLOOKUP(bron[[#This Row],[personeelsnr]],[1]Blad1!$A:$H,2,FALSE)</f>
        <v>#N/A</v>
      </c>
      <c r="C933" t="e">
        <f>VLOOKUP(bron[[#This Row],[personeelsnr]],[1]Blad1!$A:$H,3,FALSE)</f>
        <v>#N/A</v>
      </c>
      <c r="D933" t="e">
        <f>VLOOKUP(bron[[#This Row],[personeelsnr]],[1]Blad1!$A:$H,4,FALSE)</f>
        <v>#N/A</v>
      </c>
      <c r="E933" s="2" t="s">
        <v>221</v>
      </c>
      <c r="F933" s="15">
        <v>45960</v>
      </c>
      <c r="G933" s="4" t="s">
        <v>1228</v>
      </c>
      <c r="H933" t="s">
        <v>13</v>
      </c>
      <c r="I933" s="4">
        <v>5489</v>
      </c>
      <c r="J933" s="23" t="str">
        <f>VLOOKUP(bron[[#This Row],[voertuig]],Voertuigen!A:C,3,FALSE)</f>
        <v>Bus</v>
      </c>
      <c r="K933" s="23" t="str">
        <f>VLOOKUP(bron[[#This Row],[voertuig]],Voertuigen!A:C,2,FALSE)</f>
        <v>Standaard</v>
      </c>
      <c r="L933" s="23">
        <f>COUNTIF(A:A,bron[[#This Row],[personeelsnr]])</f>
        <v>2</v>
      </c>
    </row>
    <row r="934" spans="1:12" hidden="1" x14ac:dyDescent="0.25">
      <c r="A934" s="20">
        <v>25873</v>
      </c>
      <c r="B934" t="str">
        <f>VLOOKUP(bron[[#This Row],[personeelsnr]],[1]Blad1!$A:$H,2,FALSE)</f>
        <v>Kazakbiyev Osman</v>
      </c>
      <c r="C934" t="str">
        <f>VLOOKUP(bron[[#This Row],[personeelsnr]],[1]Blad1!$A:$H,3,FALSE)</f>
        <v>Kazakbiyev</v>
      </c>
      <c r="D934" t="str">
        <f>VLOOKUP(bron[[#This Row],[personeelsnr]],[1]Blad1!$A:$H,4,FALSE)</f>
        <v>Osman</v>
      </c>
      <c r="E934" s="2" t="str">
        <f>VLOOKUP(bron[[#This Row],[personeelsnr]],[1]Blad1!$A:$H,8,FALSE)</f>
        <v>Vanhoe Els</v>
      </c>
      <c r="F934" s="15">
        <v>45960</v>
      </c>
      <c r="G934" s="4" t="s">
        <v>1229</v>
      </c>
      <c r="H934" t="s">
        <v>143</v>
      </c>
      <c r="I934" s="4">
        <v>5052</v>
      </c>
      <c r="J934" s="23" t="str">
        <f>VLOOKUP(bron[[#This Row],[voertuig]],Voertuigen!A:C,3,FALSE)</f>
        <v>Bus</v>
      </c>
      <c r="K934" s="23" t="str">
        <f>VLOOKUP(bron[[#This Row],[voertuig]],Voertuigen!A:C,2,FALSE)</f>
        <v>Gelede</v>
      </c>
      <c r="L934" s="23">
        <f>COUNTIF(A:A,bron[[#This Row],[personeelsnr]])</f>
        <v>1</v>
      </c>
    </row>
    <row r="935" spans="1:12" hidden="1" x14ac:dyDescent="0.25">
      <c r="A935" s="20">
        <v>40938</v>
      </c>
      <c r="B935" t="str">
        <f>VLOOKUP(bron[[#This Row],[personeelsnr]],[1]Blad1!$A:$H,2,FALSE)</f>
        <v>Hasnaoui Nejmeddine</v>
      </c>
      <c r="C935" t="str">
        <f>VLOOKUP(bron[[#This Row],[personeelsnr]],[1]Blad1!$A:$H,3,FALSE)</f>
        <v>Hasnaoui</v>
      </c>
      <c r="D935" t="str">
        <f>VLOOKUP(bron[[#This Row],[personeelsnr]],[1]Blad1!$A:$H,4,FALSE)</f>
        <v>Nejmeddine</v>
      </c>
      <c r="E935" s="2" t="str">
        <f>VLOOKUP(bron[[#This Row],[personeelsnr]],[1]Blad1!$A:$H,8,FALSE)</f>
        <v>De Clercq Dominique</v>
      </c>
      <c r="F935" s="15">
        <v>45960</v>
      </c>
      <c r="G935" s="5" t="s">
        <v>1230</v>
      </c>
      <c r="H935" t="s">
        <v>10</v>
      </c>
      <c r="I935" s="4" t="s">
        <v>220</v>
      </c>
      <c r="J935" s="23">
        <f>VLOOKUP(bron[[#This Row],[voertuig]],Voertuigen!A:C,3,FALSE)</f>
        <v>0</v>
      </c>
      <c r="K935" s="23" t="str">
        <f>VLOOKUP(bron[[#This Row],[voertuig]],Voertuigen!A:C,2,FALSE)</f>
        <v>-</v>
      </c>
      <c r="L935" s="23">
        <f>COUNTIF(A:A,bron[[#This Row],[personeelsnr]])</f>
        <v>4</v>
      </c>
    </row>
    <row r="936" spans="1:12" hidden="1" x14ac:dyDescent="0.25">
      <c r="A936" s="20">
        <v>14072</v>
      </c>
      <c r="B936" t="str">
        <f>VLOOKUP(bron[[#This Row],[personeelsnr]],[1]Blad1!$A:$H,2,FALSE)</f>
        <v>Vervoort Koen</v>
      </c>
      <c r="C936" t="str">
        <f>VLOOKUP(bron[[#This Row],[personeelsnr]],[1]Blad1!$A:$H,3,FALSE)</f>
        <v>Vervoort</v>
      </c>
      <c r="D936" t="str">
        <f>VLOOKUP(bron[[#This Row],[personeelsnr]],[1]Blad1!$A:$H,4,FALSE)</f>
        <v>Koen</v>
      </c>
      <c r="E936" s="2" t="str">
        <f>VLOOKUP(bron[[#This Row],[personeelsnr]],[1]Blad1!$A:$H,8,FALSE)</f>
        <v>Van De Velde Lucie</v>
      </c>
      <c r="F936" s="15">
        <v>45961</v>
      </c>
      <c r="G936" s="4" t="s">
        <v>1231</v>
      </c>
      <c r="H936" t="s">
        <v>8</v>
      </c>
      <c r="I936" s="4">
        <v>6363</v>
      </c>
      <c r="J936" s="23" t="str">
        <f>VLOOKUP(bron[[#This Row],[voertuig]],Voertuigen!A:C,3,FALSE)</f>
        <v>Tram</v>
      </c>
      <c r="K936" s="23" t="str">
        <f>VLOOKUP(bron[[#This Row],[voertuig]],Voertuigen!A:C,2,FALSE)</f>
        <v>Flexity</v>
      </c>
      <c r="L936" s="23">
        <f>COUNTIF(A:A,bron[[#This Row],[personeelsnr]])</f>
        <v>1</v>
      </c>
    </row>
    <row r="937" spans="1:12" hidden="1" x14ac:dyDescent="0.25">
      <c r="A937" s="20">
        <v>39858</v>
      </c>
      <c r="B937" t="str">
        <f>VLOOKUP(bron[[#This Row],[personeelsnr]],[1]Blad1!$A:$H,2,FALSE)</f>
        <v>Jacobs Elos</v>
      </c>
      <c r="C937" t="str">
        <f>VLOOKUP(bron[[#This Row],[personeelsnr]],[1]Blad1!$A:$H,3,FALSE)</f>
        <v>Jacobs</v>
      </c>
      <c r="D937" t="str">
        <f>VLOOKUP(bron[[#This Row],[personeelsnr]],[1]Blad1!$A:$H,4,FALSE)</f>
        <v>Elos</v>
      </c>
      <c r="E937" s="2" t="str">
        <f>VLOOKUP(bron[[#This Row],[personeelsnr]],[1]Blad1!$A:$H,8,FALSE)</f>
        <v>Dewulf Els</v>
      </c>
      <c r="F937" s="15">
        <v>45961</v>
      </c>
      <c r="G937" s="4" t="s">
        <v>1232</v>
      </c>
      <c r="H937" t="s">
        <v>32</v>
      </c>
      <c r="I937" s="4">
        <v>5229</v>
      </c>
      <c r="J937" s="23" t="str">
        <f>VLOOKUP(bron[[#This Row],[voertuig]],Voertuigen!A:C,3,FALSE)</f>
        <v>Bus</v>
      </c>
      <c r="K937" s="23" t="str">
        <f>VLOOKUP(bron[[#This Row],[voertuig]],Voertuigen!A:C,2,FALSE)</f>
        <v>Gelede</v>
      </c>
      <c r="L937" s="23">
        <f>COUNTIF(A:A,bron[[#This Row],[personeelsnr]])</f>
        <v>2</v>
      </c>
    </row>
    <row r="938" spans="1:12" hidden="1" x14ac:dyDescent="0.25">
      <c r="A938" s="20">
        <v>37543</v>
      </c>
      <c r="B938" t="str">
        <f>VLOOKUP(bron[[#This Row],[personeelsnr]],[1]Blad1!$A:$H,2,FALSE)</f>
        <v>Öztürk Bilgehan</v>
      </c>
      <c r="C938" t="str">
        <f>VLOOKUP(bron[[#This Row],[personeelsnr]],[1]Blad1!$A:$H,3,FALSE)</f>
        <v>Öztürk</v>
      </c>
      <c r="D938" t="str">
        <f>VLOOKUP(bron[[#This Row],[personeelsnr]],[1]Blad1!$A:$H,4,FALSE)</f>
        <v>Bilgehan</v>
      </c>
      <c r="E938" s="2" t="str">
        <f>VLOOKUP(bron[[#This Row],[personeelsnr]],[1]Blad1!$A:$H,8,FALSE)</f>
        <v>De Rick Kenneth</v>
      </c>
      <c r="F938" s="15">
        <v>45962</v>
      </c>
      <c r="G938" s="4" t="s">
        <v>1233</v>
      </c>
      <c r="H938" t="s">
        <v>201</v>
      </c>
      <c r="I938" s="4">
        <v>5233</v>
      </c>
      <c r="J938" s="23" t="str">
        <f>VLOOKUP(bron[[#This Row],[voertuig]],Voertuigen!A:C,3,FALSE)</f>
        <v>Bus</v>
      </c>
      <c r="K938" s="23" t="str">
        <f>VLOOKUP(bron[[#This Row],[voertuig]],Voertuigen!A:C,2,FALSE)</f>
        <v>Gelede</v>
      </c>
      <c r="L938" s="23">
        <f>COUNTIF(A:A,bron[[#This Row],[personeelsnr]])</f>
        <v>6</v>
      </c>
    </row>
    <row r="939" spans="1:12" hidden="1" x14ac:dyDescent="0.25">
      <c r="A939" s="20">
        <v>41384</v>
      </c>
      <c r="B939" t="str">
        <f>VLOOKUP(bron[[#This Row],[personeelsnr]],[1]Blad1!$A:$H,2,FALSE)</f>
        <v>Hillaert Thimo</v>
      </c>
      <c r="C939" t="str">
        <f>VLOOKUP(bron[[#This Row],[personeelsnr]],[1]Blad1!$A:$H,3,FALSE)</f>
        <v>Hillaert</v>
      </c>
      <c r="D939" t="str">
        <f>VLOOKUP(bron[[#This Row],[personeelsnr]],[1]Blad1!$A:$H,4,FALSE)</f>
        <v>Thimo</v>
      </c>
      <c r="E939" s="2" t="str">
        <f>VLOOKUP(bron[[#This Row],[personeelsnr]],[1]Blad1!$A:$H,8,FALSE)</f>
        <v>Rotty Christoff</v>
      </c>
      <c r="F939" s="15">
        <v>45962</v>
      </c>
      <c r="G939" s="4" t="s">
        <v>1234</v>
      </c>
      <c r="H939" t="s">
        <v>77</v>
      </c>
      <c r="I939" s="4">
        <v>5916</v>
      </c>
      <c r="J939" s="23" t="str">
        <f>VLOOKUP(bron[[#This Row],[voertuig]],Voertuigen!A:C,3,FALSE)</f>
        <v>Bus</v>
      </c>
      <c r="K939" s="23" t="str">
        <f>VLOOKUP(bron[[#This Row],[voertuig]],Voertuigen!A:C,2,FALSE)</f>
        <v>Standaard</v>
      </c>
      <c r="L939" s="23">
        <f>COUNTIF(A:A,bron[[#This Row],[personeelsnr]])</f>
        <v>4</v>
      </c>
    </row>
    <row r="940" spans="1:12" hidden="1" x14ac:dyDescent="0.25">
      <c r="A940" s="20">
        <v>35463</v>
      </c>
      <c r="B940" t="str">
        <f>VLOOKUP(bron[[#This Row],[personeelsnr]],[1]Blad1!$A:$H,2,FALSE)</f>
        <v>Vandaele Tom</v>
      </c>
      <c r="C940" t="str">
        <f>VLOOKUP(bron[[#This Row],[personeelsnr]],[1]Blad1!$A:$H,3,FALSE)</f>
        <v>Vandaele</v>
      </c>
      <c r="D940" t="str">
        <f>VLOOKUP(bron[[#This Row],[personeelsnr]],[1]Blad1!$A:$H,4,FALSE)</f>
        <v>Tom</v>
      </c>
      <c r="E940" s="2" t="str">
        <f>VLOOKUP(bron[[#This Row],[personeelsnr]],[1]Blad1!$A:$H,8,FALSE)</f>
        <v>De Clercq Dominique</v>
      </c>
      <c r="F940" s="15">
        <v>45963</v>
      </c>
      <c r="G940" s="4" t="s">
        <v>1235</v>
      </c>
      <c r="H940" t="s">
        <v>7</v>
      </c>
      <c r="I940" s="4">
        <v>6312</v>
      </c>
      <c r="J940" s="23" t="str">
        <f>VLOOKUP(bron[[#This Row],[voertuig]],Voertuigen!A:C,3,FALSE)</f>
        <v>Tram</v>
      </c>
      <c r="K940" s="23" t="str">
        <f>VLOOKUP(bron[[#This Row],[voertuig]],Voertuigen!A:C,2,FALSE)</f>
        <v>Hermelijn</v>
      </c>
      <c r="L940" s="23">
        <f>COUNTIF(A:A,bron[[#This Row],[personeelsnr]])</f>
        <v>4</v>
      </c>
    </row>
    <row r="941" spans="1:12" hidden="1" x14ac:dyDescent="0.25">
      <c r="A941" s="20">
        <v>26639</v>
      </c>
      <c r="B941" t="str">
        <f>VLOOKUP(bron[[#This Row],[personeelsnr]],[1]Blad1!$A:$H,2,FALSE)</f>
        <v>Engels Wendy</v>
      </c>
      <c r="C941" t="str">
        <f>VLOOKUP(bron[[#This Row],[personeelsnr]],[1]Blad1!$A:$H,3,FALSE)</f>
        <v>Engels</v>
      </c>
      <c r="D941" t="str">
        <f>VLOOKUP(bron[[#This Row],[personeelsnr]],[1]Blad1!$A:$H,4,FALSE)</f>
        <v>Wendy</v>
      </c>
      <c r="E941" s="2" t="str">
        <f>VLOOKUP(bron[[#This Row],[personeelsnr]],[1]Blad1!$A:$H,8,FALSE)</f>
        <v>De Rick Kenneth</v>
      </c>
      <c r="F941" s="15">
        <v>45963</v>
      </c>
      <c r="G941" s="4" t="s">
        <v>1236</v>
      </c>
      <c r="H941" t="s">
        <v>125</v>
      </c>
      <c r="I941" s="4">
        <v>5938</v>
      </c>
      <c r="J941" s="23" t="str">
        <f>VLOOKUP(bron[[#This Row],[voertuig]],Voertuigen!A:C,3,FALSE)</f>
        <v>Bus</v>
      </c>
      <c r="K941" s="23" t="str">
        <f>VLOOKUP(bron[[#This Row],[voertuig]],Voertuigen!A:C,2,FALSE)</f>
        <v>Standaard</v>
      </c>
      <c r="L941" s="23">
        <f>COUNTIF(A:A,bron[[#This Row],[personeelsnr]])</f>
        <v>1</v>
      </c>
    </row>
    <row r="942" spans="1:12" hidden="1" x14ac:dyDescent="0.25">
      <c r="A942" s="20">
        <v>11023</v>
      </c>
      <c r="B942" t="str">
        <f>VLOOKUP(bron[[#This Row],[personeelsnr]],[1]Blad1!$A:$H,2,FALSE)</f>
        <v>Goethals Jeffrey</v>
      </c>
      <c r="C942" t="str">
        <f>VLOOKUP(bron[[#This Row],[personeelsnr]],[1]Blad1!$A:$H,3,FALSE)</f>
        <v>Goethals</v>
      </c>
      <c r="D942" t="str">
        <f>VLOOKUP(bron[[#This Row],[personeelsnr]],[1]Blad1!$A:$H,4,FALSE)</f>
        <v>Jeffrey</v>
      </c>
      <c r="E942" s="2" t="str">
        <f>VLOOKUP(bron[[#This Row],[personeelsnr]],[1]Blad1!$A:$H,8,FALSE)</f>
        <v>Vanhoe Els</v>
      </c>
      <c r="F942" s="15">
        <v>45964</v>
      </c>
      <c r="G942" s="4" t="s">
        <v>1237</v>
      </c>
      <c r="H942" t="s">
        <v>36</v>
      </c>
      <c r="I942" s="4">
        <v>6364</v>
      </c>
      <c r="J942" s="23" t="str">
        <f>VLOOKUP(bron[[#This Row],[voertuig]],Voertuigen!A:C,3,FALSE)</f>
        <v>Tram</v>
      </c>
      <c r="K942" s="23" t="str">
        <f>VLOOKUP(bron[[#This Row],[voertuig]],Voertuigen!A:C,2,FALSE)</f>
        <v>Flexity</v>
      </c>
      <c r="L942" s="23">
        <f>COUNTIF(A:A,bron[[#This Row],[personeelsnr]])</f>
        <v>1</v>
      </c>
    </row>
    <row r="943" spans="1:12" hidden="1" x14ac:dyDescent="0.25">
      <c r="A943" s="20">
        <v>40362</v>
      </c>
      <c r="B943" t="str">
        <f>VLOOKUP(bron[[#This Row],[personeelsnr]],[1]Blad1!$A:$H,2,FALSE)</f>
        <v>Kuru Cetin</v>
      </c>
      <c r="C943" t="str">
        <f>VLOOKUP(bron[[#This Row],[personeelsnr]],[1]Blad1!$A:$H,3,FALSE)</f>
        <v>Kuru</v>
      </c>
      <c r="D943" t="str">
        <f>VLOOKUP(bron[[#This Row],[personeelsnr]],[1]Blad1!$A:$H,4,FALSE)</f>
        <v>Cetin</v>
      </c>
      <c r="E943" s="2" t="str">
        <f>VLOOKUP(bron[[#This Row],[personeelsnr]],[1]Blad1!$A:$H,8,FALSE)</f>
        <v>De Rick Kenneth</v>
      </c>
      <c r="F943" s="15">
        <v>45964</v>
      </c>
      <c r="G943" s="4" t="s">
        <v>1238</v>
      </c>
      <c r="H943" t="s">
        <v>45</v>
      </c>
      <c r="I943" s="4">
        <v>5935</v>
      </c>
      <c r="J943" s="23" t="str">
        <f>VLOOKUP(bron[[#This Row],[voertuig]],Voertuigen!A:C,3,FALSE)</f>
        <v>Bus</v>
      </c>
      <c r="K943" s="23" t="str">
        <f>VLOOKUP(bron[[#This Row],[voertuig]],Voertuigen!A:C,2,FALSE)</f>
        <v>Standaard</v>
      </c>
      <c r="L943" s="23">
        <f>COUNTIF(A:A,bron[[#This Row],[personeelsnr]])</f>
        <v>3</v>
      </c>
    </row>
    <row r="944" spans="1:12" hidden="1" x14ac:dyDescent="0.25">
      <c r="A944" s="20">
        <v>42143</v>
      </c>
      <c r="B944" t="str">
        <f>VLOOKUP(bron[[#This Row],[personeelsnr]],[1]Blad1!$A:$H,2,FALSE)</f>
        <v>Rahoens Christ</v>
      </c>
      <c r="C944" t="str">
        <f>VLOOKUP(bron[[#This Row],[personeelsnr]],[1]Blad1!$A:$H,3,FALSE)</f>
        <v>Rahoens</v>
      </c>
      <c r="D944" t="str">
        <f>VLOOKUP(bron[[#This Row],[personeelsnr]],[1]Blad1!$A:$H,4,FALSE)</f>
        <v>Christ</v>
      </c>
      <c r="E944" s="2" t="str">
        <f>VLOOKUP(bron[[#This Row],[personeelsnr]],[1]Blad1!$A:$H,8,FALSE)</f>
        <v>Van Der Beken Bart</v>
      </c>
      <c r="F944" s="15">
        <v>45964</v>
      </c>
      <c r="G944" s="4" t="s">
        <v>1239</v>
      </c>
      <c r="H944" t="str">
        <f>H943</f>
        <v>Port Arthurlaan</v>
      </c>
      <c r="I944" s="4">
        <v>550821</v>
      </c>
      <c r="J944" s="23" t="str">
        <f>VLOOKUP(bron[[#This Row],[voertuig]],Voertuigen!A:C,3,FALSE)</f>
        <v>Bus</v>
      </c>
      <c r="K944" s="23" t="str">
        <f>VLOOKUP(bron[[#This Row],[voertuig]],Voertuigen!A:C,2,FALSE)</f>
        <v>Gehuurd</v>
      </c>
      <c r="L944" s="23">
        <f>COUNTIF(A:A,bron[[#This Row],[personeelsnr]])</f>
        <v>1</v>
      </c>
    </row>
    <row r="945" spans="1:12" hidden="1" x14ac:dyDescent="0.25">
      <c r="A945" s="20">
        <v>39651</v>
      </c>
      <c r="B945" t="str">
        <f>VLOOKUP(bron[[#This Row],[personeelsnr]],[1]Blad1!$A:$H,2,FALSE)</f>
        <v>Kallenbach Sunny</v>
      </c>
      <c r="C945" t="str">
        <f>VLOOKUP(bron[[#This Row],[personeelsnr]],[1]Blad1!$A:$H,3,FALSE)</f>
        <v>Kallenbach</v>
      </c>
      <c r="D945" t="str">
        <f>VLOOKUP(bron[[#This Row],[personeelsnr]],[1]Blad1!$A:$H,4,FALSE)</f>
        <v>Sunny</v>
      </c>
      <c r="E945" s="2" t="str">
        <f>VLOOKUP(bron[[#This Row],[personeelsnr]],[1]Blad1!$A:$H,8,FALSE)</f>
        <v>De Rick Kenneth</v>
      </c>
      <c r="F945" s="15">
        <v>45964</v>
      </c>
      <c r="G945" s="4" t="s">
        <v>1240</v>
      </c>
      <c r="H945" t="s">
        <v>86</v>
      </c>
      <c r="I945" s="4">
        <v>5263</v>
      </c>
      <c r="J945" s="23" t="str">
        <f>VLOOKUP(bron[[#This Row],[voertuig]],Voertuigen!A:C,3,FALSE)</f>
        <v>Bus</v>
      </c>
      <c r="K945" s="23" t="str">
        <f>VLOOKUP(bron[[#This Row],[voertuig]],Voertuigen!A:C,2,FALSE)</f>
        <v>Gelede</v>
      </c>
      <c r="L945" s="23">
        <f>COUNTIF(A:A,bron[[#This Row],[personeelsnr]])</f>
        <v>4</v>
      </c>
    </row>
    <row r="946" spans="1:12" hidden="1" x14ac:dyDescent="0.25">
      <c r="A946" s="20">
        <v>40110</v>
      </c>
      <c r="B946" t="str">
        <f>VLOOKUP(bron[[#This Row],[personeelsnr]],[1]Blad1!$A:$H,2,FALSE)</f>
        <v>Vanlerberghe Sandra</v>
      </c>
      <c r="C946" t="str">
        <f>VLOOKUP(bron[[#This Row],[personeelsnr]],[1]Blad1!$A:$H,3,FALSE)</f>
        <v>Vanlerberghe</v>
      </c>
      <c r="D946" t="str">
        <f>VLOOKUP(bron[[#This Row],[personeelsnr]],[1]Blad1!$A:$H,4,FALSE)</f>
        <v>Sandra</v>
      </c>
      <c r="E946" s="2" t="str">
        <f>VLOOKUP(bron[[#This Row],[personeelsnr]],[1]Blad1!$A:$H,8,FALSE)</f>
        <v>Rotty Christoff</v>
      </c>
      <c r="F946" s="15">
        <v>45965</v>
      </c>
      <c r="G946" s="4" t="s">
        <v>1241</v>
      </c>
      <c r="H946" t="s">
        <v>194</v>
      </c>
      <c r="I946" s="4">
        <v>5265</v>
      </c>
      <c r="J946" s="23" t="str">
        <f>VLOOKUP(bron[[#This Row],[voertuig]],Voertuigen!A:C,3,FALSE)</f>
        <v>Bus</v>
      </c>
      <c r="K946" s="23" t="str">
        <f>VLOOKUP(bron[[#This Row],[voertuig]],Voertuigen!A:C,2,FALSE)</f>
        <v>Gelede</v>
      </c>
      <c r="L946" s="23">
        <f>COUNTIF(A:A,bron[[#This Row],[personeelsnr]])</f>
        <v>7</v>
      </c>
    </row>
    <row r="947" spans="1:12" hidden="1" x14ac:dyDescent="0.25">
      <c r="A947" s="20">
        <v>39379</v>
      </c>
      <c r="B947" t="str">
        <f>VLOOKUP(bron[[#This Row],[personeelsnr]],[1]Blad1!$A:$H,2,FALSE)</f>
        <v>Bensalah Mohammed</v>
      </c>
      <c r="C947" t="str">
        <f>VLOOKUP(bron[[#This Row],[personeelsnr]],[1]Blad1!$A:$H,3,FALSE)</f>
        <v>Bensalah</v>
      </c>
      <c r="D947" t="str">
        <f>VLOOKUP(bron[[#This Row],[personeelsnr]],[1]Blad1!$A:$H,4,FALSE)</f>
        <v>Mohammed</v>
      </c>
      <c r="E947" s="2" t="str">
        <f>VLOOKUP(bron[[#This Row],[personeelsnr]],[1]Blad1!$A:$H,8,FALSE)</f>
        <v>Rotty Christoff</v>
      </c>
      <c r="F947" s="15">
        <v>45966</v>
      </c>
      <c r="G947" s="4" t="s">
        <v>1242</v>
      </c>
      <c r="H947" t="s">
        <v>156</v>
      </c>
      <c r="I947" s="4">
        <v>5933</v>
      </c>
      <c r="J947" s="23" t="str">
        <f>VLOOKUP(bron[[#This Row],[voertuig]],Voertuigen!A:C,3,FALSE)</f>
        <v>Bus</v>
      </c>
      <c r="K947" s="23" t="str">
        <f>VLOOKUP(bron[[#This Row],[voertuig]],Voertuigen!A:C,2,FALSE)</f>
        <v>Standaard</v>
      </c>
      <c r="L947" s="23">
        <f>COUNTIF(A:A,bron[[#This Row],[personeelsnr]])</f>
        <v>2</v>
      </c>
    </row>
    <row r="948" spans="1:12" hidden="1" x14ac:dyDescent="0.25">
      <c r="A948" s="20">
        <v>18051</v>
      </c>
      <c r="B948" t="str">
        <f>VLOOKUP(bron[[#This Row],[personeelsnr]],[1]Blad1!$A:$H,2,FALSE)</f>
        <v>Van Wittenberge Filip</v>
      </c>
      <c r="C948" t="str">
        <f>VLOOKUP(bron[[#This Row],[personeelsnr]],[1]Blad1!$A:$H,3,FALSE)</f>
        <v>Van Wittenberge</v>
      </c>
      <c r="D948" t="str">
        <f>VLOOKUP(bron[[#This Row],[personeelsnr]],[1]Blad1!$A:$H,4,FALSE)</f>
        <v>Filip</v>
      </c>
      <c r="E948" s="2" t="str">
        <f>VLOOKUP(bron[[#This Row],[personeelsnr]],[1]Blad1!$A:$H,8,FALSE)</f>
        <v>Rotty Christoff</v>
      </c>
      <c r="F948" s="15">
        <v>45967</v>
      </c>
      <c r="G948" s="4" t="s">
        <v>1243</v>
      </c>
      <c r="H948" t="s">
        <v>27</v>
      </c>
      <c r="I948" s="4">
        <v>5924</v>
      </c>
      <c r="J948" s="23" t="str">
        <f>VLOOKUP(bron[[#This Row],[voertuig]],Voertuigen!A:C,3,FALSE)</f>
        <v>Bus</v>
      </c>
      <c r="K948" s="23" t="str">
        <f>VLOOKUP(bron[[#This Row],[voertuig]],Voertuigen!A:C,2,FALSE)</f>
        <v>Standaard</v>
      </c>
      <c r="L948" s="23">
        <f>COUNTIF(A:A,bron[[#This Row],[personeelsnr]])</f>
        <v>3</v>
      </c>
    </row>
    <row r="949" spans="1:12" hidden="1" x14ac:dyDescent="0.25">
      <c r="A949" s="20">
        <v>38938</v>
      </c>
      <c r="B949" t="str">
        <f>VLOOKUP(bron[[#This Row],[personeelsnr]],[1]Blad1!$A:$H,2,FALSE)</f>
        <v>Sedighi Hamid</v>
      </c>
      <c r="C949" t="str">
        <f>VLOOKUP(bron[[#This Row],[personeelsnr]],[1]Blad1!$A:$H,3,FALSE)</f>
        <v>Sedighi</v>
      </c>
      <c r="D949" t="str">
        <f>VLOOKUP(bron[[#This Row],[personeelsnr]],[1]Blad1!$A:$H,4,FALSE)</f>
        <v>Hamid</v>
      </c>
      <c r="E949" s="2" t="str">
        <f>VLOOKUP(bron[[#This Row],[personeelsnr]],[1]Blad1!$A:$H,8,FALSE)</f>
        <v>Van De Velde Lucie</v>
      </c>
      <c r="F949" s="15">
        <v>45967</v>
      </c>
      <c r="G949" s="4" t="s">
        <v>1244</v>
      </c>
      <c r="H949" t="s">
        <v>39</v>
      </c>
      <c r="I949" s="4">
        <v>6318</v>
      </c>
      <c r="J949" s="23" t="str">
        <f>VLOOKUP(bron[[#This Row],[voertuig]],Voertuigen!A:C,3,FALSE)</f>
        <v>Tram</v>
      </c>
      <c r="K949" s="23" t="str">
        <f>VLOOKUP(bron[[#This Row],[voertuig]],Voertuigen!A:C,2,FALSE)</f>
        <v>Hermelijn</v>
      </c>
      <c r="L949" s="23">
        <f>COUNTIF(A:A,bron[[#This Row],[personeelsnr]])</f>
        <v>7</v>
      </c>
    </row>
    <row r="950" spans="1:12" hidden="1" x14ac:dyDescent="0.25">
      <c r="A950" s="20">
        <v>38688</v>
      </c>
      <c r="B950" t="str">
        <f>VLOOKUP(bron[[#This Row],[personeelsnr]],[1]Blad1!$A:$H,2,FALSE)</f>
        <v>Basgurboga Selahattin</v>
      </c>
      <c r="C950" t="str">
        <f>VLOOKUP(bron[[#This Row],[personeelsnr]],[1]Blad1!$A:$H,3,FALSE)</f>
        <v>Basgurboga</v>
      </c>
      <c r="D950" t="str">
        <f>VLOOKUP(bron[[#This Row],[personeelsnr]],[1]Blad1!$A:$H,4,FALSE)</f>
        <v>Selahattin</v>
      </c>
      <c r="E950" s="2" t="str">
        <f>VLOOKUP(bron[[#This Row],[personeelsnr]],[1]Blad1!$A:$H,8,FALSE)</f>
        <v>Dewulf Els</v>
      </c>
      <c r="F950" s="15">
        <v>45967</v>
      </c>
      <c r="G950" s="4" t="s">
        <v>1245</v>
      </c>
      <c r="H950" t="s">
        <v>118</v>
      </c>
      <c r="I950" s="4">
        <v>5768</v>
      </c>
      <c r="J950" s="23" t="str">
        <f>VLOOKUP(bron[[#This Row],[voertuig]],Voertuigen!A:C,3,FALSE)</f>
        <v>Bus</v>
      </c>
      <c r="K950" s="23" t="str">
        <f>VLOOKUP(bron[[#This Row],[voertuig]],Voertuigen!A:C,2,FALSE)</f>
        <v>Standaard</v>
      </c>
      <c r="L950" s="23">
        <f>COUNTIF(A:A,bron[[#This Row],[personeelsnr]])</f>
        <v>3</v>
      </c>
    </row>
    <row r="951" spans="1:12" hidden="1" x14ac:dyDescent="0.25">
      <c r="A951" s="20">
        <v>27209</v>
      </c>
      <c r="B951" t="str">
        <f>VLOOKUP(bron[[#This Row],[personeelsnr]],[1]Blad1!$A:$H,2,FALSE)</f>
        <v>Meyvaert Steven</v>
      </c>
      <c r="C951" t="str">
        <f>VLOOKUP(bron[[#This Row],[personeelsnr]],[1]Blad1!$A:$H,3,FALSE)</f>
        <v>Meyvaert</v>
      </c>
      <c r="D951" t="str">
        <f>VLOOKUP(bron[[#This Row],[personeelsnr]],[1]Blad1!$A:$H,4,FALSE)</f>
        <v>Steven</v>
      </c>
      <c r="E951" s="2" t="str">
        <f>VLOOKUP(bron[[#This Row],[personeelsnr]],[1]Blad1!$A:$H,8,FALSE)</f>
        <v>Dewulf Els</v>
      </c>
      <c r="F951" s="15">
        <v>45968</v>
      </c>
      <c r="G951" s="4" t="s">
        <v>1246</v>
      </c>
      <c r="H951" t="s">
        <v>8</v>
      </c>
      <c r="I951" s="4">
        <v>5922</v>
      </c>
      <c r="J951" s="23" t="str">
        <f>VLOOKUP(bron[[#This Row],[voertuig]],Voertuigen!A:C,3,FALSE)</f>
        <v>Bus</v>
      </c>
      <c r="K951" s="23" t="str">
        <f>VLOOKUP(bron[[#This Row],[voertuig]],Voertuigen!A:C,2,FALSE)</f>
        <v>Standaard</v>
      </c>
      <c r="L951" s="23">
        <f>COUNTIF(A:A,bron[[#This Row],[personeelsnr]])</f>
        <v>3</v>
      </c>
    </row>
    <row r="952" spans="1:12" hidden="1" x14ac:dyDescent="0.25">
      <c r="A952" s="20">
        <v>42277</v>
      </c>
      <c r="B952" t="str">
        <f>VLOOKUP(bron[[#This Row],[personeelsnr]],[1]Blad1!$A:$H,2,FALSE)</f>
        <v>Güler Ender</v>
      </c>
      <c r="C952" t="str">
        <f>VLOOKUP(bron[[#This Row],[personeelsnr]],[1]Blad1!$A:$H,3,FALSE)</f>
        <v>Güler</v>
      </c>
      <c r="D952" t="str">
        <f>VLOOKUP(bron[[#This Row],[personeelsnr]],[1]Blad1!$A:$H,4,FALSE)</f>
        <v>Ender</v>
      </c>
      <c r="E952" s="2" t="str">
        <f>VLOOKUP(bron[[#This Row],[personeelsnr]],[1]Blad1!$A:$H,8,FALSE)</f>
        <v>De Clercq Dominique</v>
      </c>
      <c r="F952" s="15">
        <v>45968</v>
      </c>
      <c r="G952" s="4" t="s">
        <v>1247</v>
      </c>
      <c r="H952" t="s">
        <v>7</v>
      </c>
      <c r="I952" s="4">
        <v>5484</v>
      </c>
      <c r="J952" s="23" t="str">
        <f>VLOOKUP(bron[[#This Row],[voertuig]],Voertuigen!A:C,3,FALSE)</f>
        <v>Bus</v>
      </c>
      <c r="K952" s="23" t="str">
        <f>VLOOKUP(bron[[#This Row],[voertuig]],Voertuigen!A:C,2,FALSE)</f>
        <v>Standaard</v>
      </c>
      <c r="L952" s="23">
        <f>COUNTIF(A:A,bron[[#This Row],[personeelsnr]])</f>
        <v>1</v>
      </c>
    </row>
    <row r="953" spans="1:12" hidden="1" x14ac:dyDescent="0.25">
      <c r="A953" s="20">
        <v>36021</v>
      </c>
      <c r="B953" t="str">
        <f>VLOOKUP(bron[[#This Row],[personeelsnr]],[1]Blad1!$A:$H,2,FALSE)</f>
        <v>Boelaert Frederik</v>
      </c>
      <c r="C953" t="str">
        <f>VLOOKUP(bron[[#This Row],[personeelsnr]],[1]Blad1!$A:$H,3,FALSE)</f>
        <v>Boelaert</v>
      </c>
      <c r="D953" t="str">
        <f>VLOOKUP(bron[[#This Row],[personeelsnr]],[1]Blad1!$A:$H,4,FALSE)</f>
        <v>Frederik</v>
      </c>
      <c r="E953" s="2" t="str">
        <f>VLOOKUP(bron[[#This Row],[personeelsnr]],[1]Blad1!$A:$H,8,FALSE)</f>
        <v>Van De Velde Lucie</v>
      </c>
      <c r="F953" s="15">
        <v>45968</v>
      </c>
      <c r="G953" s="4" t="s">
        <v>1248</v>
      </c>
      <c r="H953" t="s">
        <v>32</v>
      </c>
      <c r="I953" s="4">
        <v>5042</v>
      </c>
      <c r="J953" s="23" t="str">
        <f>VLOOKUP(bron[[#This Row],[voertuig]],Voertuigen!A:C,3,FALSE)</f>
        <v>Bus</v>
      </c>
      <c r="K953" s="23" t="str">
        <f>VLOOKUP(bron[[#This Row],[voertuig]],Voertuigen!A:C,2,FALSE)</f>
        <v>Gelede</v>
      </c>
      <c r="L953" s="23">
        <f>COUNTIF(A:A,bron[[#This Row],[personeelsnr]])</f>
        <v>2</v>
      </c>
    </row>
    <row r="954" spans="1:12" hidden="1" x14ac:dyDescent="0.25">
      <c r="A954" s="20">
        <v>39831</v>
      </c>
      <c r="B954" t="str">
        <f>VLOOKUP(bron[[#This Row],[personeelsnr]],[1]Blad1!$A:$H,2,FALSE)</f>
        <v>Dolgiev Mukhamed</v>
      </c>
      <c r="C954" t="str">
        <f>VLOOKUP(bron[[#This Row],[personeelsnr]],[1]Blad1!$A:$H,3,FALSE)</f>
        <v>Dolgiev</v>
      </c>
      <c r="D954" t="str">
        <f>VLOOKUP(bron[[#This Row],[personeelsnr]],[1]Blad1!$A:$H,4,FALSE)</f>
        <v>Mukhamed</v>
      </c>
      <c r="E954" s="2" t="str">
        <f>VLOOKUP(bron[[#This Row],[personeelsnr]],[1]Blad1!$A:$H,8,FALSE)</f>
        <v>Dewulf Els</v>
      </c>
      <c r="F954" s="15">
        <v>45970</v>
      </c>
      <c r="G954" s="4" t="s">
        <v>2998</v>
      </c>
      <c r="H954" t="s">
        <v>162</v>
      </c>
      <c r="I954" s="2">
        <v>5048</v>
      </c>
      <c r="J954" s="16" t="str">
        <f>VLOOKUP(bron[[#This Row],[voertuig]],Voertuigen!A:C,3,FALSE)</f>
        <v>Bus</v>
      </c>
      <c r="K954" s="16" t="str">
        <f>VLOOKUP(bron[[#This Row],[voertuig]],Voertuigen!A:C,2,FALSE)</f>
        <v>Gelede</v>
      </c>
      <c r="L954">
        <f>COUNTIF(A:A,bron[[#This Row],[personeelsnr]])</f>
        <v>2</v>
      </c>
    </row>
    <row r="955" spans="1:12" hidden="1" x14ac:dyDescent="0.25">
      <c r="A955" s="20">
        <v>29746</v>
      </c>
      <c r="B955" t="str">
        <f>VLOOKUP(bron[[#This Row],[personeelsnr]],[1]Blad1!$A:$H,2,FALSE)</f>
        <v>Huyse Annicke</v>
      </c>
      <c r="C955" t="str">
        <f>VLOOKUP(bron[[#This Row],[personeelsnr]],[1]Blad1!$A:$H,3,FALSE)</f>
        <v>Huyse</v>
      </c>
      <c r="D955" t="str">
        <f>VLOOKUP(bron[[#This Row],[personeelsnr]],[1]Blad1!$A:$H,4,FALSE)</f>
        <v>Annicke</v>
      </c>
      <c r="E955" s="2" t="str">
        <f>VLOOKUP(bron[[#This Row],[personeelsnr]],[1]Blad1!$A:$H,8,FALSE)</f>
        <v>Van Der Beken Bart</v>
      </c>
      <c r="F955" s="15">
        <v>45971</v>
      </c>
      <c r="G955" s="4" t="s">
        <v>1249</v>
      </c>
      <c r="H955" t="s">
        <v>17</v>
      </c>
      <c r="I955" s="4">
        <v>6358</v>
      </c>
      <c r="J955" s="23" t="str">
        <f>VLOOKUP(bron[[#This Row],[voertuig]],Voertuigen!A:C,3,FALSE)</f>
        <v>Tram</v>
      </c>
      <c r="K955" s="23" t="str">
        <f>VLOOKUP(bron[[#This Row],[voertuig]],Voertuigen!A:C,2,FALSE)</f>
        <v>Flexity</v>
      </c>
      <c r="L955" s="23">
        <f>COUNTIF(A:A,bron[[#This Row],[personeelsnr]])</f>
        <v>3</v>
      </c>
    </row>
    <row r="956" spans="1:12" hidden="1" x14ac:dyDescent="0.25">
      <c r="A956" s="24">
        <v>40138</v>
      </c>
      <c r="B956" t="str">
        <f>VLOOKUP(bron[[#This Row],[personeelsnr]],[1]Blad1!$A:$H,2,FALSE)</f>
        <v>Moerman Tjimmy</v>
      </c>
      <c r="C956" t="str">
        <f>VLOOKUP(bron[[#This Row],[personeelsnr]],[1]Blad1!$A:$H,3,FALSE)</f>
        <v>Moerman</v>
      </c>
      <c r="D956" t="str">
        <f>VLOOKUP(bron[[#This Row],[personeelsnr]],[1]Blad1!$A:$H,4,FALSE)</f>
        <v>Tjimmy</v>
      </c>
      <c r="E956" s="2" t="str">
        <f>VLOOKUP(bron[[#This Row],[personeelsnr]],[1]Blad1!$A:$H,8,FALSE)</f>
        <v>Rotty Christoff</v>
      </c>
      <c r="F956" s="26">
        <v>45972</v>
      </c>
      <c r="G956" s="27" t="s">
        <v>1250</v>
      </c>
      <c r="H956" s="25" t="s">
        <v>42</v>
      </c>
      <c r="I956" s="27">
        <v>5045</v>
      </c>
      <c r="J956" s="28" t="str">
        <f>VLOOKUP(bron[[#This Row],[voertuig]],Voertuigen!A:C,3,FALSE)</f>
        <v>Bus</v>
      </c>
      <c r="K956" s="28" t="str">
        <f>VLOOKUP(bron[[#This Row],[voertuig]],Voertuigen!A:C,2,FALSE)</f>
        <v>Gelede</v>
      </c>
      <c r="L956" s="28">
        <f>COUNTIF(A:A,bron[[#This Row],[personeelsnr]])</f>
        <v>10</v>
      </c>
    </row>
    <row r="957" spans="1:12" hidden="1" x14ac:dyDescent="0.25">
      <c r="A957" s="24">
        <v>13089</v>
      </c>
      <c r="B957" t="str">
        <f>VLOOKUP(bron[[#This Row],[personeelsnr]],[1]Blad1!$A:$H,2,FALSE)</f>
        <v>Oosterlinck Jan</v>
      </c>
      <c r="C957" t="str">
        <f>VLOOKUP(bron[[#This Row],[personeelsnr]],[1]Blad1!$A:$H,3,FALSE)</f>
        <v>Oosterlinck</v>
      </c>
      <c r="D957" t="str">
        <f>VLOOKUP(bron[[#This Row],[personeelsnr]],[1]Blad1!$A:$H,4,FALSE)</f>
        <v>Jan</v>
      </c>
      <c r="E957" s="2" t="str">
        <f>VLOOKUP(bron[[#This Row],[personeelsnr]],[1]Blad1!$A:$H,8,FALSE)</f>
        <v>Rotty Christoff</v>
      </c>
      <c r="F957" s="26">
        <v>45973</v>
      </c>
      <c r="G957" s="27" t="s">
        <v>1251</v>
      </c>
      <c r="H957" s="25" t="s">
        <v>15</v>
      </c>
      <c r="I957" s="27">
        <v>5929</v>
      </c>
      <c r="J957" s="28" t="str">
        <f>VLOOKUP(bron[[#This Row],[voertuig]],Voertuigen!A:C,3,FALSE)</f>
        <v>Bus</v>
      </c>
      <c r="K957" s="28" t="str">
        <f>VLOOKUP(bron[[#This Row],[voertuig]],Voertuigen!A:C,2,FALSE)</f>
        <v>Standaard</v>
      </c>
      <c r="L957" s="28">
        <f>COUNTIF(A:A,bron[[#This Row],[personeelsnr]])</f>
        <v>1</v>
      </c>
    </row>
    <row r="958" spans="1:12" hidden="1" x14ac:dyDescent="0.25">
      <c r="A958" s="20">
        <v>32620</v>
      </c>
      <c r="B958" t="str">
        <f>VLOOKUP(bron[[#This Row],[personeelsnr]],[1]Blad1!$A:$H,2,FALSE)</f>
        <v>Saey Elias</v>
      </c>
      <c r="C958" t="str">
        <f>VLOOKUP(bron[[#This Row],[personeelsnr]],[1]Blad1!$A:$H,3,FALSE)</f>
        <v>Saey</v>
      </c>
      <c r="D958" t="str">
        <f>VLOOKUP(bron[[#This Row],[personeelsnr]],[1]Blad1!$A:$H,4,FALSE)</f>
        <v>Elias</v>
      </c>
      <c r="E958" s="2" t="str">
        <f>VLOOKUP(bron[[#This Row],[personeelsnr]],[1]Blad1!$A:$H,8,FALSE)</f>
        <v>Vanhoe Els</v>
      </c>
      <c r="F958" s="15">
        <v>45973</v>
      </c>
      <c r="G958" s="4" t="s">
        <v>1252</v>
      </c>
      <c r="H958" t="s">
        <v>165</v>
      </c>
      <c r="I958" s="4">
        <v>5047</v>
      </c>
      <c r="J958" s="23" t="str">
        <f>VLOOKUP(bron[[#This Row],[voertuig]],Voertuigen!A:C,3,FALSE)</f>
        <v>Bus</v>
      </c>
      <c r="K958" s="23" t="str">
        <f>VLOOKUP(bron[[#This Row],[voertuig]],Voertuigen!A:C,2,FALSE)</f>
        <v>Gelede</v>
      </c>
      <c r="L958" s="23">
        <f>COUNTIF(A:A,bron[[#This Row],[personeelsnr]])</f>
        <v>3</v>
      </c>
    </row>
    <row r="959" spans="1:12" hidden="1" x14ac:dyDescent="0.25">
      <c r="A959" s="20">
        <v>40403</v>
      </c>
      <c r="B959" t="str">
        <f>VLOOKUP(bron[[#This Row],[personeelsnr]],[1]Blad1!$A:$H,2,FALSE)</f>
        <v>Prové Michaël</v>
      </c>
      <c r="C959" t="str">
        <f>VLOOKUP(bron[[#This Row],[personeelsnr]],[1]Blad1!$A:$H,3,FALSE)</f>
        <v>Prové</v>
      </c>
      <c r="D959" t="str">
        <f>VLOOKUP(bron[[#This Row],[personeelsnr]],[1]Blad1!$A:$H,4,FALSE)</f>
        <v>Michaël</v>
      </c>
      <c r="E959" s="2" t="str">
        <f>VLOOKUP(bron[[#This Row],[personeelsnr]],[1]Blad1!$A:$H,8,FALSE)</f>
        <v>De Clercq Dominique</v>
      </c>
      <c r="F959" s="15">
        <v>45974</v>
      </c>
      <c r="G959" s="4" t="s">
        <v>1253</v>
      </c>
      <c r="H959" t="s">
        <v>31</v>
      </c>
      <c r="I959" s="4">
        <v>5233</v>
      </c>
      <c r="J959" s="23" t="str">
        <f>VLOOKUP(bron[[#This Row],[voertuig]],Voertuigen!A:C,3,FALSE)</f>
        <v>Bus</v>
      </c>
      <c r="K959" s="23" t="str">
        <f>VLOOKUP(bron[[#This Row],[voertuig]],Voertuigen!A:C,2,FALSE)</f>
        <v>Gelede</v>
      </c>
      <c r="L959" s="23">
        <f>COUNTIF(A:A,bron[[#This Row],[personeelsnr]])</f>
        <v>3</v>
      </c>
    </row>
    <row r="960" spans="1:12" hidden="1" x14ac:dyDescent="0.25">
      <c r="A960" s="20">
        <v>42249</v>
      </c>
      <c r="B960" t="str">
        <f>VLOOKUP(bron[[#This Row],[personeelsnr]],[1]Blad1!$A:$H,2,FALSE)</f>
        <v>Bontinck Stephan</v>
      </c>
      <c r="C960" t="str">
        <f>VLOOKUP(bron[[#This Row],[personeelsnr]],[1]Blad1!$A:$H,3,FALSE)</f>
        <v>Bontinck</v>
      </c>
      <c r="D960" t="str">
        <f>VLOOKUP(bron[[#This Row],[personeelsnr]],[1]Blad1!$A:$H,4,FALSE)</f>
        <v>Stephan</v>
      </c>
      <c r="E960" s="2" t="str">
        <f>VLOOKUP(bron[[#This Row],[personeelsnr]],[1]Blad1!$A:$H,8,FALSE)</f>
        <v>De Rick Kenneth</v>
      </c>
      <c r="F960" s="15">
        <v>45974</v>
      </c>
      <c r="G960" s="4" t="s">
        <v>1254</v>
      </c>
      <c r="H960" t="s">
        <v>196</v>
      </c>
      <c r="I960" s="4" t="s">
        <v>220</v>
      </c>
      <c r="J960" s="23">
        <f>VLOOKUP(bron[[#This Row],[voertuig]],Voertuigen!A:C,3,FALSE)</f>
        <v>0</v>
      </c>
      <c r="K960" s="23" t="str">
        <f>VLOOKUP(bron[[#This Row],[voertuig]],Voertuigen!A:C,2,FALSE)</f>
        <v>-</v>
      </c>
      <c r="L960" s="23">
        <f>COUNTIF(A:A,bron[[#This Row],[personeelsnr]])</f>
        <v>1</v>
      </c>
    </row>
    <row r="961" spans="1:12" hidden="1" x14ac:dyDescent="0.25">
      <c r="A961" s="20">
        <v>31118</v>
      </c>
      <c r="B961" t="str">
        <f>VLOOKUP(bron[[#This Row],[personeelsnr]],[1]Blad1!$A:$H,2,FALSE)</f>
        <v>De Sutter Michiel</v>
      </c>
      <c r="C961" t="str">
        <f>VLOOKUP(bron[[#This Row],[personeelsnr]],[1]Blad1!$A:$H,3,FALSE)</f>
        <v>De Sutter</v>
      </c>
      <c r="D961" t="str">
        <f>VLOOKUP(bron[[#This Row],[personeelsnr]],[1]Blad1!$A:$H,4,FALSE)</f>
        <v>Michiel</v>
      </c>
      <c r="E961" s="2" t="str">
        <f>VLOOKUP(bron[[#This Row],[personeelsnr]],[1]Blad1!$A:$H,8,FALSE)</f>
        <v>Dewulf Els</v>
      </c>
      <c r="F961" s="15">
        <v>45975</v>
      </c>
      <c r="G961" s="4" t="s">
        <v>1255</v>
      </c>
      <c r="H961" t="s">
        <v>104</v>
      </c>
      <c r="I961" s="4">
        <v>5794</v>
      </c>
      <c r="J961" s="23" t="str">
        <f>VLOOKUP(bron[[#This Row],[voertuig]],Voertuigen!A:C,3,FALSE)</f>
        <v>Bus</v>
      </c>
      <c r="K961" s="23" t="str">
        <f>VLOOKUP(bron[[#This Row],[voertuig]],Voertuigen!A:C,2,FALSE)</f>
        <v>Standaard</v>
      </c>
      <c r="L961" s="23">
        <f>COUNTIF(A:A,bron[[#This Row],[personeelsnr]])</f>
        <v>2</v>
      </c>
    </row>
    <row r="962" spans="1:12" hidden="1" x14ac:dyDescent="0.25">
      <c r="A962" s="20">
        <v>36438</v>
      </c>
      <c r="B962" t="str">
        <f>VLOOKUP(bron[[#This Row],[personeelsnr]],[1]Blad1!$A:$H,2,FALSE)</f>
        <v>Agil Birol</v>
      </c>
      <c r="C962" t="str">
        <f>VLOOKUP(bron[[#This Row],[personeelsnr]],[1]Blad1!$A:$H,3,FALSE)</f>
        <v>Agil</v>
      </c>
      <c r="D962" t="str">
        <f>VLOOKUP(bron[[#This Row],[personeelsnr]],[1]Blad1!$A:$H,4,FALSE)</f>
        <v>Birol</v>
      </c>
      <c r="E962" s="2" t="str">
        <f>VLOOKUP(bron[[#This Row],[personeelsnr]],[1]Blad1!$A:$H,8,FALSE)</f>
        <v>Van Der Beken Bart</v>
      </c>
      <c r="F962" s="15">
        <v>45975</v>
      </c>
      <c r="G962" s="4" t="s">
        <v>1256</v>
      </c>
      <c r="H962" t="s">
        <v>47</v>
      </c>
      <c r="I962" s="4">
        <v>5969</v>
      </c>
      <c r="J962" s="23" t="str">
        <f>VLOOKUP(bron[[#This Row],[voertuig]],Voertuigen!A:C,3,FALSE)</f>
        <v>Bus</v>
      </c>
      <c r="K962" s="23" t="str">
        <f>VLOOKUP(bron[[#This Row],[voertuig]],Voertuigen!A:C,2,FALSE)</f>
        <v>Standaard</v>
      </c>
      <c r="L962" s="23">
        <f>COUNTIF(A:A,bron[[#This Row],[personeelsnr]])</f>
        <v>5</v>
      </c>
    </row>
    <row r="963" spans="1:12" hidden="1" x14ac:dyDescent="0.25">
      <c r="A963" s="24">
        <v>39901</v>
      </c>
      <c r="B963" t="str">
        <f>VLOOKUP(bron[[#This Row],[personeelsnr]],[1]Blad1!$A:$H,2,FALSE)</f>
        <v>Basha Izmir</v>
      </c>
      <c r="C963" t="str">
        <f>VLOOKUP(bron[[#This Row],[personeelsnr]],[1]Blad1!$A:$H,3,FALSE)</f>
        <v>Basha</v>
      </c>
      <c r="D963" t="str">
        <f>VLOOKUP(bron[[#This Row],[personeelsnr]],[1]Blad1!$A:$H,4,FALSE)</f>
        <v>Izmir</v>
      </c>
      <c r="E963" s="2" t="str">
        <f>VLOOKUP(bron[[#This Row],[personeelsnr]],[1]Blad1!$A:$H,8,FALSE)</f>
        <v>Rotty Christoff</v>
      </c>
      <c r="F963" s="26">
        <v>45975</v>
      </c>
      <c r="G963" s="30" t="s">
        <v>1257</v>
      </c>
      <c r="H963" s="25" t="s">
        <v>155</v>
      </c>
      <c r="I963" s="27">
        <v>5043</v>
      </c>
      <c r="J963" s="28" t="str">
        <f>VLOOKUP(bron[[#This Row],[voertuig]],Voertuigen!A:C,3,FALSE)</f>
        <v>Bus</v>
      </c>
      <c r="K963" s="28" t="str">
        <f>VLOOKUP(bron[[#This Row],[voertuig]],Voertuigen!A:C,2,FALSE)</f>
        <v>Gelede</v>
      </c>
      <c r="L963" s="28">
        <f>COUNTIF(A:A,bron[[#This Row],[personeelsnr]])</f>
        <v>1</v>
      </c>
    </row>
    <row r="964" spans="1:12" hidden="1" x14ac:dyDescent="0.25">
      <c r="A964" s="20">
        <v>26524</v>
      </c>
      <c r="B964" t="str">
        <f>VLOOKUP(bron[[#This Row],[personeelsnr]],[1]Blad1!$A:$H,2,FALSE)</f>
        <v>Bolle Cynthia</v>
      </c>
      <c r="C964" t="str">
        <f>VLOOKUP(bron[[#This Row],[personeelsnr]],[1]Blad1!$A:$H,3,FALSE)</f>
        <v>Bolle</v>
      </c>
      <c r="D964" t="str">
        <f>VLOOKUP(bron[[#This Row],[personeelsnr]],[1]Blad1!$A:$H,4,FALSE)</f>
        <v>Cynthia</v>
      </c>
      <c r="E964" s="2" t="str">
        <f>VLOOKUP(bron[[#This Row],[personeelsnr]],[1]Blad1!$A:$H,8,FALSE)</f>
        <v>Vanhoe Els</v>
      </c>
      <c r="F964" s="15">
        <v>45975</v>
      </c>
      <c r="G964" s="4" t="s">
        <v>1258</v>
      </c>
      <c r="H964" t="s">
        <v>25</v>
      </c>
      <c r="I964" s="4">
        <v>6362</v>
      </c>
      <c r="J964" s="23" t="str">
        <f>VLOOKUP(bron[[#This Row],[voertuig]],Voertuigen!A:C,3,FALSE)</f>
        <v>Tram</v>
      </c>
      <c r="K964" s="23" t="str">
        <f>VLOOKUP(bron[[#This Row],[voertuig]],Voertuigen!A:C,2,FALSE)</f>
        <v>Flexity</v>
      </c>
      <c r="L964" s="23">
        <f>COUNTIF(A:A,bron[[#This Row],[personeelsnr]])</f>
        <v>1</v>
      </c>
    </row>
    <row r="965" spans="1:12" hidden="1" x14ac:dyDescent="0.25">
      <c r="A965" s="20">
        <v>41384</v>
      </c>
      <c r="B965" t="str">
        <f>VLOOKUP(bron[[#This Row],[personeelsnr]],[1]Blad1!$A:$H,2,FALSE)</f>
        <v>Hillaert Thimo</v>
      </c>
      <c r="C965" t="str">
        <f>VLOOKUP(bron[[#This Row],[personeelsnr]],[1]Blad1!$A:$H,3,FALSE)</f>
        <v>Hillaert</v>
      </c>
      <c r="D965" t="str">
        <f>VLOOKUP(bron[[#This Row],[personeelsnr]],[1]Blad1!$A:$H,4,FALSE)</f>
        <v>Thimo</v>
      </c>
      <c r="E965" s="2" t="str">
        <f>VLOOKUP(bron[[#This Row],[personeelsnr]],[1]Blad1!$A:$H,8,FALSE)</f>
        <v>Rotty Christoff</v>
      </c>
      <c r="F965" s="15">
        <v>45975</v>
      </c>
      <c r="G965" s="4" t="s">
        <v>1259</v>
      </c>
      <c r="H965" t="s">
        <v>10</v>
      </c>
      <c r="I965" s="4">
        <v>5254</v>
      </c>
      <c r="J965" s="23" t="str">
        <f>VLOOKUP(bron[[#This Row],[voertuig]],Voertuigen!A:C,3,FALSE)</f>
        <v>Bus</v>
      </c>
      <c r="K965" s="23" t="str">
        <f>VLOOKUP(bron[[#This Row],[voertuig]],Voertuigen!A:C,2,FALSE)</f>
        <v>Gelede</v>
      </c>
      <c r="L965" s="23">
        <f>COUNTIF(A:A,bron[[#This Row],[personeelsnr]])</f>
        <v>4</v>
      </c>
    </row>
    <row r="966" spans="1:12" hidden="1" x14ac:dyDescent="0.25">
      <c r="A966" s="20">
        <v>42145</v>
      </c>
      <c r="B966" t="str">
        <f>VLOOKUP(bron[[#This Row],[personeelsnr]],[1]Blad1!$A:$H,2,FALSE)</f>
        <v>Gys Shayya</v>
      </c>
      <c r="C966" t="str">
        <f>VLOOKUP(bron[[#This Row],[personeelsnr]],[1]Blad1!$A:$H,3,FALSE)</f>
        <v>Gys</v>
      </c>
      <c r="D966" t="str">
        <f>VLOOKUP(bron[[#This Row],[personeelsnr]],[1]Blad1!$A:$H,4,FALSE)</f>
        <v>Shayya</v>
      </c>
      <c r="E966" s="2" t="str">
        <f>VLOOKUP(bron[[#This Row],[personeelsnr]],[1]Blad1!$A:$H,8,FALSE)</f>
        <v>Storm Steven</v>
      </c>
      <c r="F966" s="15">
        <v>45975</v>
      </c>
      <c r="G966" s="4" t="s">
        <v>1260</v>
      </c>
      <c r="H966" t="s">
        <v>33</v>
      </c>
      <c r="I966" s="4">
        <v>550310</v>
      </c>
      <c r="J966" s="23" t="str">
        <f>VLOOKUP(bron[[#This Row],[voertuig]],Voertuigen!A:C,3,FALSE)</f>
        <v>Bus</v>
      </c>
      <c r="K966" s="23" t="str">
        <f>VLOOKUP(bron[[#This Row],[voertuig]],Voertuigen!A:C,2,FALSE)</f>
        <v>Gehuurd</v>
      </c>
      <c r="L966" s="23">
        <f>COUNTIF(A:A,bron[[#This Row],[personeelsnr]])</f>
        <v>2</v>
      </c>
    </row>
    <row r="967" spans="1:12" hidden="1" x14ac:dyDescent="0.25">
      <c r="A967" s="20">
        <v>38807</v>
      </c>
      <c r="B967" t="str">
        <f>VLOOKUP(bron[[#This Row],[personeelsnr]],[1]Blad1!$A:$H,2,FALSE)</f>
        <v>Dossche Caroline</v>
      </c>
      <c r="C967" t="str">
        <f>VLOOKUP(bron[[#This Row],[personeelsnr]],[1]Blad1!$A:$H,3,FALSE)</f>
        <v>Dossche</v>
      </c>
      <c r="D967" t="str">
        <f>VLOOKUP(bron[[#This Row],[personeelsnr]],[1]Blad1!$A:$H,4,FALSE)</f>
        <v>Caroline</v>
      </c>
      <c r="E967" s="2" t="str">
        <f>VLOOKUP(bron[[#This Row],[personeelsnr]],[1]Blad1!$A:$H,8,FALSE)</f>
        <v>Rotty Christoff</v>
      </c>
      <c r="F967" s="15">
        <v>45976</v>
      </c>
      <c r="G967" s="4" t="s">
        <v>1261</v>
      </c>
      <c r="H967" t="s">
        <v>24</v>
      </c>
      <c r="I967" s="4">
        <v>550822</v>
      </c>
      <c r="J967" s="23" t="str">
        <f>VLOOKUP(bron[[#This Row],[voertuig]],Voertuigen!A:C,3,FALSE)</f>
        <v>Bus</v>
      </c>
      <c r="K967" s="23" t="str">
        <f>VLOOKUP(bron[[#This Row],[voertuig]],Voertuigen!A:C,2,FALSE)</f>
        <v>Gehuurd</v>
      </c>
      <c r="L967" s="23">
        <f>COUNTIF(A:A,bron[[#This Row],[personeelsnr]])</f>
        <v>5</v>
      </c>
    </row>
    <row r="968" spans="1:12" hidden="1" x14ac:dyDescent="0.25">
      <c r="A968" s="20">
        <v>36505</v>
      </c>
      <c r="B968" t="str">
        <f>VLOOKUP(bron[[#This Row],[personeelsnr]],[1]Blad1!$A:$H,2,FALSE)</f>
        <v>De Lange Ruben</v>
      </c>
      <c r="C968" t="str">
        <f>VLOOKUP(bron[[#This Row],[personeelsnr]],[1]Blad1!$A:$H,3,FALSE)</f>
        <v>De Lange</v>
      </c>
      <c r="D968" t="str">
        <f>VLOOKUP(bron[[#This Row],[personeelsnr]],[1]Blad1!$A:$H,4,FALSE)</f>
        <v>Ruben</v>
      </c>
      <c r="E968" s="2" t="str">
        <f>VLOOKUP(bron[[#This Row],[personeelsnr]],[1]Blad1!$A:$H,8,FALSE)</f>
        <v>De Rick Kenneth</v>
      </c>
      <c r="F968" s="15">
        <v>45976</v>
      </c>
      <c r="G968" s="4" t="s">
        <v>1262</v>
      </c>
      <c r="H968" t="s">
        <v>51</v>
      </c>
      <c r="I968" s="4">
        <v>6359</v>
      </c>
      <c r="J968" s="23" t="str">
        <f>VLOOKUP(bron[[#This Row],[voertuig]],Voertuigen!A:C,3,FALSE)</f>
        <v>Tram</v>
      </c>
      <c r="K968" s="23" t="str">
        <f>VLOOKUP(bron[[#This Row],[voertuig]],Voertuigen!A:C,2,FALSE)</f>
        <v>Flexity</v>
      </c>
      <c r="L968" s="23">
        <f>COUNTIF(A:A,bron[[#This Row],[personeelsnr]])</f>
        <v>1</v>
      </c>
    </row>
    <row r="969" spans="1:12" hidden="1" x14ac:dyDescent="0.25">
      <c r="A969" s="20">
        <v>36426</v>
      </c>
      <c r="B969" t="str">
        <f>VLOOKUP(bron[[#This Row],[personeelsnr]],[1]Blad1!$A:$H,2,FALSE)</f>
        <v>Mohamed Yassin Abdulhamid</v>
      </c>
      <c r="C969" t="str">
        <f>VLOOKUP(bron[[#This Row],[personeelsnr]],[1]Blad1!$A:$H,3,FALSE)</f>
        <v>Mohamed Yassin</v>
      </c>
      <c r="D969" t="str">
        <f>VLOOKUP(bron[[#This Row],[personeelsnr]],[1]Blad1!$A:$H,4,FALSE)</f>
        <v>Abdulhamid</v>
      </c>
      <c r="E969" s="2" t="str">
        <f>VLOOKUP(bron[[#This Row],[personeelsnr]],[1]Blad1!$A:$H,8,FALSE)</f>
        <v>Van Der Beken Bart</v>
      </c>
      <c r="F969" s="15">
        <v>45978</v>
      </c>
      <c r="G969" s="4" t="s">
        <v>1263</v>
      </c>
      <c r="H969" t="s">
        <v>141</v>
      </c>
      <c r="I969" s="4">
        <v>5790</v>
      </c>
      <c r="J969" s="23" t="str">
        <f>VLOOKUP(bron[[#This Row],[voertuig]],Voertuigen!A:C,3,FALSE)</f>
        <v>Bus</v>
      </c>
      <c r="K969" s="23" t="str">
        <f>VLOOKUP(bron[[#This Row],[voertuig]],Voertuigen!A:C,2,FALSE)</f>
        <v>Standaard</v>
      </c>
      <c r="L969" s="23">
        <f>COUNTIF(A:A,bron[[#This Row],[personeelsnr]])</f>
        <v>3</v>
      </c>
    </row>
    <row r="970" spans="1:12" hidden="1" x14ac:dyDescent="0.25">
      <c r="A970" s="20">
        <v>25733</v>
      </c>
      <c r="B970" t="str">
        <f>VLOOKUP(bron[[#This Row],[personeelsnr]],[1]Blad1!$A:$H,2,FALSE)</f>
        <v>Simsek Abdullah</v>
      </c>
      <c r="C970" t="str">
        <f>VLOOKUP(bron[[#This Row],[personeelsnr]],[1]Blad1!$A:$H,3,FALSE)</f>
        <v>Simsek</v>
      </c>
      <c r="D970" t="str">
        <f>VLOOKUP(bron[[#This Row],[personeelsnr]],[1]Blad1!$A:$H,4,FALSE)</f>
        <v>Abdullah</v>
      </c>
      <c r="E970" s="2" t="str">
        <f>VLOOKUP(bron[[#This Row],[personeelsnr]],[1]Blad1!$A:$H,8,FALSE)</f>
        <v>Vanhoe Els</v>
      </c>
      <c r="F970" s="15">
        <v>45979</v>
      </c>
      <c r="G970" s="4" t="s">
        <v>1264</v>
      </c>
      <c r="H970" t="s">
        <v>48</v>
      </c>
      <c r="I970" s="4">
        <v>6365</v>
      </c>
      <c r="J970" s="23" t="str">
        <f>VLOOKUP(bron[[#This Row],[voertuig]],Voertuigen!A:C,3,FALSE)</f>
        <v>Tram</v>
      </c>
      <c r="K970" s="23" t="str">
        <f>VLOOKUP(bron[[#This Row],[voertuig]],Voertuigen!A:C,2,FALSE)</f>
        <v>Flexity</v>
      </c>
      <c r="L970" s="23">
        <f>COUNTIF(A:A,bron[[#This Row],[personeelsnr]])</f>
        <v>2</v>
      </c>
    </row>
    <row r="971" spans="1:12" hidden="1" x14ac:dyDescent="0.25">
      <c r="A971" s="20">
        <v>38529</v>
      </c>
      <c r="B971" t="str">
        <f>VLOOKUP(bron[[#This Row],[personeelsnr]],[1]Blad1!$A:$H,2,FALSE)</f>
        <v>Huyghe Jan</v>
      </c>
      <c r="C971" t="str">
        <f>VLOOKUP(bron[[#This Row],[personeelsnr]],[1]Blad1!$A:$H,3,FALSE)</f>
        <v>Huyghe</v>
      </c>
      <c r="D971" t="str">
        <f>VLOOKUP(bron[[#This Row],[personeelsnr]],[1]Blad1!$A:$H,4,FALSE)</f>
        <v>Jan</v>
      </c>
      <c r="E971" s="2" t="str">
        <f>VLOOKUP(bron[[#This Row],[personeelsnr]],[1]Blad1!$A:$H,8,FALSE)</f>
        <v>Dewulf Els</v>
      </c>
      <c r="F971" s="15">
        <v>45979</v>
      </c>
      <c r="G971" s="4" t="s">
        <v>1265</v>
      </c>
      <c r="H971" t="s">
        <v>16</v>
      </c>
      <c r="I971" s="4">
        <v>5932</v>
      </c>
      <c r="J971" s="23" t="str">
        <f>VLOOKUP(bron[[#This Row],[voertuig]],Voertuigen!A:C,3,FALSE)</f>
        <v>Bus</v>
      </c>
      <c r="K971" s="23" t="str">
        <f>VLOOKUP(bron[[#This Row],[voertuig]],Voertuigen!A:C,2,FALSE)</f>
        <v>Standaard</v>
      </c>
      <c r="L971" s="23">
        <f>COUNTIF(A:A,bron[[#This Row],[personeelsnr]])</f>
        <v>5</v>
      </c>
    </row>
    <row r="972" spans="1:12" hidden="1" x14ac:dyDescent="0.25">
      <c r="A972" s="20">
        <v>42218</v>
      </c>
      <c r="B972" t="str">
        <f>VLOOKUP(bron[[#This Row],[personeelsnr]],[1]Blad1!$A:$H,2,FALSE)</f>
        <v>Özer Metehan</v>
      </c>
      <c r="C972" t="str">
        <f>VLOOKUP(bron[[#This Row],[personeelsnr]],[1]Blad1!$A:$H,3,FALSE)</f>
        <v>Özer</v>
      </c>
      <c r="D972" t="str">
        <f>VLOOKUP(bron[[#This Row],[personeelsnr]],[1]Blad1!$A:$H,4,FALSE)</f>
        <v>Metehan</v>
      </c>
      <c r="E972" s="2" t="str">
        <f>VLOOKUP(bron[[#This Row],[personeelsnr]],[1]Blad1!$A:$H,8,FALSE)</f>
        <v>Dewulf Els</v>
      </c>
      <c r="F972" s="15">
        <v>45979</v>
      </c>
      <c r="G972" s="4" t="s">
        <v>1266</v>
      </c>
      <c r="H972" t="s">
        <v>30</v>
      </c>
      <c r="I972" s="4">
        <v>5936</v>
      </c>
      <c r="J972" s="23" t="str">
        <f>VLOOKUP(bron[[#This Row],[voertuig]],Voertuigen!A:C,3,FALSE)</f>
        <v>Bus</v>
      </c>
      <c r="K972" s="23" t="str">
        <f>VLOOKUP(bron[[#This Row],[voertuig]],Voertuigen!A:C,2,FALSE)</f>
        <v>Standaard</v>
      </c>
      <c r="L972" s="23">
        <f>COUNTIF(A:A,bron[[#This Row],[personeelsnr]])</f>
        <v>1</v>
      </c>
    </row>
    <row r="973" spans="1:12" hidden="1" x14ac:dyDescent="0.25">
      <c r="A973" s="20">
        <v>8918</v>
      </c>
      <c r="B973" t="str">
        <f>VLOOKUP(bron[[#This Row],[personeelsnr]],[1]Blad1!$A:$H,2,FALSE)</f>
        <v>De Graeve Marc</v>
      </c>
      <c r="C973" t="str">
        <f>VLOOKUP(bron[[#This Row],[personeelsnr]],[1]Blad1!$A:$H,3,FALSE)</f>
        <v>De Graeve</v>
      </c>
      <c r="D973" t="str">
        <f>VLOOKUP(bron[[#This Row],[personeelsnr]],[1]Blad1!$A:$H,4,FALSE)</f>
        <v>Marc</v>
      </c>
      <c r="E973" s="2" t="str">
        <f>VLOOKUP(bron[[#This Row],[personeelsnr]],[1]Blad1!$A:$H,8,FALSE)</f>
        <v>De Rick Kenneth</v>
      </c>
      <c r="F973" s="15">
        <v>45979</v>
      </c>
      <c r="G973" s="4" t="s">
        <v>1267</v>
      </c>
      <c r="H973" t="s">
        <v>197</v>
      </c>
      <c r="I973" s="4">
        <v>5273</v>
      </c>
      <c r="J973" s="23" t="str">
        <f>VLOOKUP(bron[[#This Row],[voertuig]],Voertuigen!A:C,3,FALSE)</f>
        <v>Bus</v>
      </c>
      <c r="K973" s="23" t="str">
        <f>VLOOKUP(bron[[#This Row],[voertuig]],Voertuigen!A:C,2,FALSE)</f>
        <v>Gelede</v>
      </c>
      <c r="L973" s="23">
        <f>COUNTIF(A:A,bron[[#This Row],[personeelsnr]])</f>
        <v>1</v>
      </c>
    </row>
    <row r="974" spans="1:12" hidden="1" x14ac:dyDescent="0.25">
      <c r="A974" s="24">
        <v>33400</v>
      </c>
      <c r="B974" t="str">
        <f>VLOOKUP(bron[[#This Row],[personeelsnr]],[1]Blad1!$A:$H,2,FALSE)</f>
        <v>Petit Cynthia</v>
      </c>
      <c r="C974" t="str">
        <f>VLOOKUP(bron[[#This Row],[personeelsnr]],[1]Blad1!$A:$H,3,FALSE)</f>
        <v>Petit</v>
      </c>
      <c r="D974" t="str">
        <f>VLOOKUP(bron[[#This Row],[personeelsnr]],[1]Blad1!$A:$H,4,FALSE)</f>
        <v>Cynthia</v>
      </c>
      <c r="E974" s="2" t="str">
        <f>VLOOKUP(bron[[#This Row],[personeelsnr]],[1]Blad1!$A:$H,8,FALSE)</f>
        <v>Rotty Christoff</v>
      </c>
      <c r="F974" s="26">
        <v>45980</v>
      </c>
      <c r="G974" s="27" t="s">
        <v>1268</v>
      </c>
      <c r="H974" s="25" t="s">
        <v>40</v>
      </c>
      <c r="I974" s="27">
        <v>6368</v>
      </c>
      <c r="J974" s="28" t="str">
        <f>VLOOKUP(bron[[#This Row],[voertuig]],Voertuigen!A:C,3,FALSE)</f>
        <v>Tram</v>
      </c>
      <c r="K974" s="28" t="str">
        <f>VLOOKUP(bron[[#This Row],[voertuig]],Voertuigen!A:C,2,FALSE)</f>
        <v>Flexity</v>
      </c>
      <c r="L974" s="28">
        <f>COUNTIF(A:A,bron[[#This Row],[personeelsnr]])</f>
        <v>3</v>
      </c>
    </row>
    <row r="975" spans="1:12" hidden="1" x14ac:dyDescent="0.25">
      <c r="A975" s="20">
        <v>42336</v>
      </c>
      <c r="B975" t="str">
        <f>VLOOKUP(bron[[#This Row],[personeelsnr]],[1]Blad1!$A:$H,2,FALSE)</f>
        <v>Camgöz Furkan</v>
      </c>
      <c r="C975" t="str">
        <f>VLOOKUP(bron[[#This Row],[personeelsnr]],[1]Blad1!$A:$H,3,FALSE)</f>
        <v>Camgöz</v>
      </c>
      <c r="D975" t="str">
        <f>VLOOKUP(bron[[#This Row],[personeelsnr]],[1]Blad1!$A:$H,4,FALSE)</f>
        <v>Furkan</v>
      </c>
      <c r="E975" s="2" t="str">
        <f>VLOOKUP(bron[[#This Row],[personeelsnr]],[1]Blad1!$A:$H,8,FALSE)</f>
        <v>Van De Velde Lucie</v>
      </c>
      <c r="F975" s="15">
        <v>45981</v>
      </c>
      <c r="G975" s="4" t="s">
        <v>1269</v>
      </c>
      <c r="H975" t="s">
        <v>52</v>
      </c>
      <c r="I975" s="4">
        <v>5912</v>
      </c>
      <c r="J975" s="23" t="str">
        <f>VLOOKUP(bron[[#This Row],[voertuig]],Voertuigen!A:C,3,FALSE)</f>
        <v>Bus</v>
      </c>
      <c r="K975" s="23" t="str">
        <f>VLOOKUP(bron[[#This Row],[voertuig]],Voertuigen!A:C,2,FALSE)</f>
        <v>Standaard</v>
      </c>
      <c r="L975" s="23">
        <f>COUNTIF(A:A,bron[[#This Row],[personeelsnr]])</f>
        <v>1</v>
      </c>
    </row>
    <row r="976" spans="1:12" hidden="1" x14ac:dyDescent="0.25">
      <c r="A976" s="20">
        <v>39558</v>
      </c>
      <c r="B976" t="str">
        <f>VLOOKUP(bron[[#This Row],[personeelsnr]],[1]Blad1!$A:$H,2,FALSE)</f>
        <v>De Groote Cedric</v>
      </c>
      <c r="C976" t="str">
        <f>VLOOKUP(bron[[#This Row],[personeelsnr]],[1]Blad1!$A:$H,3,FALSE)</f>
        <v>De Groote</v>
      </c>
      <c r="D976" t="str">
        <f>VLOOKUP(bron[[#This Row],[personeelsnr]],[1]Blad1!$A:$H,4,FALSE)</f>
        <v>Cedric</v>
      </c>
      <c r="E976" s="2" t="str">
        <f>VLOOKUP(bron[[#This Row],[personeelsnr]],[1]Blad1!$A:$H,8,FALSE)</f>
        <v>Storm Steven</v>
      </c>
      <c r="F976" s="15">
        <v>45981</v>
      </c>
      <c r="G976" s="4" t="s">
        <v>1270</v>
      </c>
      <c r="H976" t="s">
        <v>87</v>
      </c>
      <c r="I976" s="4">
        <v>5047</v>
      </c>
      <c r="J976" s="23" t="str">
        <f>VLOOKUP(bron[[#This Row],[voertuig]],Voertuigen!A:C,3,FALSE)</f>
        <v>Bus</v>
      </c>
      <c r="K976" s="23" t="str">
        <f>VLOOKUP(bron[[#This Row],[voertuig]],Voertuigen!A:C,2,FALSE)</f>
        <v>Gelede</v>
      </c>
      <c r="L976" s="23">
        <f>COUNTIF(A:A,bron[[#This Row],[personeelsnr]])</f>
        <v>2</v>
      </c>
    </row>
    <row r="977" spans="1:12" hidden="1" x14ac:dyDescent="0.25">
      <c r="A977" s="20">
        <v>27865</v>
      </c>
      <c r="B977" t="str">
        <f>VLOOKUP(bron[[#This Row],[personeelsnr]],[1]Blad1!$A:$H,2,FALSE)</f>
        <v>Olenski Leonard</v>
      </c>
      <c r="C977" t="str">
        <f>VLOOKUP(bron[[#This Row],[personeelsnr]],[1]Blad1!$A:$H,3,FALSE)</f>
        <v>Olenski</v>
      </c>
      <c r="D977" t="str">
        <f>VLOOKUP(bron[[#This Row],[personeelsnr]],[1]Blad1!$A:$H,4,FALSE)</f>
        <v>Leonard</v>
      </c>
      <c r="E977" s="2" t="str">
        <f>VLOOKUP(bron[[#This Row],[personeelsnr]],[1]Blad1!$A:$H,8,FALSE)</f>
        <v>Dewulf Els</v>
      </c>
      <c r="F977" s="15">
        <v>45982</v>
      </c>
      <c r="G977" s="4" t="s">
        <v>1271</v>
      </c>
      <c r="H977" t="s">
        <v>8</v>
      </c>
      <c r="I977" s="4">
        <v>6353</v>
      </c>
      <c r="J977" s="23" t="str">
        <f>VLOOKUP(bron[[#This Row],[voertuig]],Voertuigen!A:C,3,FALSE)</f>
        <v>Tram</v>
      </c>
      <c r="K977" s="23" t="str">
        <f>VLOOKUP(bron[[#This Row],[voertuig]],Voertuigen!A:C,2,FALSE)</f>
        <v>Flexity</v>
      </c>
      <c r="L977" s="23">
        <f>COUNTIF(A:A,bron[[#This Row],[personeelsnr]])</f>
        <v>1</v>
      </c>
    </row>
    <row r="978" spans="1:12" hidden="1" x14ac:dyDescent="0.25">
      <c r="A978" s="24">
        <v>42252</v>
      </c>
      <c r="B978" t="str">
        <f>VLOOKUP(bron[[#This Row],[personeelsnr]],[1]Blad1!$A:$H,2,FALSE)</f>
        <v>Sular Abdullah</v>
      </c>
      <c r="C978" t="str">
        <f>VLOOKUP(bron[[#This Row],[personeelsnr]],[1]Blad1!$A:$H,3,FALSE)</f>
        <v>Sular</v>
      </c>
      <c r="D978" t="str">
        <f>VLOOKUP(bron[[#This Row],[personeelsnr]],[1]Blad1!$A:$H,4,FALSE)</f>
        <v>Abdullah</v>
      </c>
      <c r="E978" s="2" t="str">
        <f>VLOOKUP(bron[[#This Row],[personeelsnr]],[1]Blad1!$A:$H,8,FALSE)</f>
        <v>Rotty Christoff</v>
      </c>
      <c r="F978" s="26">
        <v>45982</v>
      </c>
      <c r="G978" s="27" t="s">
        <v>1272</v>
      </c>
      <c r="H978" s="25" t="s">
        <v>97</v>
      </c>
      <c r="I978" s="27">
        <v>104023</v>
      </c>
      <c r="J978" s="28" t="str">
        <f>VLOOKUP(bron[[#This Row],[voertuig]],Voertuigen!A:C,3,FALSE)</f>
        <v>Bus</v>
      </c>
      <c r="K978" s="28" t="str">
        <f>VLOOKUP(bron[[#This Row],[voertuig]],Voertuigen!A:C,2,FALSE)</f>
        <v>Gehuurd</v>
      </c>
      <c r="L978" s="28">
        <f>COUNTIF(A:A,bron[[#This Row],[personeelsnr]])</f>
        <v>5</v>
      </c>
    </row>
    <row r="979" spans="1:12" hidden="1" x14ac:dyDescent="0.25">
      <c r="A979" s="20">
        <v>39184</v>
      </c>
      <c r="B979" t="str">
        <f>VLOOKUP(bron[[#This Row],[personeelsnr]],[1]Blad1!$A:$H,2,FALSE)</f>
        <v>Shinwari Yasin</v>
      </c>
      <c r="C979" t="str">
        <f>VLOOKUP(bron[[#This Row],[personeelsnr]],[1]Blad1!$A:$H,3,FALSE)</f>
        <v>Shinwari</v>
      </c>
      <c r="D979" t="str">
        <f>VLOOKUP(bron[[#This Row],[personeelsnr]],[1]Blad1!$A:$H,4,FALSE)</f>
        <v>Yasin</v>
      </c>
      <c r="E979" s="2" t="str">
        <f>VLOOKUP(bron[[#This Row],[personeelsnr]],[1]Blad1!$A:$H,8,FALSE)</f>
        <v>Rotty Christoff</v>
      </c>
      <c r="F979" s="15">
        <v>45983</v>
      </c>
      <c r="G979" s="4" t="s">
        <v>1273</v>
      </c>
      <c r="H979" t="s">
        <v>73</v>
      </c>
      <c r="I979" s="4">
        <v>6359</v>
      </c>
      <c r="J979" s="23" t="str">
        <f>VLOOKUP(bron[[#This Row],[voertuig]],Voertuigen!A:C,3,FALSE)</f>
        <v>Tram</v>
      </c>
      <c r="K979" s="23" t="str">
        <f>VLOOKUP(bron[[#This Row],[voertuig]],Voertuigen!A:C,2,FALSE)</f>
        <v>Flexity</v>
      </c>
      <c r="L979" s="23">
        <f>COUNTIF(A:A,bron[[#This Row],[personeelsnr]])</f>
        <v>3</v>
      </c>
    </row>
    <row r="980" spans="1:12" hidden="1" x14ac:dyDescent="0.25">
      <c r="A980" s="20">
        <v>12124</v>
      </c>
      <c r="B980" t="str">
        <f>VLOOKUP(bron[[#This Row],[personeelsnr]],[1]Blad1!$A:$H,2,FALSE)</f>
        <v>Van Vliet Tom</v>
      </c>
      <c r="C980" t="str">
        <f>VLOOKUP(bron[[#This Row],[personeelsnr]],[1]Blad1!$A:$H,3,FALSE)</f>
        <v>Van Vliet</v>
      </c>
      <c r="D980" t="str">
        <f>VLOOKUP(bron[[#This Row],[personeelsnr]],[1]Blad1!$A:$H,4,FALSE)</f>
        <v>Tom</v>
      </c>
      <c r="E980" s="2" t="str">
        <f>VLOOKUP(bron[[#This Row],[personeelsnr]],[1]Blad1!$A:$H,8,FALSE)</f>
        <v>Storm Steven</v>
      </c>
      <c r="F980" s="15">
        <v>45984</v>
      </c>
      <c r="G980" s="5" t="s">
        <v>1274</v>
      </c>
      <c r="H980" t="s">
        <v>40</v>
      </c>
      <c r="I980" s="4">
        <v>6366</v>
      </c>
      <c r="J980" s="23" t="str">
        <f>VLOOKUP(bron[[#This Row],[voertuig]],Voertuigen!A:C,3,FALSE)</f>
        <v>Tram</v>
      </c>
      <c r="K980" s="23" t="str">
        <f>VLOOKUP(bron[[#This Row],[voertuig]],Voertuigen!A:C,2,FALSE)</f>
        <v>Flexity</v>
      </c>
      <c r="L980" s="23">
        <f>COUNTIF(A:A,bron[[#This Row],[personeelsnr]])</f>
        <v>5</v>
      </c>
    </row>
    <row r="981" spans="1:12" hidden="1" x14ac:dyDescent="0.25">
      <c r="A981" s="20">
        <v>36627</v>
      </c>
      <c r="B981" t="str">
        <f>VLOOKUP(bron[[#This Row],[personeelsnr]],[1]Blad1!$A:$H,2,FALSE)</f>
        <v>Dobbelaere David</v>
      </c>
      <c r="C981" t="str">
        <f>VLOOKUP(bron[[#This Row],[personeelsnr]],[1]Blad1!$A:$H,3,FALSE)</f>
        <v>Dobbelaere</v>
      </c>
      <c r="D981" t="str">
        <f>VLOOKUP(bron[[#This Row],[personeelsnr]],[1]Blad1!$A:$H,4,FALSE)</f>
        <v>David</v>
      </c>
      <c r="E981" s="2" t="str">
        <f>VLOOKUP(bron[[#This Row],[personeelsnr]],[1]Blad1!$A:$H,8,FALSE)</f>
        <v>Dewulf Els</v>
      </c>
      <c r="F981" s="15">
        <v>45984</v>
      </c>
      <c r="G981" s="4" t="s">
        <v>1275</v>
      </c>
      <c r="H981" t="s">
        <v>45</v>
      </c>
      <c r="I981" s="4">
        <v>5260</v>
      </c>
      <c r="J981" s="23" t="str">
        <f>VLOOKUP(bron[[#This Row],[voertuig]],Voertuigen!A:C,3,FALSE)</f>
        <v>Bus</v>
      </c>
      <c r="K981" s="23" t="str">
        <f>VLOOKUP(bron[[#This Row],[voertuig]],Voertuigen!A:C,2,FALSE)</f>
        <v>Gelede</v>
      </c>
      <c r="L981" s="23">
        <f>COUNTIF(A:A,bron[[#This Row],[personeelsnr]])</f>
        <v>5</v>
      </c>
    </row>
    <row r="982" spans="1:12" hidden="1" x14ac:dyDescent="0.25">
      <c r="A982" s="20">
        <v>41482</v>
      </c>
      <c r="B982" t="str">
        <f>VLOOKUP(bron[[#This Row],[personeelsnr]],[1]Blad1!$A:$H,2,FALSE)</f>
        <v>Özdemir Osman</v>
      </c>
      <c r="C982" t="str">
        <f>VLOOKUP(bron[[#This Row],[personeelsnr]],[1]Blad1!$A:$H,3,FALSE)</f>
        <v>Özdemir</v>
      </c>
      <c r="D982" t="str">
        <f>VLOOKUP(bron[[#This Row],[personeelsnr]],[1]Blad1!$A:$H,4,FALSE)</f>
        <v>Osman</v>
      </c>
      <c r="E982" s="2" t="str">
        <f>VLOOKUP(bron[[#This Row],[personeelsnr]],[1]Blad1!$A:$H,8,FALSE)</f>
        <v>Van Der Beken Bart</v>
      </c>
      <c r="F982" s="15">
        <v>45985</v>
      </c>
      <c r="G982" s="4" t="s">
        <v>1276</v>
      </c>
      <c r="H982" t="s">
        <v>15</v>
      </c>
      <c r="I982" s="4">
        <v>5054</v>
      </c>
      <c r="J982" s="23" t="str">
        <f>VLOOKUP(bron[[#This Row],[voertuig]],Voertuigen!A:C,3,FALSE)</f>
        <v>Bus</v>
      </c>
      <c r="K982" s="23" t="str">
        <f>VLOOKUP(bron[[#This Row],[voertuig]],Voertuigen!A:C,2,FALSE)</f>
        <v>Gelede</v>
      </c>
      <c r="L982" s="23">
        <f>COUNTIF(A:A,bron[[#This Row],[personeelsnr]])</f>
        <v>3</v>
      </c>
    </row>
    <row r="983" spans="1:12" hidden="1" x14ac:dyDescent="0.25">
      <c r="A983" s="20">
        <v>42307</v>
      </c>
      <c r="B983" t="e">
        <f>VLOOKUP(bron[[#This Row],[personeelsnr]],[1]Blad1!$A:$H,2,FALSE)</f>
        <v>#N/A</v>
      </c>
      <c r="C983" t="e">
        <f>VLOOKUP(bron[[#This Row],[personeelsnr]],[1]Blad1!$A:$H,3,FALSE)</f>
        <v>#N/A</v>
      </c>
      <c r="D983" t="e">
        <f>VLOOKUP(bron[[#This Row],[personeelsnr]],[1]Blad1!$A:$H,4,FALSE)</f>
        <v>#N/A</v>
      </c>
      <c r="E983" s="2" t="s">
        <v>221</v>
      </c>
      <c r="F983" s="15">
        <v>45986</v>
      </c>
      <c r="G983" s="4" t="s">
        <v>1277</v>
      </c>
      <c r="H983" t="s">
        <v>179</v>
      </c>
      <c r="I983" s="4">
        <v>5934</v>
      </c>
      <c r="J983" s="23" t="str">
        <f>VLOOKUP(bron[[#This Row],[voertuig]],Voertuigen!A:C,3,FALSE)</f>
        <v>Bus</v>
      </c>
      <c r="K983" s="23" t="str">
        <f>VLOOKUP(bron[[#This Row],[voertuig]],Voertuigen!A:C,2,FALSE)</f>
        <v>Standaard</v>
      </c>
      <c r="L983" s="23">
        <f>COUNTIF(A:A,bron[[#This Row],[personeelsnr]])</f>
        <v>3</v>
      </c>
    </row>
    <row r="984" spans="1:12" hidden="1" x14ac:dyDescent="0.25">
      <c r="A984" s="20">
        <v>25486</v>
      </c>
      <c r="B984" t="str">
        <f>VLOOKUP(bron[[#This Row],[personeelsnr]],[1]Blad1!$A:$H,2,FALSE)</f>
        <v>Goethals Bart</v>
      </c>
      <c r="C984" t="str">
        <f>VLOOKUP(bron[[#This Row],[personeelsnr]],[1]Blad1!$A:$H,3,FALSE)</f>
        <v>Goethals</v>
      </c>
      <c r="D984" t="str">
        <f>VLOOKUP(bron[[#This Row],[personeelsnr]],[1]Blad1!$A:$H,4,FALSE)</f>
        <v>Bart</v>
      </c>
      <c r="E984" s="2" t="str">
        <f>VLOOKUP(bron[[#This Row],[personeelsnr]],[1]Blad1!$A:$H,8,FALSE)</f>
        <v>Rotty Christoff</v>
      </c>
      <c r="F984" s="15">
        <v>45988</v>
      </c>
      <c r="G984" s="12" t="s">
        <v>1278</v>
      </c>
      <c r="H984" t="s">
        <v>112</v>
      </c>
      <c r="I984" s="4">
        <v>5927</v>
      </c>
      <c r="J984" s="23" t="str">
        <f>VLOOKUP(bron[[#This Row],[voertuig]],Voertuigen!A:C,3,FALSE)</f>
        <v>Bus</v>
      </c>
      <c r="K984" s="23" t="str">
        <f>VLOOKUP(bron[[#This Row],[voertuig]],Voertuigen!A:C,2,FALSE)</f>
        <v>Standaard</v>
      </c>
      <c r="L984" s="23">
        <f>COUNTIF(A:A,bron[[#This Row],[personeelsnr]])</f>
        <v>1</v>
      </c>
    </row>
    <row r="985" spans="1:12" hidden="1" x14ac:dyDescent="0.25">
      <c r="A985" s="20">
        <v>36635</v>
      </c>
      <c r="B985" t="str">
        <f>VLOOKUP(bron[[#This Row],[personeelsnr]],[1]Blad1!$A:$H,2,FALSE)</f>
        <v>Fadel Husam</v>
      </c>
      <c r="C985" t="str">
        <f>VLOOKUP(bron[[#This Row],[personeelsnr]],[1]Blad1!$A:$H,3,FALSE)</f>
        <v>Fadel</v>
      </c>
      <c r="D985" t="str">
        <f>VLOOKUP(bron[[#This Row],[personeelsnr]],[1]Blad1!$A:$H,4,FALSE)</f>
        <v>Husam</v>
      </c>
      <c r="E985" s="2" t="str">
        <f>VLOOKUP(bron[[#This Row],[personeelsnr]],[1]Blad1!$A:$H,8,FALSE)</f>
        <v>De Rick Kenneth</v>
      </c>
      <c r="F985" s="15">
        <v>45988</v>
      </c>
      <c r="G985" s="4" t="s">
        <v>1279</v>
      </c>
      <c r="H985" t="s">
        <v>22</v>
      </c>
      <c r="I985" s="4">
        <v>5770</v>
      </c>
      <c r="J985" s="23" t="str">
        <f>VLOOKUP(bron[[#This Row],[voertuig]],Voertuigen!A:C,3,FALSE)</f>
        <v>Bus</v>
      </c>
      <c r="K985" s="23" t="str">
        <f>VLOOKUP(bron[[#This Row],[voertuig]],Voertuigen!A:C,2,FALSE)</f>
        <v>Standaard</v>
      </c>
      <c r="L985" s="23">
        <f>COUNTIF(A:A,bron[[#This Row],[personeelsnr]])</f>
        <v>4</v>
      </c>
    </row>
    <row r="986" spans="1:12" hidden="1" x14ac:dyDescent="0.25">
      <c r="A986" s="20">
        <v>36627</v>
      </c>
      <c r="B986" t="str">
        <f>VLOOKUP(bron[[#This Row],[personeelsnr]],[1]Blad1!$A:$H,2,FALSE)</f>
        <v>Dobbelaere David</v>
      </c>
      <c r="C986" t="str">
        <f>VLOOKUP(bron[[#This Row],[personeelsnr]],[1]Blad1!$A:$H,3,FALSE)</f>
        <v>Dobbelaere</v>
      </c>
      <c r="D986" t="str">
        <f>VLOOKUP(bron[[#This Row],[personeelsnr]],[1]Blad1!$A:$H,4,FALSE)</f>
        <v>David</v>
      </c>
      <c r="E986" s="2" t="str">
        <f>VLOOKUP(bron[[#This Row],[personeelsnr]],[1]Blad1!$A:$H,8,FALSE)</f>
        <v>Dewulf Els</v>
      </c>
      <c r="F986" s="15">
        <v>45988</v>
      </c>
      <c r="G986" s="4" t="s">
        <v>1280</v>
      </c>
      <c r="H986" t="s">
        <v>29</v>
      </c>
      <c r="I986" s="4">
        <v>5229</v>
      </c>
      <c r="J986" s="23" t="str">
        <f>VLOOKUP(bron[[#This Row],[voertuig]],Voertuigen!A:C,3,FALSE)</f>
        <v>Bus</v>
      </c>
      <c r="K986" s="23" t="str">
        <f>VLOOKUP(bron[[#This Row],[voertuig]],Voertuigen!A:C,2,FALSE)</f>
        <v>Gelede</v>
      </c>
      <c r="L986" s="23">
        <f>COUNTIF(A:A,bron[[#This Row],[personeelsnr]])</f>
        <v>5</v>
      </c>
    </row>
    <row r="987" spans="1:12" hidden="1" x14ac:dyDescent="0.25">
      <c r="A987" s="20">
        <v>29478</v>
      </c>
      <c r="B987" t="str">
        <f>VLOOKUP(bron[[#This Row],[personeelsnr]],[1]Blad1!$A:$H,2,FALSE)</f>
        <v>Priwall Heike</v>
      </c>
      <c r="C987" t="str">
        <f>VLOOKUP(bron[[#This Row],[personeelsnr]],[1]Blad1!$A:$H,3,FALSE)</f>
        <v>Priwall</v>
      </c>
      <c r="D987" t="str">
        <f>VLOOKUP(bron[[#This Row],[personeelsnr]],[1]Blad1!$A:$H,4,FALSE)</f>
        <v>Heike</v>
      </c>
      <c r="E987" s="2" t="str">
        <f>VLOOKUP(bron[[#This Row],[personeelsnr]],[1]Blad1!$A:$H,8,FALSE)</f>
        <v>Dewulf Els</v>
      </c>
      <c r="F987" s="15">
        <v>45988</v>
      </c>
      <c r="G987" s="5" t="s">
        <v>1281</v>
      </c>
      <c r="H987" t="s">
        <v>9</v>
      </c>
      <c r="I987" s="4">
        <v>550310</v>
      </c>
      <c r="J987" s="23" t="str">
        <f>VLOOKUP(bron[[#This Row],[voertuig]],Voertuigen!A:C,3,FALSE)</f>
        <v>Bus</v>
      </c>
      <c r="K987" s="23" t="str">
        <f>VLOOKUP(bron[[#This Row],[voertuig]],Voertuigen!A:C,2,FALSE)</f>
        <v>Gehuurd</v>
      </c>
      <c r="L987" s="23">
        <f>COUNTIF(A:A,bron[[#This Row],[personeelsnr]])</f>
        <v>3</v>
      </c>
    </row>
    <row r="988" spans="1:12" hidden="1" x14ac:dyDescent="0.25">
      <c r="A988" s="20">
        <v>39575</v>
      </c>
      <c r="B988" t="str">
        <f>VLOOKUP(bron[[#This Row],[personeelsnr]],[1]Blad1!$A:$H,2,FALSE)</f>
        <v>Nguende Ngatcheu Ivan Belerd</v>
      </c>
      <c r="C988" t="str">
        <f>VLOOKUP(bron[[#This Row],[personeelsnr]],[1]Blad1!$A:$H,3,FALSE)</f>
        <v>Nguende Ngatcheu</v>
      </c>
      <c r="D988" t="str">
        <f>VLOOKUP(bron[[#This Row],[personeelsnr]],[1]Blad1!$A:$H,4,FALSE)</f>
        <v>Ivan Belerd</v>
      </c>
      <c r="E988" s="2" t="str">
        <f>VLOOKUP(bron[[#This Row],[personeelsnr]],[1]Blad1!$A:$H,8,FALSE)</f>
        <v>Dewulf Els</v>
      </c>
      <c r="F988" s="15">
        <v>45988</v>
      </c>
      <c r="G988" s="5" t="s">
        <v>3347</v>
      </c>
      <c r="H988" t="s">
        <v>2995</v>
      </c>
      <c r="I988" s="2">
        <v>5931</v>
      </c>
      <c r="J988" s="16" t="str">
        <f>VLOOKUP(bron[[#This Row],[voertuig]],Voertuigen!A:C,3,FALSE)</f>
        <v>Bus</v>
      </c>
      <c r="K988" s="16" t="str">
        <f>VLOOKUP(bron[[#This Row],[voertuig]],Voertuigen!A:C,2,FALSE)</f>
        <v>Standaard</v>
      </c>
      <c r="L988">
        <f>COUNTIF(A:A,bron[[#This Row],[personeelsnr]])</f>
        <v>2</v>
      </c>
    </row>
    <row r="989" spans="1:12" hidden="1" x14ac:dyDescent="0.25">
      <c r="A989" s="24">
        <v>26695</v>
      </c>
      <c r="B989" t="str">
        <f>VLOOKUP(bron[[#This Row],[personeelsnr]],[1]Blad1!$A:$H,2,FALSE)</f>
        <v>Lippens Miguel</v>
      </c>
      <c r="C989" t="str">
        <f>VLOOKUP(bron[[#This Row],[personeelsnr]],[1]Blad1!$A:$H,3,FALSE)</f>
        <v>Lippens</v>
      </c>
      <c r="D989" t="str">
        <f>VLOOKUP(bron[[#This Row],[personeelsnr]],[1]Blad1!$A:$H,4,FALSE)</f>
        <v>Miguel</v>
      </c>
      <c r="E989" s="2" t="str">
        <f>VLOOKUP(bron[[#This Row],[personeelsnr]],[1]Blad1!$A:$H,8,FALSE)</f>
        <v>Rotty Christoff</v>
      </c>
      <c r="F989" s="26">
        <v>45989</v>
      </c>
      <c r="G989" s="27" t="s">
        <v>1282</v>
      </c>
      <c r="H989" s="25" t="s">
        <v>30</v>
      </c>
      <c r="I989" s="27">
        <v>5774</v>
      </c>
      <c r="J989" s="28" t="str">
        <f>VLOOKUP(bron[[#This Row],[voertuig]],Voertuigen!A:C,3,FALSE)</f>
        <v>Bus</v>
      </c>
      <c r="K989" s="28" t="str">
        <f>VLOOKUP(bron[[#This Row],[voertuig]],Voertuigen!A:C,2,FALSE)</f>
        <v>Standaard</v>
      </c>
      <c r="L989" s="28">
        <f>COUNTIF(A:A,bron[[#This Row],[personeelsnr]])</f>
        <v>2</v>
      </c>
    </row>
    <row r="990" spans="1:12" hidden="1" x14ac:dyDescent="0.25">
      <c r="A990" s="20">
        <v>36336</v>
      </c>
      <c r="B990" t="str">
        <f>VLOOKUP(bron[[#This Row],[personeelsnr]],[1]Blad1!$A:$H,2,FALSE)</f>
        <v>Haenebalcke Peter</v>
      </c>
      <c r="C990" t="str">
        <f>VLOOKUP(bron[[#This Row],[personeelsnr]],[1]Blad1!$A:$H,3,FALSE)</f>
        <v>Haenebalcke</v>
      </c>
      <c r="D990" t="str">
        <f>VLOOKUP(bron[[#This Row],[personeelsnr]],[1]Blad1!$A:$H,4,FALSE)</f>
        <v>Peter</v>
      </c>
      <c r="E990" s="2" t="str">
        <f>VLOOKUP(bron[[#This Row],[personeelsnr]],[1]Blad1!$A:$H,8,FALSE)</f>
        <v>Van De Velde Lucie</v>
      </c>
      <c r="F990" s="15">
        <v>45989</v>
      </c>
      <c r="G990" s="4" t="s">
        <v>1283</v>
      </c>
      <c r="H990" t="s">
        <v>8</v>
      </c>
      <c r="I990" s="4">
        <v>5052</v>
      </c>
      <c r="J990" s="23" t="str">
        <f>VLOOKUP(bron[[#This Row],[voertuig]],Voertuigen!A:C,3,FALSE)</f>
        <v>Bus</v>
      </c>
      <c r="K990" s="23" t="str">
        <f>VLOOKUP(bron[[#This Row],[voertuig]],Voertuigen!A:C,2,FALSE)</f>
        <v>Gelede</v>
      </c>
      <c r="L990" s="23">
        <f>COUNTIF(A:A,bron[[#This Row],[personeelsnr]])</f>
        <v>1</v>
      </c>
    </row>
    <row r="991" spans="1:12" hidden="1" x14ac:dyDescent="0.25">
      <c r="A991" s="20">
        <v>12124</v>
      </c>
      <c r="B991" t="str">
        <f>VLOOKUP(bron[[#This Row],[personeelsnr]],[1]Blad1!$A:$H,2,FALSE)</f>
        <v>Van Vliet Tom</v>
      </c>
      <c r="C991" t="str">
        <f>VLOOKUP(bron[[#This Row],[personeelsnr]],[1]Blad1!$A:$H,3,FALSE)</f>
        <v>Van Vliet</v>
      </c>
      <c r="D991" t="str">
        <f>VLOOKUP(bron[[#This Row],[personeelsnr]],[1]Blad1!$A:$H,4,FALSE)</f>
        <v>Tom</v>
      </c>
      <c r="E991" s="2" t="str">
        <f>VLOOKUP(bron[[#This Row],[personeelsnr]],[1]Blad1!$A:$H,8,FALSE)</f>
        <v>Storm Steven</v>
      </c>
      <c r="F991" s="15">
        <v>45990</v>
      </c>
      <c r="G991" s="4" t="s">
        <v>1284</v>
      </c>
      <c r="H991" t="s">
        <v>120</v>
      </c>
      <c r="I991" s="4">
        <v>6369</v>
      </c>
      <c r="J991" s="23" t="str">
        <f>VLOOKUP(bron[[#This Row],[voertuig]],Voertuigen!A:C,3,FALSE)</f>
        <v>Tram</v>
      </c>
      <c r="K991" s="23" t="str">
        <f>VLOOKUP(bron[[#This Row],[voertuig]],Voertuigen!A:C,2,FALSE)</f>
        <v>Flexity</v>
      </c>
      <c r="L991" s="23">
        <f>COUNTIF(A:A,bron[[#This Row],[personeelsnr]])</f>
        <v>5</v>
      </c>
    </row>
    <row r="992" spans="1:12" hidden="1" x14ac:dyDescent="0.25">
      <c r="A992" s="20">
        <v>42002</v>
      </c>
      <c r="B992" t="str">
        <f>VLOOKUP(bron[[#This Row],[personeelsnr]],[1]Blad1!$A:$H,2,FALSE)</f>
        <v>Bogaert Kevin</v>
      </c>
      <c r="C992" t="str">
        <f>VLOOKUP(bron[[#This Row],[personeelsnr]],[1]Blad1!$A:$H,3,FALSE)</f>
        <v>Bogaert</v>
      </c>
      <c r="D992" t="str">
        <f>VLOOKUP(bron[[#This Row],[personeelsnr]],[1]Blad1!$A:$H,4,FALSE)</f>
        <v>Kevin</v>
      </c>
      <c r="E992" s="2" t="str">
        <f>VLOOKUP(bron[[#This Row],[personeelsnr]],[1]Blad1!$A:$H,8,FALSE)</f>
        <v>Vanhoe Els</v>
      </c>
      <c r="F992" s="15">
        <v>45990</v>
      </c>
      <c r="G992" s="4" t="s">
        <v>1285</v>
      </c>
      <c r="H992" t="s">
        <v>9</v>
      </c>
      <c r="I992" s="4">
        <v>5911</v>
      </c>
      <c r="J992" s="23" t="str">
        <f>VLOOKUP(bron[[#This Row],[voertuig]],Voertuigen!A:C,3,FALSE)</f>
        <v>Bus</v>
      </c>
      <c r="K992" s="23" t="str">
        <f>VLOOKUP(bron[[#This Row],[voertuig]],Voertuigen!A:C,2,FALSE)</f>
        <v>Standaard</v>
      </c>
      <c r="L992" s="23">
        <f>COUNTIF(A:A,bron[[#This Row],[personeelsnr]])</f>
        <v>3</v>
      </c>
    </row>
    <row r="993" spans="1:12" hidden="1" x14ac:dyDescent="0.25">
      <c r="A993" s="20">
        <v>17954</v>
      </c>
      <c r="B993" t="str">
        <f>VLOOKUP(bron[[#This Row],[personeelsnr]],[1]Blad1!$A:$H,2,FALSE)</f>
        <v>Vanlerberghe Rudy</v>
      </c>
      <c r="C993" t="str">
        <f>VLOOKUP(bron[[#This Row],[personeelsnr]],[1]Blad1!$A:$H,3,FALSE)</f>
        <v>Vanlerberghe</v>
      </c>
      <c r="D993" t="str">
        <f>VLOOKUP(bron[[#This Row],[personeelsnr]],[1]Blad1!$A:$H,4,FALSE)</f>
        <v>Rudy</v>
      </c>
      <c r="E993" s="2" t="str">
        <f>VLOOKUP(bron[[#This Row],[personeelsnr]],[1]Blad1!$A:$H,8,FALSE)</f>
        <v>Van De Velde Lucie</v>
      </c>
      <c r="F993" s="15">
        <v>45992</v>
      </c>
      <c r="G993" s="4" t="s">
        <v>1286</v>
      </c>
      <c r="H993" t="s">
        <v>7</v>
      </c>
      <c r="I993" s="4">
        <v>6314</v>
      </c>
      <c r="J993" s="23" t="str">
        <f>VLOOKUP(bron[[#This Row],[voertuig]],Voertuigen!A:C,3,FALSE)</f>
        <v>Tram</v>
      </c>
      <c r="K993" s="23" t="str">
        <f>VLOOKUP(bron[[#This Row],[voertuig]],Voertuigen!A:C,2,FALSE)</f>
        <v>Hermelijn</v>
      </c>
      <c r="L993" s="23">
        <f>COUNTIF(A:A,bron[[#This Row],[personeelsnr]])</f>
        <v>1</v>
      </c>
    </row>
    <row r="994" spans="1:12" hidden="1" x14ac:dyDescent="0.25">
      <c r="A994" s="20">
        <v>33049</v>
      </c>
      <c r="B994" t="str">
        <f>VLOOKUP(bron[[#This Row],[personeelsnr]],[1]Blad1!$A:$H,2,FALSE)</f>
        <v>Depaepe Dirk</v>
      </c>
      <c r="C994" t="str">
        <f>VLOOKUP(bron[[#This Row],[personeelsnr]],[1]Blad1!$A:$H,3,FALSE)</f>
        <v>Depaepe</v>
      </c>
      <c r="D994" t="str">
        <f>VLOOKUP(bron[[#This Row],[personeelsnr]],[1]Blad1!$A:$H,4,FALSE)</f>
        <v>Dirk</v>
      </c>
      <c r="E994" s="2" t="str">
        <f>VLOOKUP(bron[[#This Row],[personeelsnr]],[1]Blad1!$A:$H,8,FALSE)</f>
        <v>De Rick Kenneth</v>
      </c>
      <c r="F994" s="15">
        <v>45992</v>
      </c>
      <c r="G994" s="4" t="s">
        <v>1287</v>
      </c>
      <c r="H994" t="s">
        <v>7</v>
      </c>
      <c r="I994" s="4">
        <v>6326</v>
      </c>
      <c r="J994" s="23" t="str">
        <f>VLOOKUP(bron[[#This Row],[voertuig]],Voertuigen!A:C,3,FALSE)</f>
        <v>Tram</v>
      </c>
      <c r="K994" s="23" t="str">
        <f>VLOOKUP(bron[[#This Row],[voertuig]],Voertuigen!A:C,2,FALSE)</f>
        <v>Hermelijn</v>
      </c>
      <c r="L994" s="23">
        <f>COUNTIF(A:A,bron[[#This Row],[personeelsnr]])</f>
        <v>1</v>
      </c>
    </row>
    <row r="995" spans="1:12" hidden="1" x14ac:dyDescent="0.25">
      <c r="A995" s="20">
        <v>32245</v>
      </c>
      <c r="B995" t="str">
        <f>VLOOKUP(bron[[#This Row],[personeelsnr]],[1]Blad1!$A:$H,2,FALSE)</f>
        <v>Verlinden Bianca</v>
      </c>
      <c r="C995" t="str">
        <f>VLOOKUP(bron[[#This Row],[personeelsnr]],[1]Blad1!$A:$H,3,FALSE)</f>
        <v>Verlinden</v>
      </c>
      <c r="D995" t="str">
        <f>VLOOKUP(bron[[#This Row],[personeelsnr]],[1]Blad1!$A:$H,4,FALSE)</f>
        <v>Bianca</v>
      </c>
      <c r="E995" s="2" t="str">
        <f>VLOOKUP(bron[[#This Row],[personeelsnr]],[1]Blad1!$A:$H,8,FALSE)</f>
        <v>Vanhoe Els</v>
      </c>
      <c r="F995" s="15">
        <v>45992</v>
      </c>
      <c r="G995" s="12" t="s">
        <v>1288</v>
      </c>
      <c r="H995" t="s">
        <v>362</v>
      </c>
      <c r="I995" s="4">
        <v>5221</v>
      </c>
      <c r="J995" s="23" t="str">
        <f>VLOOKUP(bron[[#This Row],[voertuig]],Voertuigen!A:C,3,FALSE)</f>
        <v>Bus</v>
      </c>
      <c r="K995" s="23" t="str">
        <f>VLOOKUP(bron[[#This Row],[voertuig]],Voertuigen!A:C,2,FALSE)</f>
        <v>Gelede</v>
      </c>
      <c r="L995" s="23">
        <f>COUNTIF(A:A,bron[[#This Row],[personeelsnr]])</f>
        <v>2</v>
      </c>
    </row>
    <row r="996" spans="1:12" hidden="1" x14ac:dyDescent="0.25">
      <c r="A996" s="24">
        <v>23924</v>
      </c>
      <c r="B996" t="str">
        <f>VLOOKUP(bron[[#This Row],[personeelsnr]],[1]Blad1!$A:$H,2,FALSE)</f>
        <v>Planckaert Jurgen</v>
      </c>
      <c r="C996" t="str">
        <f>VLOOKUP(bron[[#This Row],[personeelsnr]],[1]Blad1!$A:$H,3,FALSE)</f>
        <v>Planckaert</v>
      </c>
      <c r="D996" t="str">
        <f>VLOOKUP(bron[[#This Row],[personeelsnr]],[1]Blad1!$A:$H,4,FALSE)</f>
        <v>Jurgen</v>
      </c>
      <c r="E996" s="2" t="str">
        <f>VLOOKUP(bron[[#This Row],[personeelsnr]],[1]Blad1!$A:$H,8,FALSE)</f>
        <v>Rotty Christoff</v>
      </c>
      <c r="F996" s="26">
        <v>45994</v>
      </c>
      <c r="G996" s="27" t="s">
        <v>1289</v>
      </c>
      <c r="H996" s="25" t="s">
        <v>1290</v>
      </c>
      <c r="I996" s="27">
        <v>6309</v>
      </c>
      <c r="J996" s="28" t="str">
        <f>VLOOKUP(bron[[#This Row],[voertuig]],Voertuigen!A:C,3,FALSE)</f>
        <v>Tram</v>
      </c>
      <c r="K996" s="28" t="str">
        <f>VLOOKUP(bron[[#This Row],[voertuig]],Voertuigen!A:C,2,FALSE)</f>
        <v>Hermelijn</v>
      </c>
      <c r="L996" s="28">
        <f>COUNTIF(A:A,bron[[#This Row],[personeelsnr]])</f>
        <v>1</v>
      </c>
    </row>
    <row r="997" spans="1:12" hidden="1" x14ac:dyDescent="0.25">
      <c r="A997" s="20">
        <v>16280</v>
      </c>
      <c r="B997" t="str">
        <f>VLOOKUP(bron[[#This Row],[personeelsnr]],[1]Blad1!$A:$H,2,FALSE)</f>
        <v>Bouckhout Ingeborg</v>
      </c>
      <c r="C997" t="str">
        <f>VLOOKUP(bron[[#This Row],[personeelsnr]],[1]Blad1!$A:$H,3,FALSE)</f>
        <v>Bouckhout</v>
      </c>
      <c r="D997" t="str">
        <f>VLOOKUP(bron[[#This Row],[personeelsnr]],[1]Blad1!$A:$H,4,FALSE)</f>
        <v>Ingeborg</v>
      </c>
      <c r="E997" s="2" t="str">
        <f>VLOOKUP(bron[[#This Row],[personeelsnr]],[1]Blad1!$A:$H,8,FALSE)</f>
        <v>Van De Velde Lucie</v>
      </c>
      <c r="F997" s="15">
        <v>45994</v>
      </c>
      <c r="G997" s="4" t="s">
        <v>1291</v>
      </c>
      <c r="H997" t="s">
        <v>202</v>
      </c>
      <c r="I997" s="4">
        <v>6320</v>
      </c>
      <c r="J997" s="23" t="str">
        <f>VLOOKUP(bron[[#This Row],[voertuig]],Voertuigen!A:C,3,FALSE)</f>
        <v>Tram</v>
      </c>
      <c r="K997" s="23" t="str">
        <f>VLOOKUP(bron[[#This Row],[voertuig]],Voertuigen!A:C,2,FALSE)</f>
        <v>Hermelijn</v>
      </c>
      <c r="L997" s="23">
        <f>COUNTIF(A:A,bron[[#This Row],[personeelsnr]])</f>
        <v>1</v>
      </c>
    </row>
    <row r="998" spans="1:12" hidden="1" x14ac:dyDescent="0.25">
      <c r="A998" s="20">
        <v>15320</v>
      </c>
      <c r="B998" t="str">
        <f>VLOOKUP(bron[[#This Row],[personeelsnr]],[1]Blad1!$A:$H,2,FALSE)</f>
        <v>Vandenberghe Filip</v>
      </c>
      <c r="C998" t="str">
        <f>VLOOKUP(bron[[#This Row],[personeelsnr]],[1]Blad1!$A:$H,3,FALSE)</f>
        <v>Vandenberghe</v>
      </c>
      <c r="D998" t="str">
        <f>VLOOKUP(bron[[#This Row],[personeelsnr]],[1]Blad1!$A:$H,4,FALSE)</f>
        <v>Filip</v>
      </c>
      <c r="E998" s="2" t="str">
        <f>VLOOKUP(bron[[#This Row],[personeelsnr]],[1]Blad1!$A:$H,8,FALSE)</f>
        <v>Vanhoe Els</v>
      </c>
      <c r="F998" s="15">
        <v>45994</v>
      </c>
      <c r="G998" s="4" t="s">
        <v>1292</v>
      </c>
      <c r="H998" t="s">
        <v>90</v>
      </c>
      <c r="I998" s="4">
        <v>5039</v>
      </c>
      <c r="J998" s="23" t="str">
        <f>VLOOKUP(bron[[#This Row],[voertuig]],Voertuigen!A:C,3,FALSE)</f>
        <v>Bus</v>
      </c>
      <c r="K998" s="23" t="str">
        <f>VLOOKUP(bron[[#This Row],[voertuig]],Voertuigen!A:C,2,FALSE)</f>
        <v>Gelede</v>
      </c>
      <c r="L998" s="23">
        <f>COUNTIF(A:A,bron[[#This Row],[personeelsnr]])</f>
        <v>2</v>
      </c>
    </row>
    <row r="999" spans="1:12" hidden="1" x14ac:dyDescent="0.25">
      <c r="A999" s="20">
        <v>38580</v>
      </c>
      <c r="B999" t="str">
        <f>VLOOKUP(bron[[#This Row],[personeelsnr]],[1]Blad1!$A:$H,2,FALSE)</f>
        <v>Smajla Samet</v>
      </c>
      <c r="C999" t="str">
        <f>VLOOKUP(bron[[#This Row],[personeelsnr]],[1]Blad1!$A:$H,3,FALSE)</f>
        <v>Smajla</v>
      </c>
      <c r="D999" t="str">
        <f>VLOOKUP(bron[[#This Row],[personeelsnr]],[1]Blad1!$A:$H,4,FALSE)</f>
        <v>Samet</v>
      </c>
      <c r="E999" s="2" t="str">
        <f>VLOOKUP(bron[[#This Row],[personeelsnr]],[1]Blad1!$A:$H,8,FALSE)</f>
        <v>Dewulf Els</v>
      </c>
      <c r="F999" s="15">
        <v>45995</v>
      </c>
      <c r="G999" s="4" t="s">
        <v>1293</v>
      </c>
      <c r="H999" t="s">
        <v>762</v>
      </c>
      <c r="I999" s="4">
        <v>4952</v>
      </c>
      <c r="J999" s="23" t="str">
        <f>VLOOKUP(bron[[#This Row],[voertuig]],Voertuigen!A:C,3,FALSE)</f>
        <v>Bus</v>
      </c>
      <c r="K999" s="23" t="str">
        <f>VLOOKUP(bron[[#This Row],[voertuig]],Voertuigen!A:C,2,FALSE)</f>
        <v>Gelede</v>
      </c>
      <c r="L999" s="23">
        <f>COUNTIF(A:A,bron[[#This Row],[personeelsnr]])</f>
        <v>2</v>
      </c>
    </row>
    <row r="1000" spans="1:12" hidden="1" x14ac:dyDescent="0.25">
      <c r="A1000" s="20">
        <v>39183</v>
      </c>
      <c r="B1000" t="str">
        <f>VLOOKUP(bron[[#This Row],[personeelsnr]],[1]Blad1!$A:$H,2,FALSE)</f>
        <v>Al Masri Anas</v>
      </c>
      <c r="C1000" t="str">
        <f>VLOOKUP(bron[[#This Row],[personeelsnr]],[1]Blad1!$A:$H,3,FALSE)</f>
        <v>Al Masri</v>
      </c>
      <c r="D1000" t="str">
        <f>VLOOKUP(bron[[#This Row],[personeelsnr]],[1]Blad1!$A:$H,4,FALSE)</f>
        <v>Anas</v>
      </c>
      <c r="E1000" s="2" t="str">
        <f>VLOOKUP(bron[[#This Row],[personeelsnr]],[1]Blad1!$A:$H,8,FALSE)</f>
        <v>Rotty Christoff</v>
      </c>
      <c r="F1000" s="15">
        <v>45995</v>
      </c>
      <c r="G1000" s="4" t="s">
        <v>1294</v>
      </c>
      <c r="H1000" t="s">
        <v>1295</v>
      </c>
      <c r="I1000" s="4">
        <v>2193</v>
      </c>
      <c r="J1000" s="23" t="str">
        <f>VLOOKUP(bron[[#This Row],[voertuig]],Voertuigen!A:C,3,FALSE)</f>
        <v>Bus</v>
      </c>
      <c r="K1000" s="23" t="str">
        <f>VLOOKUP(bron[[#This Row],[voertuig]],Voertuigen!A:C,2,FALSE)</f>
        <v>Gelede</v>
      </c>
      <c r="L1000" s="23">
        <f>COUNTIF(A:A,bron[[#This Row],[personeelsnr]])</f>
        <v>5</v>
      </c>
    </row>
    <row r="1001" spans="1:12" hidden="1" x14ac:dyDescent="0.25">
      <c r="A1001" s="20">
        <v>31891</v>
      </c>
      <c r="B1001" t="str">
        <f>VLOOKUP(bron[[#This Row],[personeelsnr]],[1]Blad1!$A:$H,2,FALSE)</f>
        <v>De Wilde Dimitry</v>
      </c>
      <c r="C1001" t="str">
        <f>VLOOKUP(bron[[#This Row],[personeelsnr]],[1]Blad1!$A:$H,3,FALSE)</f>
        <v>De Wilde</v>
      </c>
      <c r="D1001" t="str">
        <f>VLOOKUP(bron[[#This Row],[personeelsnr]],[1]Blad1!$A:$H,4,FALSE)</f>
        <v>Dimitry</v>
      </c>
      <c r="E1001" s="2" t="str">
        <f>VLOOKUP(bron[[#This Row],[personeelsnr]],[1]Blad1!$A:$H,8,FALSE)</f>
        <v>Van Der Beken Bart</v>
      </c>
      <c r="F1001" s="15">
        <v>45995</v>
      </c>
      <c r="G1001" s="4" t="s">
        <v>1296</v>
      </c>
      <c r="H1001" t="s">
        <v>7</v>
      </c>
      <c r="I1001" s="4">
        <v>6314</v>
      </c>
      <c r="J1001" s="23" t="str">
        <f>VLOOKUP(bron[[#This Row],[voertuig]],Voertuigen!A:C,3,FALSE)</f>
        <v>Tram</v>
      </c>
      <c r="K1001" s="23" t="str">
        <f>VLOOKUP(bron[[#This Row],[voertuig]],Voertuigen!A:C,2,FALSE)</f>
        <v>Hermelijn</v>
      </c>
      <c r="L1001" s="23">
        <f>COUNTIF(A:A,bron[[#This Row],[personeelsnr]])</f>
        <v>1</v>
      </c>
    </row>
    <row r="1002" spans="1:12" hidden="1" x14ac:dyDescent="0.25">
      <c r="A1002" s="20">
        <v>28070</v>
      </c>
      <c r="B1002" t="s">
        <v>3314</v>
      </c>
      <c r="C1002" t="s">
        <v>2521</v>
      </c>
      <c r="D1002" t="s">
        <v>1387</v>
      </c>
      <c r="E1002" s="2" t="s">
        <v>3312</v>
      </c>
      <c r="F1002" s="15">
        <v>45995</v>
      </c>
      <c r="G1002" s="4" t="s">
        <v>3013</v>
      </c>
      <c r="H1002" t="s">
        <v>3012</v>
      </c>
      <c r="I1002" s="2">
        <v>6337</v>
      </c>
      <c r="J1002" s="16" t="str">
        <f>VLOOKUP(bron[[#This Row],[voertuig]],Voertuigen!A:C,3,FALSE)</f>
        <v>Tram</v>
      </c>
      <c r="K1002" s="16" t="str">
        <f>VLOOKUP(bron[[#This Row],[voertuig]],Voertuigen!A:C,2,FALSE)</f>
        <v>Hermelijn</v>
      </c>
      <c r="L1002">
        <f>COUNTIF(A:A,bron[[#This Row],[personeelsnr]])</f>
        <v>1</v>
      </c>
    </row>
    <row r="1003" spans="1:12" hidden="1" x14ac:dyDescent="0.25">
      <c r="A1003" s="20">
        <v>36438</v>
      </c>
      <c r="B1003" t="str">
        <f>VLOOKUP(bron[[#This Row],[personeelsnr]],[1]Blad1!$A:$H,2,FALSE)</f>
        <v>Agil Birol</v>
      </c>
      <c r="C1003" t="str">
        <f>VLOOKUP(bron[[#This Row],[personeelsnr]],[1]Blad1!$A:$H,3,FALSE)</f>
        <v>Agil</v>
      </c>
      <c r="D1003" t="str">
        <f>VLOOKUP(bron[[#This Row],[personeelsnr]],[1]Blad1!$A:$H,4,FALSE)</f>
        <v>Birol</v>
      </c>
      <c r="E1003" s="2" t="str">
        <f>VLOOKUP(bron[[#This Row],[personeelsnr]],[1]Blad1!$A:$H,8,FALSE)</f>
        <v>Van Der Beken Bart</v>
      </c>
      <c r="F1003" s="15">
        <v>45996</v>
      </c>
      <c r="G1003" s="4" t="s">
        <v>1297</v>
      </c>
      <c r="H1003" t="s">
        <v>23</v>
      </c>
      <c r="I1003" s="4">
        <v>5273</v>
      </c>
      <c r="J1003" s="23" t="str">
        <f>VLOOKUP(bron[[#This Row],[voertuig]],Voertuigen!A:C,3,FALSE)</f>
        <v>Bus</v>
      </c>
      <c r="K1003" s="23" t="str">
        <f>VLOOKUP(bron[[#This Row],[voertuig]],Voertuigen!A:C,2,FALSE)</f>
        <v>Gelede</v>
      </c>
      <c r="L1003" s="23">
        <f>COUNTIF(A:A,bron[[#This Row],[personeelsnr]])</f>
        <v>5</v>
      </c>
    </row>
    <row r="1004" spans="1:12" hidden="1" x14ac:dyDescent="0.25">
      <c r="A1004" s="20">
        <v>36438</v>
      </c>
      <c r="B1004" t="str">
        <f>VLOOKUP(bron[[#This Row],[personeelsnr]],[1]Blad1!$A:$H,2,FALSE)</f>
        <v>Agil Birol</v>
      </c>
      <c r="C1004" t="str">
        <f>VLOOKUP(bron[[#This Row],[personeelsnr]],[1]Blad1!$A:$H,3,FALSE)</f>
        <v>Agil</v>
      </c>
      <c r="D1004" t="str">
        <f>VLOOKUP(bron[[#This Row],[personeelsnr]],[1]Blad1!$A:$H,4,FALSE)</f>
        <v>Birol</v>
      </c>
      <c r="E1004" s="2" t="str">
        <f>VLOOKUP(bron[[#This Row],[personeelsnr]],[1]Blad1!$A:$H,8,FALSE)</f>
        <v>Van Der Beken Bart</v>
      </c>
      <c r="F1004" s="15">
        <v>45997</v>
      </c>
      <c r="G1004" s="4" t="s">
        <v>1298</v>
      </c>
      <c r="H1004" t="s">
        <v>66</v>
      </c>
      <c r="I1004" s="2">
        <v>6320</v>
      </c>
      <c r="J1004" s="16" t="str">
        <f>VLOOKUP(bron[[#This Row],[voertuig]],Voertuigen!A:C,3,FALSE)</f>
        <v>Tram</v>
      </c>
      <c r="K1004" s="16" t="str">
        <f>VLOOKUP(bron[[#This Row],[voertuig]],Voertuigen!A:C,2,FALSE)</f>
        <v>Hermelijn</v>
      </c>
      <c r="L1004">
        <f>COUNTIF(A:A,bron[[#This Row],[personeelsnr]])</f>
        <v>5</v>
      </c>
    </row>
    <row r="1005" spans="1:12" hidden="1" x14ac:dyDescent="0.25">
      <c r="A1005" s="20">
        <v>38013</v>
      </c>
      <c r="B1005" t="str">
        <f>VLOOKUP(bron[[#This Row],[personeelsnr]],[1]Blad1!$A:$H,2,FALSE)</f>
        <v>Mine Akin</v>
      </c>
      <c r="C1005" t="str">
        <f>VLOOKUP(bron[[#This Row],[personeelsnr]],[1]Blad1!$A:$H,3,FALSE)</f>
        <v>Mine</v>
      </c>
      <c r="D1005" t="str">
        <f>VLOOKUP(bron[[#This Row],[personeelsnr]],[1]Blad1!$A:$H,4,FALSE)</f>
        <v>Akin</v>
      </c>
      <c r="E1005" s="2" t="str">
        <f>VLOOKUP(bron[[#This Row],[personeelsnr]],[1]Blad1!$A:$H,8,FALSE)</f>
        <v>Van De Velde Lucie</v>
      </c>
      <c r="F1005" s="15">
        <v>45997</v>
      </c>
      <c r="G1005" s="4" t="s">
        <v>1299</v>
      </c>
      <c r="H1005" t="s">
        <v>1300</v>
      </c>
      <c r="I1005" s="4">
        <v>2193</v>
      </c>
      <c r="J1005" s="23" t="str">
        <f>VLOOKUP(bron[[#This Row],[voertuig]],Voertuigen!A:C,3,FALSE)</f>
        <v>Bus</v>
      </c>
      <c r="K1005" s="23" t="str">
        <f>VLOOKUP(bron[[#This Row],[voertuig]],Voertuigen!A:C,2,FALSE)</f>
        <v>Gelede</v>
      </c>
      <c r="L1005" s="23">
        <f>COUNTIF(A:A,bron[[#This Row],[personeelsnr]])</f>
        <v>2</v>
      </c>
    </row>
    <row r="1006" spans="1:12" hidden="1" x14ac:dyDescent="0.25">
      <c r="A1006" s="20">
        <v>37662</v>
      </c>
      <c r="B1006" t="str">
        <f>VLOOKUP(bron[[#This Row],[personeelsnr]],[1]Blad1!$A:$H,2,FALSE)</f>
        <v>Van den Meerssche Steven</v>
      </c>
      <c r="C1006" t="str">
        <f>VLOOKUP(bron[[#This Row],[personeelsnr]],[1]Blad1!$A:$H,3,FALSE)</f>
        <v>Van den Meerssche</v>
      </c>
      <c r="D1006" t="str">
        <f>VLOOKUP(bron[[#This Row],[personeelsnr]],[1]Blad1!$A:$H,4,FALSE)</f>
        <v>Steven</v>
      </c>
      <c r="E1006" s="2" t="str">
        <f>VLOOKUP(bron[[#This Row],[personeelsnr]],[1]Blad1!$A:$H,8,FALSE)</f>
        <v>Van Der Beken Bart</v>
      </c>
      <c r="F1006" s="15">
        <v>45998</v>
      </c>
      <c r="G1006" s="4" t="s">
        <v>1301</v>
      </c>
      <c r="H1006" t="s">
        <v>112</v>
      </c>
      <c r="I1006" s="4">
        <v>5936</v>
      </c>
      <c r="J1006" s="23" t="str">
        <f>VLOOKUP(bron[[#This Row],[voertuig]],Voertuigen!A:C,3,FALSE)</f>
        <v>Bus</v>
      </c>
      <c r="K1006" s="23" t="str">
        <f>VLOOKUP(bron[[#This Row],[voertuig]],Voertuigen!A:C,2,FALSE)</f>
        <v>Standaard</v>
      </c>
      <c r="L1006" s="23">
        <f>COUNTIF(A:A,bron[[#This Row],[personeelsnr]])</f>
        <v>9</v>
      </c>
    </row>
    <row r="1007" spans="1:12" hidden="1" x14ac:dyDescent="0.25">
      <c r="A1007" s="20">
        <v>40652</v>
      </c>
      <c r="B1007" t="str">
        <f>VLOOKUP(bron[[#This Row],[personeelsnr]],[1]Blad1!$A:$H,2,FALSE)</f>
        <v>Van Damme Gilyann</v>
      </c>
      <c r="C1007" t="str">
        <f>VLOOKUP(bron[[#This Row],[personeelsnr]],[1]Blad1!$A:$H,3,FALSE)</f>
        <v>Van Damme</v>
      </c>
      <c r="D1007" t="str">
        <f>VLOOKUP(bron[[#This Row],[personeelsnr]],[1]Blad1!$A:$H,4,FALSE)</f>
        <v>Gilyann</v>
      </c>
      <c r="E1007" s="2" t="str">
        <f>VLOOKUP(bron[[#This Row],[personeelsnr]],[1]Blad1!$A:$H,8,FALSE)</f>
        <v>Vanhoe Els</v>
      </c>
      <c r="F1007" s="15">
        <v>45999</v>
      </c>
      <c r="G1007" s="12" t="s">
        <v>1302</v>
      </c>
      <c r="H1007" t="s">
        <v>16</v>
      </c>
      <c r="I1007" s="2">
        <v>5487</v>
      </c>
      <c r="J1007" s="16" t="str">
        <f>VLOOKUP(bron[[#This Row],[voertuig]],Voertuigen!A:C,3,FALSE)</f>
        <v>Bus</v>
      </c>
      <c r="K1007" s="16" t="str">
        <f>VLOOKUP(bron[[#This Row],[voertuig]],Voertuigen!A:C,2,FALSE)</f>
        <v>Standaard</v>
      </c>
      <c r="L1007">
        <f>COUNTIF(A:A,bron[[#This Row],[personeelsnr]])</f>
        <v>8</v>
      </c>
    </row>
    <row r="1008" spans="1:12" hidden="1" x14ac:dyDescent="0.25">
      <c r="A1008" s="20">
        <v>42022</v>
      </c>
      <c r="B1008" t="str">
        <f>VLOOKUP(bron[[#This Row],[personeelsnr]],[1]Blad1!$A:$H,2,FALSE)</f>
        <v>Safi Amrullah</v>
      </c>
      <c r="C1008" t="str">
        <f>VLOOKUP(bron[[#This Row],[personeelsnr]],[1]Blad1!$A:$H,3,FALSE)</f>
        <v>Safi</v>
      </c>
      <c r="D1008" t="str">
        <f>VLOOKUP(bron[[#This Row],[personeelsnr]],[1]Blad1!$A:$H,4,FALSE)</f>
        <v>Amrullah</v>
      </c>
      <c r="E1008" s="2" t="str">
        <f>VLOOKUP(bron[[#This Row],[personeelsnr]],[1]Blad1!$A:$H,8,FALSE)</f>
        <v>Vanhoe Els</v>
      </c>
      <c r="F1008" s="15">
        <v>45999</v>
      </c>
      <c r="G1008" s="4" t="s">
        <v>1303</v>
      </c>
      <c r="H1008" t="s">
        <v>142</v>
      </c>
      <c r="I1008" s="4">
        <v>5935</v>
      </c>
      <c r="J1008" s="23" t="str">
        <f>VLOOKUP(bron[[#This Row],[voertuig]],Voertuigen!A:C,3,FALSE)</f>
        <v>Bus</v>
      </c>
      <c r="K1008" s="23" t="str">
        <f>VLOOKUP(bron[[#This Row],[voertuig]],Voertuigen!A:C,2,FALSE)</f>
        <v>Standaard</v>
      </c>
      <c r="L1008" s="23">
        <f>COUNTIF(A:A,bron[[#This Row],[personeelsnr]])</f>
        <v>1</v>
      </c>
    </row>
    <row r="1009" spans="1:12" hidden="1" x14ac:dyDescent="0.25">
      <c r="A1009" s="20">
        <v>29477</v>
      </c>
      <c r="B1009" t="str">
        <f>VLOOKUP(bron[[#This Row],[personeelsnr]],[1]Blad1!$A:$H,2,FALSE)</f>
        <v>De Vuyst Boyke</v>
      </c>
      <c r="C1009" t="str">
        <f>VLOOKUP(bron[[#This Row],[personeelsnr]],[1]Blad1!$A:$H,3,FALSE)</f>
        <v>De Vuyst</v>
      </c>
      <c r="D1009" t="str">
        <f>VLOOKUP(bron[[#This Row],[personeelsnr]],[1]Blad1!$A:$H,4,FALSE)</f>
        <v>Boyke</v>
      </c>
      <c r="E1009" s="2" t="str">
        <f>VLOOKUP(bron[[#This Row],[personeelsnr]],[1]Blad1!$A:$H,8,FALSE)</f>
        <v>Van De Velde Lucie</v>
      </c>
      <c r="F1009" s="15">
        <v>45999</v>
      </c>
      <c r="G1009" s="4" t="s">
        <v>1304</v>
      </c>
      <c r="H1009" t="s">
        <v>11</v>
      </c>
      <c r="I1009" s="2">
        <v>5489</v>
      </c>
      <c r="J1009" s="16" t="str">
        <f>VLOOKUP(bron[[#This Row],[voertuig]],Voertuigen!A:C,3,FALSE)</f>
        <v>Bus</v>
      </c>
      <c r="K1009" s="16" t="str">
        <f>VLOOKUP(bron[[#This Row],[voertuig]],Voertuigen!A:C,2,FALSE)</f>
        <v>Standaard</v>
      </c>
      <c r="L1009">
        <f>COUNTIF(A:A,bron[[#This Row],[personeelsnr]])</f>
        <v>3</v>
      </c>
    </row>
    <row r="1010" spans="1:12" hidden="1" x14ac:dyDescent="0.25">
      <c r="A1010" s="20">
        <v>32611</v>
      </c>
      <c r="B1010" t="str">
        <f>VLOOKUP(bron[[#This Row],[personeelsnr]],[1]Blad1!$A:$H,2,FALSE)</f>
        <v>Özer Özgur</v>
      </c>
      <c r="C1010" t="str">
        <f>VLOOKUP(bron[[#This Row],[personeelsnr]],[1]Blad1!$A:$H,3,FALSE)</f>
        <v>Özer</v>
      </c>
      <c r="D1010" t="str">
        <f>VLOOKUP(bron[[#This Row],[personeelsnr]],[1]Blad1!$A:$H,4,FALSE)</f>
        <v>Özgur</v>
      </c>
      <c r="E1010" s="2" t="str">
        <f>VLOOKUP(bron[[#This Row],[personeelsnr]],[1]Blad1!$A:$H,8,FALSE)</f>
        <v>De Rick Kenneth</v>
      </c>
      <c r="F1010" s="15">
        <v>46000</v>
      </c>
      <c r="G1010" s="12" t="s">
        <v>1305</v>
      </c>
      <c r="H1010" t="s">
        <v>22</v>
      </c>
      <c r="I1010" s="2">
        <v>5054</v>
      </c>
      <c r="J1010" s="16" t="str">
        <f>VLOOKUP(bron[[#This Row],[voertuig]],Voertuigen!A:C,3,FALSE)</f>
        <v>Bus</v>
      </c>
      <c r="K1010" s="16" t="str">
        <f>VLOOKUP(bron[[#This Row],[voertuig]],Voertuigen!A:C,2,FALSE)</f>
        <v>Gelede</v>
      </c>
      <c r="L1010">
        <f>COUNTIF(A:A,bron[[#This Row],[personeelsnr]])</f>
        <v>3</v>
      </c>
    </row>
    <row r="1011" spans="1:12" hidden="1" x14ac:dyDescent="0.25">
      <c r="A1011" s="20">
        <v>34445</v>
      </c>
      <c r="B1011" t="str">
        <f>VLOOKUP(bron[[#This Row],[personeelsnr]],[1]Blad1!$A:$H,2,FALSE)</f>
        <v>Wulleput Illya</v>
      </c>
      <c r="C1011" t="str">
        <f>VLOOKUP(bron[[#This Row],[personeelsnr]],[1]Blad1!$A:$H,3,FALSE)</f>
        <v>Wulleput</v>
      </c>
      <c r="D1011" t="str">
        <f>VLOOKUP(bron[[#This Row],[personeelsnr]],[1]Blad1!$A:$H,4,FALSE)</f>
        <v>Illya</v>
      </c>
      <c r="E1011" s="2" t="str">
        <f>VLOOKUP(bron[[#This Row],[personeelsnr]],[1]Blad1!$A:$H,8,FALSE)</f>
        <v>De Clercq Dominique</v>
      </c>
      <c r="F1011" s="15">
        <v>46000</v>
      </c>
      <c r="G1011" s="4" t="s">
        <v>1306</v>
      </c>
      <c r="H1011" t="s">
        <v>9</v>
      </c>
      <c r="I1011" s="2">
        <v>5229</v>
      </c>
      <c r="J1011" s="16" t="str">
        <f>VLOOKUP(bron[[#This Row],[voertuig]],Voertuigen!A:C,3,FALSE)</f>
        <v>Bus</v>
      </c>
      <c r="K1011" s="16" t="str">
        <f>VLOOKUP(bron[[#This Row],[voertuig]],Voertuigen!A:C,2,FALSE)</f>
        <v>Gelede</v>
      </c>
      <c r="L1011">
        <f>COUNTIF(A:A,bron[[#This Row],[personeelsnr]])</f>
        <v>6</v>
      </c>
    </row>
    <row r="1012" spans="1:12" hidden="1" x14ac:dyDescent="0.25">
      <c r="A1012" s="20">
        <v>41918</v>
      </c>
      <c r="B1012" t="str">
        <f>VLOOKUP(bron[[#This Row],[personeelsnr]],[1]Blad1!$A:$H,2,FALSE)</f>
        <v>Babai Saber</v>
      </c>
      <c r="C1012" t="str">
        <f>VLOOKUP(bron[[#This Row],[personeelsnr]],[1]Blad1!$A:$H,3,FALSE)</f>
        <v>Babai</v>
      </c>
      <c r="D1012" t="str">
        <f>VLOOKUP(bron[[#This Row],[personeelsnr]],[1]Blad1!$A:$H,4,FALSE)</f>
        <v>Saber</v>
      </c>
      <c r="E1012" s="2" t="str">
        <f>VLOOKUP(bron[[#This Row],[personeelsnr]],[1]Blad1!$A:$H,8,FALSE)</f>
        <v>Rotty Christoff</v>
      </c>
      <c r="F1012" s="15">
        <v>46000</v>
      </c>
      <c r="G1012" s="5" t="s">
        <v>1308</v>
      </c>
      <c r="H1012" t="s">
        <v>52</v>
      </c>
      <c r="I1012" s="2">
        <v>2546</v>
      </c>
      <c r="J1012" s="16" t="str">
        <f>VLOOKUP(bron[[#This Row],[voertuig]],Voertuigen!A:C,3,FALSE)</f>
        <v>Bus</v>
      </c>
      <c r="K1012" s="16" t="str">
        <f>VLOOKUP(bron[[#This Row],[voertuig]],Voertuigen!A:C,2,FALSE)</f>
        <v>E-bus</v>
      </c>
      <c r="L1012">
        <f>COUNTIF(A:A,bron[[#This Row],[personeelsnr]])</f>
        <v>2</v>
      </c>
    </row>
    <row r="1013" spans="1:12" hidden="1" x14ac:dyDescent="0.25">
      <c r="A1013" s="20">
        <v>26521</v>
      </c>
      <c r="B1013" t="str">
        <f>VLOOKUP(bron[[#This Row],[personeelsnr]],[1]Blad1!$A:$H,2,FALSE)</f>
        <v>Siderov Miroslav</v>
      </c>
      <c r="C1013" t="str">
        <f>VLOOKUP(bron[[#This Row],[personeelsnr]],[1]Blad1!$A:$H,3,FALSE)</f>
        <v>Siderov</v>
      </c>
      <c r="D1013" t="str">
        <f>VLOOKUP(bron[[#This Row],[personeelsnr]],[1]Blad1!$A:$H,4,FALSE)</f>
        <v>Miroslav</v>
      </c>
      <c r="E1013" s="2" t="str">
        <f>VLOOKUP(bron[[#This Row],[personeelsnr]],[1]Blad1!$A:$H,8,FALSE)</f>
        <v>Vanhoe Els</v>
      </c>
      <c r="F1013" s="15">
        <v>46000</v>
      </c>
      <c r="G1013" s="4" t="s">
        <v>2991</v>
      </c>
      <c r="H1013" t="s">
        <v>28</v>
      </c>
      <c r="I1013" s="2">
        <v>6340</v>
      </c>
      <c r="J1013" s="16" t="str">
        <f>VLOOKUP(bron[[#This Row],[voertuig]],Voertuigen!A:C,3,FALSE)</f>
        <v>Tram</v>
      </c>
      <c r="K1013" s="16" t="str">
        <f>VLOOKUP(bron[[#This Row],[voertuig]],Voertuigen!A:C,2,FALSE)</f>
        <v>Hermelijn</v>
      </c>
      <c r="L1013">
        <f>COUNTIF(A:A,bron[[#This Row],[personeelsnr]])</f>
        <v>1</v>
      </c>
    </row>
    <row r="1014" spans="1:12" hidden="1" x14ac:dyDescent="0.25">
      <c r="A1014" s="20">
        <v>38481</v>
      </c>
      <c r="B1014" t="str">
        <f>VLOOKUP(bron[[#This Row],[personeelsnr]],[1]Blad1!$A:$H,2,FALSE)</f>
        <v>Sari Devrim</v>
      </c>
      <c r="C1014" t="str">
        <f>VLOOKUP(bron[[#This Row],[personeelsnr]],[1]Blad1!$A:$H,3,FALSE)</f>
        <v>Sari</v>
      </c>
      <c r="D1014" t="str">
        <f>VLOOKUP(bron[[#This Row],[personeelsnr]],[1]Blad1!$A:$H,4,FALSE)</f>
        <v>Devrim</v>
      </c>
      <c r="E1014" s="2" t="str">
        <f>VLOOKUP(bron[[#This Row],[personeelsnr]],[1]Blad1!$A:$H,8,FALSE)</f>
        <v>De Rick Kenneth</v>
      </c>
      <c r="F1014" s="15">
        <v>46002</v>
      </c>
      <c r="G1014" s="4" t="s">
        <v>1307</v>
      </c>
      <c r="H1014" t="s">
        <v>172</v>
      </c>
      <c r="I1014" s="2">
        <v>2192</v>
      </c>
      <c r="J1014" s="16" t="str">
        <f>VLOOKUP(bron[[#This Row],[voertuig]],Voertuigen!A:C,3,FALSE)</f>
        <v>Bus</v>
      </c>
      <c r="K1014" s="16" t="str">
        <f>VLOOKUP(bron[[#This Row],[voertuig]],Voertuigen!A:C,2,FALSE)</f>
        <v>Gelede</v>
      </c>
      <c r="L1014">
        <f>COUNTIF(A:A,bron[[#This Row],[personeelsnr]])</f>
        <v>4</v>
      </c>
    </row>
    <row r="1015" spans="1:12" hidden="1" x14ac:dyDescent="0.25">
      <c r="A1015" s="20">
        <v>31731</v>
      </c>
      <c r="B1015" t="str">
        <f>VLOOKUP(bron[[#This Row],[personeelsnr]],[1]Blad1!$A:$H,2,FALSE)</f>
        <v>Dedapper Marijke</v>
      </c>
      <c r="C1015" t="str">
        <f>VLOOKUP(bron[[#This Row],[personeelsnr]],[1]Blad1!$A:$H,3,FALSE)</f>
        <v>Dedapper</v>
      </c>
      <c r="D1015" t="str">
        <f>VLOOKUP(bron[[#This Row],[personeelsnr]],[1]Blad1!$A:$H,4,FALSE)</f>
        <v>Marijke</v>
      </c>
      <c r="E1015" s="2" t="str">
        <f>VLOOKUP(bron[[#This Row],[personeelsnr]],[1]Blad1!$A:$H,8,FALSE)</f>
        <v>Vanhoe Els</v>
      </c>
      <c r="F1015" s="15">
        <v>46003</v>
      </c>
      <c r="G1015" s="4" t="s">
        <v>2997</v>
      </c>
      <c r="H1015" t="s">
        <v>200</v>
      </c>
      <c r="I1015" s="2">
        <v>6308</v>
      </c>
      <c r="J1015" s="16" t="str">
        <f>VLOOKUP(bron[[#This Row],[voertuig]],Voertuigen!A:C,3,FALSE)</f>
        <v>Tram</v>
      </c>
      <c r="K1015" s="16" t="str">
        <f>VLOOKUP(bron[[#This Row],[voertuig]],Voertuigen!A:C,2,FALSE)</f>
        <v>Hermelijn</v>
      </c>
      <c r="L1015">
        <f>COUNTIF(A:A,bron[[#This Row],[personeelsnr]])</f>
        <v>4</v>
      </c>
    </row>
    <row r="1016" spans="1:12" hidden="1" x14ac:dyDescent="0.25">
      <c r="A1016" s="20">
        <v>22767</v>
      </c>
      <c r="B1016" t="str">
        <f>VLOOKUP(bron[[#This Row],[personeelsnr]],[1]Blad1!$A:$H,2,FALSE)</f>
        <v>Osseel Johan</v>
      </c>
      <c r="C1016" t="str">
        <f>VLOOKUP(bron[[#This Row],[personeelsnr]],[1]Blad1!$A:$H,3,FALSE)</f>
        <v>Osseel</v>
      </c>
      <c r="D1016" t="str">
        <f>VLOOKUP(bron[[#This Row],[personeelsnr]],[1]Blad1!$A:$H,4,FALSE)</f>
        <v>Johan</v>
      </c>
      <c r="E1016" s="2" t="str">
        <f>VLOOKUP(bron[[#This Row],[personeelsnr]],[1]Blad1!$A:$H,8,FALSE)</f>
        <v>De Clercq Dominique</v>
      </c>
      <c r="F1016" s="15">
        <v>46004</v>
      </c>
      <c r="G1016" s="4" t="s">
        <v>2990</v>
      </c>
      <c r="H1016" t="s">
        <v>934</v>
      </c>
      <c r="I1016" s="2">
        <v>6359</v>
      </c>
      <c r="J1016" s="16" t="str">
        <f>VLOOKUP(bron[[#This Row],[voertuig]],Voertuigen!A:C,3,FALSE)</f>
        <v>Tram</v>
      </c>
      <c r="K1016" s="16" t="str">
        <f>VLOOKUP(bron[[#This Row],[voertuig]],Voertuigen!A:C,2,FALSE)</f>
        <v>Flexity</v>
      </c>
      <c r="L1016">
        <f>COUNTIF(A:A,bron[[#This Row],[personeelsnr]])</f>
        <v>2</v>
      </c>
    </row>
    <row r="1017" spans="1:12" hidden="1" x14ac:dyDescent="0.25">
      <c r="A1017" s="20">
        <v>28737</v>
      </c>
      <c r="B1017" t="str">
        <f>VLOOKUP(bron[[#This Row],[personeelsnr]],[1]Blad1!$A:$H,2,FALSE)</f>
        <v>El-Mohamed Mohamed</v>
      </c>
      <c r="C1017" t="str">
        <f>VLOOKUP(bron[[#This Row],[personeelsnr]],[1]Blad1!$A:$H,3,FALSE)</f>
        <v>El-Mohamed</v>
      </c>
      <c r="D1017" t="str">
        <f>VLOOKUP(bron[[#This Row],[personeelsnr]],[1]Blad1!$A:$H,4,FALSE)</f>
        <v>Mohamed</v>
      </c>
      <c r="E1017" s="2" t="str">
        <f>VLOOKUP(bron[[#This Row],[personeelsnr]],[1]Blad1!$A:$H,8,FALSE)</f>
        <v>Van De Velde Lucie</v>
      </c>
      <c r="F1017" s="15">
        <v>46004</v>
      </c>
      <c r="G1017" s="4" t="s">
        <v>3320</v>
      </c>
      <c r="H1017" t="s">
        <v>135</v>
      </c>
      <c r="I1017" s="2">
        <v>6313</v>
      </c>
      <c r="J1017" s="16" t="str">
        <f>VLOOKUP(bron[[#This Row],[voertuig]],Voertuigen!A:C,3,FALSE)</f>
        <v>Tram</v>
      </c>
      <c r="K1017" s="16" t="str">
        <f>VLOOKUP(bron[[#This Row],[voertuig]],Voertuigen!A:C,2,FALSE)</f>
        <v>Hermelijn</v>
      </c>
      <c r="L1017">
        <f>COUNTIF(A:A,bron[[#This Row],[personeelsnr]])</f>
        <v>4</v>
      </c>
    </row>
    <row r="1018" spans="1:12" hidden="1" x14ac:dyDescent="0.25">
      <c r="A1018" s="20">
        <v>36428</v>
      </c>
      <c r="B1018" t="str">
        <f>VLOOKUP(bron[[#This Row],[personeelsnr]],[1]Blad1!$A:$H,2,FALSE)</f>
        <v>Abdi Shaiye Rashid</v>
      </c>
      <c r="C1018" t="str">
        <f>VLOOKUP(bron[[#This Row],[personeelsnr]],[1]Blad1!$A:$H,3,FALSE)</f>
        <v>Abdi Shaiye</v>
      </c>
      <c r="D1018" t="str">
        <f>VLOOKUP(bron[[#This Row],[personeelsnr]],[1]Blad1!$A:$H,4,FALSE)</f>
        <v>Rashid</v>
      </c>
      <c r="E1018" s="2" t="str">
        <f>VLOOKUP(bron[[#This Row],[personeelsnr]],[1]Blad1!$A:$H,8,FALSE)</f>
        <v>Van De Velde Lucie</v>
      </c>
      <c r="F1018" s="15">
        <v>46005</v>
      </c>
      <c r="G1018" s="4" t="s">
        <v>2989</v>
      </c>
      <c r="H1018" t="s">
        <v>12</v>
      </c>
      <c r="I1018" s="2">
        <v>5221</v>
      </c>
      <c r="J1018" s="16" t="str">
        <f>VLOOKUP(bron[[#This Row],[voertuig]],Voertuigen!A:C,3,FALSE)</f>
        <v>Bus</v>
      </c>
      <c r="K1018" s="16" t="str">
        <f>VLOOKUP(bron[[#This Row],[voertuig]],Voertuigen!A:C,2,FALSE)</f>
        <v>Gelede</v>
      </c>
      <c r="L1018">
        <f>COUNTIF(A:A,bron[[#This Row],[personeelsnr]])</f>
        <v>6</v>
      </c>
    </row>
    <row r="1019" spans="1:12" hidden="1" x14ac:dyDescent="0.25">
      <c r="A1019" s="20">
        <v>41685</v>
      </c>
      <c r="B1019" t="str">
        <f>VLOOKUP(bron[[#This Row],[personeelsnr]],[1]Blad1!$A:$H,2,FALSE)</f>
        <v>Zjarmi Hylgis</v>
      </c>
      <c r="C1019" t="str">
        <f>VLOOKUP(bron[[#This Row],[personeelsnr]],[1]Blad1!$A:$H,3,FALSE)</f>
        <v>Zjarmi</v>
      </c>
      <c r="D1019" t="str">
        <f>VLOOKUP(bron[[#This Row],[personeelsnr]],[1]Blad1!$A:$H,4,FALSE)</f>
        <v>Hylgis</v>
      </c>
      <c r="E1019" s="2" t="str">
        <f>VLOOKUP(bron[[#This Row],[personeelsnr]],[1]Blad1!$A:$H,8,FALSE)</f>
        <v>De Rick Kenneth</v>
      </c>
      <c r="F1019" s="15">
        <v>46006</v>
      </c>
      <c r="G1019" s="4" t="s">
        <v>2992</v>
      </c>
      <c r="H1019" t="s">
        <v>42</v>
      </c>
      <c r="I1019" s="2">
        <v>5043</v>
      </c>
      <c r="J1019" s="16" t="str">
        <f>VLOOKUP(bron[[#This Row],[voertuig]],Voertuigen!A:C,3,FALSE)</f>
        <v>Bus</v>
      </c>
      <c r="K1019" s="16" t="str">
        <f>VLOOKUP(bron[[#This Row],[voertuig]],Voertuigen!A:C,2,FALSE)</f>
        <v>Gelede</v>
      </c>
      <c r="L1019">
        <f>COUNTIF(A:A,bron[[#This Row],[personeelsnr]])</f>
        <v>2</v>
      </c>
    </row>
    <row r="1020" spans="1:12" hidden="1" x14ac:dyDescent="0.25">
      <c r="A1020" s="20">
        <v>40278</v>
      </c>
      <c r="B1020" t="str">
        <f>VLOOKUP(bron[[#This Row],[personeelsnr]],[1]Blad1!$A:$H,2,FALSE)</f>
        <v>Ates Firat</v>
      </c>
      <c r="C1020" t="str">
        <f>VLOOKUP(bron[[#This Row],[personeelsnr]],[1]Blad1!$A:$H,3,FALSE)</f>
        <v>Ates</v>
      </c>
      <c r="D1020" t="str">
        <f>VLOOKUP(bron[[#This Row],[personeelsnr]],[1]Blad1!$A:$H,4,FALSE)</f>
        <v>Firat</v>
      </c>
      <c r="E1020" s="2" t="str">
        <f>VLOOKUP(bron[[#This Row],[personeelsnr]],[1]Blad1!$A:$H,8,FALSE)</f>
        <v>Rotty Christoff</v>
      </c>
      <c r="F1020" s="15">
        <v>46006</v>
      </c>
      <c r="G1020" s="4" t="s">
        <v>2993</v>
      </c>
      <c r="H1020" t="s">
        <v>12</v>
      </c>
      <c r="I1020" s="2">
        <v>5040</v>
      </c>
      <c r="J1020" s="16" t="str">
        <f>VLOOKUP(bron[[#This Row],[voertuig]],Voertuigen!A:C,3,FALSE)</f>
        <v>Bus</v>
      </c>
      <c r="K1020" s="16" t="str">
        <f>VLOOKUP(bron[[#This Row],[voertuig]],Voertuigen!A:C,2,FALSE)</f>
        <v>Gelede</v>
      </c>
      <c r="L1020">
        <f>COUNTIF(A:A,bron[[#This Row],[personeelsnr]])</f>
        <v>5</v>
      </c>
    </row>
    <row r="1021" spans="1:12" hidden="1" x14ac:dyDescent="0.25">
      <c r="A1021" s="20">
        <v>41092</v>
      </c>
      <c r="B1021" t="str">
        <f>VLOOKUP(bron[[#This Row],[personeelsnr]],[1]Blad1!$A:$H,2,FALSE)</f>
        <v>De Keyser Dorien</v>
      </c>
      <c r="C1021" t="str">
        <f>VLOOKUP(bron[[#This Row],[personeelsnr]],[1]Blad1!$A:$H,3,FALSE)</f>
        <v>De Keyser</v>
      </c>
      <c r="D1021" t="str">
        <f>VLOOKUP(bron[[#This Row],[personeelsnr]],[1]Blad1!$A:$H,4,FALSE)</f>
        <v>Dorien</v>
      </c>
      <c r="E1021" s="2" t="str">
        <f>VLOOKUP(bron[[#This Row],[personeelsnr]],[1]Blad1!$A:$H,8,FALSE)</f>
        <v>De Clercq Dominique</v>
      </c>
      <c r="F1021" s="15">
        <v>46006</v>
      </c>
      <c r="G1021" s="4" t="s">
        <v>2994</v>
      </c>
      <c r="H1021" t="s">
        <v>2995</v>
      </c>
      <c r="I1021" s="2">
        <v>5763</v>
      </c>
      <c r="J1021" s="16" t="str">
        <f>VLOOKUP(bron[[#This Row],[voertuig]],Voertuigen!A:C,3,FALSE)</f>
        <v>Bus</v>
      </c>
      <c r="K1021" s="16" t="str">
        <f>VLOOKUP(bron[[#This Row],[voertuig]],Voertuigen!A:C,2,FALSE)</f>
        <v>Standaard</v>
      </c>
      <c r="L1021">
        <f>COUNTIF(A:A,bron[[#This Row],[personeelsnr]])</f>
        <v>9</v>
      </c>
    </row>
    <row r="1022" spans="1:12" hidden="1" x14ac:dyDescent="0.25">
      <c r="A1022" s="20">
        <v>41948</v>
      </c>
      <c r="B1022" t="str">
        <f>VLOOKUP(bron[[#This Row],[personeelsnr]],[1]Blad1!$A:$H,2,FALSE)</f>
        <v>Vervaecke Wim</v>
      </c>
      <c r="C1022" t="str">
        <f>VLOOKUP(bron[[#This Row],[personeelsnr]],[1]Blad1!$A:$H,3,FALSE)</f>
        <v>Vervaecke</v>
      </c>
      <c r="D1022" t="str">
        <f>VLOOKUP(bron[[#This Row],[personeelsnr]],[1]Blad1!$A:$H,4,FALSE)</f>
        <v>Wim</v>
      </c>
      <c r="E1022" s="2" t="str">
        <f>VLOOKUP(bron[[#This Row],[personeelsnr]],[1]Blad1!$A:$H,8,FALSE)</f>
        <v>Dewulf Els</v>
      </c>
      <c r="F1022" s="15">
        <v>46006</v>
      </c>
      <c r="G1022" s="4" t="s">
        <v>3000</v>
      </c>
      <c r="H1022" t="s">
        <v>150</v>
      </c>
      <c r="I1022" s="2">
        <v>5240</v>
      </c>
      <c r="J1022" s="16" t="str">
        <f>VLOOKUP(bron[[#This Row],[voertuig]],Voertuigen!A:C,3,FALSE)</f>
        <v>Bus</v>
      </c>
      <c r="K1022" s="16" t="str">
        <f>VLOOKUP(bron[[#This Row],[voertuig]],Voertuigen!A:C,2,FALSE)</f>
        <v>Gelede</v>
      </c>
      <c r="L1022">
        <f>COUNTIF(A:A,bron[[#This Row],[personeelsnr]])</f>
        <v>3</v>
      </c>
    </row>
    <row r="1023" spans="1:12" hidden="1" x14ac:dyDescent="0.25">
      <c r="A1023" s="20">
        <v>40294</v>
      </c>
      <c r="B1023" t="str">
        <f>VLOOKUP(bron[[#This Row],[personeelsnr]],[1]Blad1!$A:$H,2,FALSE)</f>
        <v>Khder Aram</v>
      </c>
      <c r="C1023" t="str">
        <f>VLOOKUP(bron[[#This Row],[personeelsnr]],[1]Blad1!$A:$H,3,FALSE)</f>
        <v>Khder</v>
      </c>
      <c r="D1023" t="str">
        <f>VLOOKUP(bron[[#This Row],[personeelsnr]],[1]Blad1!$A:$H,4,FALSE)</f>
        <v>Aram</v>
      </c>
      <c r="E1023" s="2" t="str">
        <f>VLOOKUP(bron[[#This Row],[personeelsnr]],[1]Blad1!$A:$H,8,FALSE)</f>
        <v>Rotty Christoff</v>
      </c>
      <c r="F1023" s="15">
        <v>46007</v>
      </c>
      <c r="G1023" s="4" t="s">
        <v>2996</v>
      </c>
      <c r="H1023" t="s">
        <v>7</v>
      </c>
      <c r="I1023" s="2">
        <v>5260</v>
      </c>
      <c r="J1023" s="16" t="str">
        <f>VLOOKUP(bron[[#This Row],[voertuig]],Voertuigen!A:C,3,FALSE)</f>
        <v>Bus</v>
      </c>
      <c r="K1023" s="16" t="str">
        <f>VLOOKUP(bron[[#This Row],[voertuig]],Voertuigen!A:C,2,FALSE)</f>
        <v>Gelede</v>
      </c>
      <c r="L1023">
        <f>COUNTIF(A:A,bron[[#This Row],[personeelsnr]])</f>
        <v>2</v>
      </c>
    </row>
    <row r="1024" spans="1:12" hidden="1" x14ac:dyDescent="0.25">
      <c r="A1024" s="20">
        <v>36543</v>
      </c>
      <c r="B1024" t="str">
        <f>VLOOKUP(bron[[#This Row],[personeelsnr]],[1]Blad1!$A:$H,2,FALSE)</f>
        <v>Babaian Sammy</v>
      </c>
      <c r="C1024" t="str">
        <f>VLOOKUP(bron[[#This Row],[personeelsnr]],[1]Blad1!$A:$H,3,FALSE)</f>
        <v>Babaian</v>
      </c>
      <c r="D1024" t="str">
        <f>VLOOKUP(bron[[#This Row],[personeelsnr]],[1]Blad1!$A:$H,4,FALSE)</f>
        <v>Sammy</v>
      </c>
      <c r="E1024" s="2" t="str">
        <f>VLOOKUP(bron[[#This Row],[personeelsnr]],[1]Blad1!$A:$H,8,FALSE)</f>
        <v>Van De Velde Lucie</v>
      </c>
      <c r="F1024" s="15">
        <v>46007</v>
      </c>
      <c r="G1024" s="4" t="s">
        <v>2999</v>
      </c>
      <c r="H1024" t="s">
        <v>7</v>
      </c>
      <c r="I1024" s="2">
        <v>5791</v>
      </c>
      <c r="J1024" s="16" t="str">
        <f>VLOOKUP(bron[[#This Row],[voertuig]],Voertuigen!A:C,3,FALSE)</f>
        <v>Bus</v>
      </c>
      <c r="K1024" s="16" t="str">
        <f>VLOOKUP(bron[[#This Row],[voertuig]],Voertuigen!A:C,2,FALSE)</f>
        <v>Gelede</v>
      </c>
      <c r="L1024">
        <f>COUNTIF(A:A,bron[[#This Row],[personeelsnr]])</f>
        <v>1</v>
      </c>
    </row>
    <row r="1025" spans="1:12" hidden="1" x14ac:dyDescent="0.25">
      <c r="A1025" s="20">
        <v>38740</v>
      </c>
      <c r="B1025" t="str">
        <f>VLOOKUP(bron[[#This Row],[personeelsnr]],[1]Blad1!$A:$H,2,FALSE)</f>
        <v>Meskens Anthony</v>
      </c>
      <c r="C1025" t="str">
        <f>VLOOKUP(bron[[#This Row],[personeelsnr]],[1]Blad1!$A:$H,3,FALSE)</f>
        <v>Meskens</v>
      </c>
      <c r="D1025" t="str">
        <f>VLOOKUP(bron[[#This Row],[personeelsnr]],[1]Blad1!$A:$H,4,FALSE)</f>
        <v>Anthony</v>
      </c>
      <c r="E1025" s="2" t="str">
        <f>VLOOKUP(bron[[#This Row],[personeelsnr]],[1]Blad1!$A:$H,8,FALSE)</f>
        <v>Rotty Christoff</v>
      </c>
      <c r="F1025" s="15">
        <v>46007</v>
      </c>
      <c r="G1025" s="4" t="s">
        <v>3001</v>
      </c>
      <c r="H1025" t="s">
        <v>7</v>
      </c>
      <c r="I1025" s="2">
        <v>6305</v>
      </c>
      <c r="J1025" s="16" t="str">
        <f>VLOOKUP(bron[[#This Row],[voertuig]],Voertuigen!A:C,3,FALSE)</f>
        <v>Tram</v>
      </c>
      <c r="K1025" s="16" t="str">
        <f>VLOOKUP(bron[[#This Row],[voertuig]],Voertuigen!A:C,2,FALSE)</f>
        <v>Hermelijn</v>
      </c>
      <c r="L1025">
        <f>COUNTIF(A:A,bron[[#This Row],[personeelsnr]])</f>
        <v>3</v>
      </c>
    </row>
    <row r="1026" spans="1:12" hidden="1" x14ac:dyDescent="0.25">
      <c r="A1026" s="20">
        <v>42393</v>
      </c>
      <c r="B1026" t="str">
        <f>VLOOKUP(bron[[#This Row],[personeelsnr]],[1]Blad1!$A:$H,2,FALSE)</f>
        <v>AL-Haddad Rashid</v>
      </c>
      <c r="C1026" t="str">
        <f>VLOOKUP(bron[[#This Row],[personeelsnr]],[1]Blad1!$A:$H,3,FALSE)</f>
        <v>AL-Haddad</v>
      </c>
      <c r="D1026" t="str">
        <f>VLOOKUP(bron[[#This Row],[personeelsnr]],[1]Blad1!$A:$H,4,FALSE)</f>
        <v>Rashid</v>
      </c>
      <c r="E1026" s="2" t="str">
        <f>VLOOKUP(bron[[#This Row],[personeelsnr]],[1]Blad1!$A:$H,8,FALSE)</f>
        <v>Storm Steven</v>
      </c>
      <c r="F1026" s="15">
        <v>46008</v>
      </c>
      <c r="G1026" s="4" t="s">
        <v>3002</v>
      </c>
      <c r="H1026" t="s">
        <v>17</v>
      </c>
      <c r="I1026" s="2">
        <v>2194</v>
      </c>
      <c r="J1026" s="16" t="str">
        <f>VLOOKUP(bron[[#This Row],[voertuig]],Voertuigen!A:C,3,FALSE)</f>
        <v>Bus</v>
      </c>
      <c r="K1026" s="16" t="str">
        <f>VLOOKUP(bron[[#This Row],[voertuig]],Voertuigen!A:C,2,FALSE)</f>
        <v>Gelede</v>
      </c>
      <c r="L1026">
        <f>COUNTIF(A:A,bron[[#This Row],[personeelsnr]])</f>
        <v>1</v>
      </c>
    </row>
    <row r="1027" spans="1:12" hidden="1" x14ac:dyDescent="0.25">
      <c r="A1027" s="20">
        <v>42567</v>
      </c>
      <c r="B1027" t="s">
        <v>3313</v>
      </c>
      <c r="C1027" t="s">
        <v>2918</v>
      </c>
      <c r="D1027" t="s">
        <v>2919</v>
      </c>
      <c r="E1027" s="2" t="s">
        <v>3312</v>
      </c>
      <c r="F1027" s="15">
        <v>46008</v>
      </c>
      <c r="G1027" s="4" t="s">
        <v>3311</v>
      </c>
      <c r="H1027" t="s">
        <v>9</v>
      </c>
      <c r="I1027" s="2">
        <v>221323</v>
      </c>
      <c r="J1027" s="16" t="str">
        <f>VLOOKUP(bron[[#This Row],[voertuig]],Voertuigen!A:C,3,FALSE)</f>
        <v>Bus</v>
      </c>
      <c r="K1027" s="16" t="str">
        <f>VLOOKUP(bron[[#This Row],[voertuig]],Voertuigen!A:C,2,FALSE)</f>
        <v>Gehuurd</v>
      </c>
      <c r="L1027">
        <f>COUNTIF(A:A,bron[[#This Row],[personeelsnr]])</f>
        <v>1</v>
      </c>
    </row>
    <row r="1028" spans="1:12" hidden="1" x14ac:dyDescent="0.25">
      <c r="A1028" s="20">
        <v>41882</v>
      </c>
      <c r="B1028" t="str">
        <f>VLOOKUP(bron[[#This Row],[personeelsnr]],[1]Blad1!$A:$H,2,FALSE)</f>
        <v>Van der Bauwhede Ben</v>
      </c>
      <c r="C1028" t="str">
        <f>VLOOKUP(bron[[#This Row],[personeelsnr]],[1]Blad1!$A:$H,3,FALSE)</f>
        <v>Van der Bauwhede</v>
      </c>
      <c r="D1028" t="str">
        <f>VLOOKUP(bron[[#This Row],[personeelsnr]],[1]Blad1!$A:$H,4,FALSE)</f>
        <v>Ben</v>
      </c>
      <c r="E1028" s="2" t="str">
        <f>VLOOKUP(bron[[#This Row],[personeelsnr]],[1]Blad1!$A:$H,8,FALSE)</f>
        <v>Vanhoe Els</v>
      </c>
      <c r="F1028" s="15">
        <v>46009</v>
      </c>
      <c r="G1028" s="4" t="s">
        <v>3011</v>
      </c>
      <c r="H1028" t="s">
        <v>311</v>
      </c>
      <c r="I1028" s="2">
        <v>5045</v>
      </c>
      <c r="J1028" s="16" t="str">
        <f>VLOOKUP(bron[[#This Row],[voertuig]],Voertuigen!A:C,3,FALSE)</f>
        <v>Bus</v>
      </c>
      <c r="K1028" s="16" t="str">
        <f>VLOOKUP(bron[[#This Row],[voertuig]],Voertuigen!A:C,2,FALSE)</f>
        <v>Gelede</v>
      </c>
      <c r="L1028">
        <f>COUNTIF(A:A,bron[[#This Row],[personeelsnr]])</f>
        <v>1</v>
      </c>
    </row>
    <row r="1029" spans="1:12" hidden="1" x14ac:dyDescent="0.25">
      <c r="A1029" s="20">
        <v>39930</v>
      </c>
      <c r="B1029" t="str">
        <f>VLOOKUP(bron[[#This Row],[personeelsnr]],[1]Blad1!$A:$H,2,FALSE)</f>
        <v>Mirazai Rahmatullah</v>
      </c>
      <c r="C1029" t="str">
        <f>VLOOKUP(bron[[#This Row],[personeelsnr]],[1]Blad1!$A:$H,3,FALSE)</f>
        <v>Mirazai</v>
      </c>
      <c r="D1029" t="str">
        <f>VLOOKUP(bron[[#This Row],[personeelsnr]],[1]Blad1!$A:$H,4,FALSE)</f>
        <v>Rahmatullah</v>
      </c>
      <c r="E1029" s="2" t="str">
        <f>VLOOKUP(bron[[#This Row],[personeelsnr]],[1]Blad1!$A:$H,8,FALSE)</f>
        <v>Rotty Christoff</v>
      </c>
      <c r="F1029" s="15">
        <v>46009</v>
      </c>
      <c r="G1029" s="4" t="s">
        <v>3014</v>
      </c>
      <c r="H1029" t="s">
        <v>13</v>
      </c>
      <c r="I1029" s="2">
        <v>5768</v>
      </c>
      <c r="J1029" s="16" t="str">
        <f>VLOOKUP(bron[[#This Row],[voertuig]],Voertuigen!A:C,3,FALSE)</f>
        <v>Bus</v>
      </c>
      <c r="K1029" s="16" t="str">
        <f>VLOOKUP(bron[[#This Row],[voertuig]],Voertuigen!A:C,2,FALSE)</f>
        <v>Standaard</v>
      </c>
      <c r="L1029">
        <f>COUNTIF(A:A,bron[[#This Row],[personeelsnr]])</f>
        <v>3</v>
      </c>
    </row>
    <row r="1030" spans="1:12" hidden="1" x14ac:dyDescent="0.25">
      <c r="A1030" s="20">
        <v>13088</v>
      </c>
      <c r="B1030" t="str">
        <f>VLOOKUP(bron[[#This Row],[personeelsnr]],[1]Blad1!$A:$H,2,FALSE)</f>
        <v>De Geyter Claudine</v>
      </c>
      <c r="C1030" t="str">
        <f>VLOOKUP(bron[[#This Row],[personeelsnr]],[1]Blad1!$A:$H,3,FALSE)</f>
        <v>De Geyter</v>
      </c>
      <c r="D1030" t="str">
        <f>VLOOKUP(bron[[#This Row],[personeelsnr]],[1]Blad1!$A:$H,4,FALSE)</f>
        <v>Claudine</v>
      </c>
      <c r="E1030" s="2" t="str">
        <f>VLOOKUP(bron[[#This Row],[personeelsnr]],[1]Blad1!$A:$H,8,FALSE)</f>
        <v>De Clercq Dominique</v>
      </c>
      <c r="F1030" s="15">
        <v>46010</v>
      </c>
      <c r="G1030" s="4" t="s">
        <v>3322</v>
      </c>
      <c r="H1030" t="s">
        <v>3323</v>
      </c>
      <c r="I1030" s="2">
        <v>5794</v>
      </c>
      <c r="J1030" s="16" t="str">
        <f>VLOOKUP(bron[[#This Row],[voertuig]],Voertuigen!A:C,3,FALSE)</f>
        <v>Bus</v>
      </c>
      <c r="K1030" s="16" t="str">
        <f>VLOOKUP(bron[[#This Row],[voertuig]],Voertuigen!A:C,2,FALSE)</f>
        <v>Standaard</v>
      </c>
      <c r="L1030">
        <f>COUNTIF(A:A,bron[[#This Row],[personeelsnr]])</f>
        <v>2</v>
      </c>
    </row>
    <row r="1031" spans="1:12" hidden="1" x14ac:dyDescent="0.25">
      <c r="A1031" s="20">
        <v>39850</v>
      </c>
      <c r="B1031" t="str">
        <f>VLOOKUP(bron[[#This Row],[personeelsnr]],[1]Blad1!$A:$H,2,FALSE)</f>
        <v>Helleputte William</v>
      </c>
      <c r="C1031" t="str">
        <f>VLOOKUP(bron[[#This Row],[personeelsnr]],[1]Blad1!$A:$H,3,FALSE)</f>
        <v>Helleputte</v>
      </c>
      <c r="D1031" t="str">
        <f>VLOOKUP(bron[[#This Row],[personeelsnr]],[1]Blad1!$A:$H,4,FALSE)</f>
        <v>William</v>
      </c>
      <c r="E1031" s="2" t="str">
        <f>VLOOKUP(bron[[#This Row],[personeelsnr]],[1]Blad1!$A:$H,8,FALSE)</f>
        <v>De Clercq Dominique</v>
      </c>
      <c r="F1031" s="15">
        <v>46013</v>
      </c>
      <c r="G1031" s="5" t="s">
        <v>3015</v>
      </c>
      <c r="H1031" t="s">
        <v>18</v>
      </c>
      <c r="I1031" s="2">
        <v>221323</v>
      </c>
      <c r="J1031" s="16" t="str">
        <f>VLOOKUP(bron[[#This Row],[voertuig]],Voertuigen!A:C,3,FALSE)</f>
        <v>Bus</v>
      </c>
      <c r="K1031" s="16" t="str">
        <f>VLOOKUP(bron[[#This Row],[voertuig]],Voertuigen!A:C,2,FALSE)</f>
        <v>Gehuurd</v>
      </c>
      <c r="L1031">
        <f>COUNTIF(A:A,bron[[#This Row],[personeelsnr]])</f>
        <v>3</v>
      </c>
    </row>
    <row r="1032" spans="1:12" hidden="1" x14ac:dyDescent="0.25">
      <c r="A1032" s="20">
        <v>39928</v>
      </c>
      <c r="B1032" t="str">
        <f>VLOOKUP(bron[[#This Row],[personeelsnr]],[1]Blad1!$A:$H,2,FALSE)</f>
        <v>Momand Abdullah</v>
      </c>
      <c r="C1032" t="str">
        <f>VLOOKUP(bron[[#This Row],[personeelsnr]],[1]Blad1!$A:$H,3,FALSE)</f>
        <v>Momand</v>
      </c>
      <c r="D1032" t="str">
        <f>VLOOKUP(bron[[#This Row],[personeelsnr]],[1]Blad1!$A:$H,4,FALSE)</f>
        <v>Abdullah</v>
      </c>
      <c r="E1032" s="2" t="str">
        <f>VLOOKUP(bron[[#This Row],[personeelsnr]],[1]Blad1!$A:$H,8,FALSE)</f>
        <v>Van Der Beken Bart</v>
      </c>
      <c r="F1032" s="15">
        <v>46015</v>
      </c>
      <c r="G1032" s="4" t="s">
        <v>3315</v>
      </c>
      <c r="H1032" t="s">
        <v>77</v>
      </c>
      <c r="I1032" s="2">
        <v>5966</v>
      </c>
      <c r="J1032" s="16" t="str">
        <f>VLOOKUP(bron[[#This Row],[voertuig]],Voertuigen!A:C,3,FALSE)</f>
        <v>Bus</v>
      </c>
      <c r="K1032" s="16" t="str">
        <f>VLOOKUP(bron[[#This Row],[voertuig]],Voertuigen!A:C,2,FALSE)</f>
        <v>Standaard</v>
      </c>
      <c r="L1032">
        <f>COUNTIF(A:A,bron[[#This Row],[personeelsnr]])</f>
        <v>2</v>
      </c>
    </row>
    <row r="1033" spans="1:12" hidden="1" x14ac:dyDescent="0.25">
      <c r="A1033" s="20">
        <v>41685</v>
      </c>
      <c r="B1033" t="str">
        <f>VLOOKUP(bron[[#This Row],[personeelsnr]],[1]Blad1!$A:$H,2,FALSE)</f>
        <v>Zjarmi Hylgis</v>
      </c>
      <c r="C1033" t="str">
        <f>VLOOKUP(bron[[#This Row],[personeelsnr]],[1]Blad1!$A:$H,3,FALSE)</f>
        <v>Zjarmi</v>
      </c>
      <c r="D1033" t="str">
        <f>VLOOKUP(bron[[#This Row],[personeelsnr]],[1]Blad1!$A:$H,4,FALSE)</f>
        <v>Hylgis</v>
      </c>
      <c r="E1033" s="2" t="str">
        <f>VLOOKUP(bron[[#This Row],[personeelsnr]],[1]Blad1!$A:$H,8,FALSE)</f>
        <v>De Rick Kenneth</v>
      </c>
      <c r="F1033" s="15">
        <v>46015</v>
      </c>
      <c r="G1033" s="4" t="s">
        <v>3316</v>
      </c>
      <c r="H1033" t="s">
        <v>18</v>
      </c>
      <c r="I1033" s="2">
        <v>5234</v>
      </c>
      <c r="J1033" s="16" t="str">
        <f>VLOOKUP(bron[[#This Row],[voertuig]],Voertuigen!A:C,3,FALSE)</f>
        <v>Bus</v>
      </c>
      <c r="K1033" s="16" t="str">
        <f>VLOOKUP(bron[[#This Row],[voertuig]],Voertuigen!A:C,2,FALSE)</f>
        <v>Gelede</v>
      </c>
      <c r="L1033">
        <f>COUNTIF(A:A,bron[[#This Row],[personeelsnr]])</f>
        <v>2</v>
      </c>
    </row>
    <row r="1034" spans="1:12" hidden="1" x14ac:dyDescent="0.25">
      <c r="A1034" s="20">
        <v>31404</v>
      </c>
      <c r="B1034" t="str">
        <f>VLOOKUP(bron[[#This Row],[personeelsnr]],[1]Blad1!$A:$H,2,FALSE)</f>
        <v>Vindevogel Nick</v>
      </c>
      <c r="C1034" t="str">
        <f>VLOOKUP(bron[[#This Row],[personeelsnr]],[1]Blad1!$A:$H,3,FALSE)</f>
        <v>Vindevogel</v>
      </c>
      <c r="D1034" t="str">
        <f>VLOOKUP(bron[[#This Row],[personeelsnr]],[1]Blad1!$A:$H,4,FALSE)</f>
        <v>Nick</v>
      </c>
      <c r="E1034" s="2" t="str">
        <f>VLOOKUP(bron[[#This Row],[personeelsnr]],[1]Blad1!$A:$H,8,FALSE)</f>
        <v>De Clercq Dominique</v>
      </c>
      <c r="F1034" s="15">
        <v>46015</v>
      </c>
      <c r="G1034" s="4" t="s">
        <v>3317</v>
      </c>
      <c r="H1034" t="s">
        <v>3318</v>
      </c>
      <c r="I1034" s="2">
        <v>5927</v>
      </c>
      <c r="J1034" s="16" t="str">
        <f>VLOOKUP(bron[[#This Row],[voertuig]],Voertuigen!A:C,3,FALSE)</f>
        <v>Bus</v>
      </c>
      <c r="K1034" s="16" t="str">
        <f>VLOOKUP(bron[[#This Row],[voertuig]],Voertuigen!A:C,2,FALSE)</f>
        <v>Standaard</v>
      </c>
      <c r="L1034">
        <f>COUNTIF(A:A,bron[[#This Row],[personeelsnr]])</f>
        <v>1</v>
      </c>
    </row>
    <row r="1035" spans="1:12" hidden="1" x14ac:dyDescent="0.25">
      <c r="A1035" s="20">
        <v>40939</v>
      </c>
      <c r="B1035" t="str">
        <f>VLOOKUP(bron[[#This Row],[personeelsnr]],[1]Blad1!$A:$H,2,FALSE)</f>
        <v>Cisse Sayon</v>
      </c>
      <c r="C1035" t="str">
        <f>VLOOKUP(bron[[#This Row],[personeelsnr]],[1]Blad1!$A:$H,3,FALSE)</f>
        <v>Cisse</v>
      </c>
      <c r="D1035" t="str">
        <f>VLOOKUP(bron[[#This Row],[personeelsnr]],[1]Blad1!$A:$H,4,FALSE)</f>
        <v>Sayon</v>
      </c>
      <c r="E1035" s="2" t="str">
        <f>VLOOKUP(bron[[#This Row],[personeelsnr]],[1]Blad1!$A:$H,8,FALSE)</f>
        <v>De Rick Kenneth</v>
      </c>
      <c r="F1035" s="15">
        <v>46017</v>
      </c>
      <c r="G1035" s="4" t="s">
        <v>3319</v>
      </c>
      <c r="H1035" t="s">
        <v>186</v>
      </c>
      <c r="I1035" s="2">
        <v>2193</v>
      </c>
      <c r="J1035" s="16" t="str">
        <f>VLOOKUP(bron[[#This Row],[voertuig]],Voertuigen!A:C,3,FALSE)</f>
        <v>Bus</v>
      </c>
      <c r="K1035" s="16" t="str">
        <f>VLOOKUP(bron[[#This Row],[voertuig]],Voertuigen!A:C,2,FALSE)</f>
        <v>Gelede</v>
      </c>
      <c r="L1035">
        <f>COUNTIF(A:A,bron[[#This Row],[personeelsnr]])</f>
        <v>4</v>
      </c>
    </row>
    <row r="1036" spans="1:12" hidden="1" x14ac:dyDescent="0.25">
      <c r="A1036" s="20">
        <v>39106</v>
      </c>
      <c r="B1036" t="str">
        <f>VLOOKUP(bron[[#This Row],[personeelsnr]],[1]Blad1!$A:$H,2,FALSE)</f>
        <v>Salam Housin Ahmed</v>
      </c>
      <c r="C1036" t="str">
        <f>VLOOKUP(bron[[#This Row],[personeelsnr]],[1]Blad1!$A:$H,3,FALSE)</f>
        <v>Salam Housin</v>
      </c>
      <c r="D1036" t="str">
        <f>VLOOKUP(bron[[#This Row],[personeelsnr]],[1]Blad1!$A:$H,4,FALSE)</f>
        <v>Ahmed</v>
      </c>
      <c r="E1036" s="2" t="str">
        <f>VLOOKUP(bron[[#This Row],[personeelsnr]],[1]Blad1!$A:$H,8,FALSE)</f>
        <v>Van Der Beken Bart</v>
      </c>
      <c r="F1036" s="15">
        <v>46017</v>
      </c>
      <c r="G1036" s="4" t="s">
        <v>3321</v>
      </c>
      <c r="H1036" t="s">
        <v>7</v>
      </c>
      <c r="I1036" s="2">
        <v>6309</v>
      </c>
      <c r="J1036" s="16" t="str">
        <f>VLOOKUP(bron[[#This Row],[voertuig]],Voertuigen!A:C,3,FALSE)</f>
        <v>Tram</v>
      </c>
      <c r="K1036" s="16" t="str">
        <f>VLOOKUP(bron[[#This Row],[voertuig]],Voertuigen!A:C,2,FALSE)</f>
        <v>Hermelijn</v>
      </c>
      <c r="L1036">
        <f>COUNTIF(A:A,bron[[#This Row],[personeelsnr]])</f>
        <v>1</v>
      </c>
    </row>
    <row r="1037" spans="1:12" hidden="1" x14ac:dyDescent="0.25">
      <c r="A1037" s="33">
        <v>39532</v>
      </c>
      <c r="B1037" s="34" t="str">
        <f>VLOOKUP(bron[[#This Row],[personeelsnr]],[1]Blad1!$A:$H,2,FALSE)</f>
        <v>Sahin Orhan</v>
      </c>
      <c r="C1037" s="34" t="str">
        <f>VLOOKUP(bron[[#This Row],[personeelsnr]],[1]Blad1!$A:$H,3,FALSE)</f>
        <v>Sahin</v>
      </c>
      <c r="D1037" s="34" t="str">
        <f>VLOOKUP(bron[[#This Row],[personeelsnr]],[1]Blad1!$A:$H,4,FALSE)</f>
        <v>Orhan</v>
      </c>
      <c r="E1037" s="35" t="str">
        <f>VLOOKUP(bron[[#This Row],[personeelsnr]],[1]Blad1!$A:$H,8,FALSE)</f>
        <v>Rotty Christoff</v>
      </c>
      <c r="F1037" s="36">
        <v>46017</v>
      </c>
      <c r="G1037" s="37" t="s">
        <v>3321</v>
      </c>
      <c r="H1037" s="34" t="s">
        <v>741</v>
      </c>
      <c r="I1037" s="35">
        <v>6320</v>
      </c>
      <c r="J1037" s="38" t="str">
        <f>VLOOKUP(bron[[#This Row],[voertuig]],Voertuigen!A:C,3,FALSE)</f>
        <v>Tram</v>
      </c>
      <c r="K1037" s="38" t="str">
        <f>VLOOKUP(bron[[#This Row],[voertuig]],Voertuigen!A:C,2,FALSE)</f>
        <v>Hermelijn</v>
      </c>
      <c r="L1037" s="34">
        <f>COUNTIF(A:A,bron[[#This Row],[personeelsnr]])</f>
        <v>7</v>
      </c>
    </row>
    <row r="1038" spans="1:12" hidden="1" x14ac:dyDescent="0.25">
      <c r="A1038" s="20">
        <v>31731</v>
      </c>
      <c r="B1038" t="str">
        <f>VLOOKUP(bron[[#This Row],[personeelsnr]],[1]Blad1!$A:$H,2,FALSE)</f>
        <v>Dedapper Marijke</v>
      </c>
      <c r="C1038" t="str">
        <f>VLOOKUP(bron[[#This Row],[personeelsnr]],[1]Blad1!$A:$H,3,FALSE)</f>
        <v>Dedapper</v>
      </c>
      <c r="D1038" t="str">
        <f>VLOOKUP(bron[[#This Row],[personeelsnr]],[1]Blad1!$A:$H,4,FALSE)</f>
        <v>Marijke</v>
      </c>
      <c r="E1038" s="2" t="str">
        <f>VLOOKUP(bron[[#This Row],[personeelsnr]],[1]Blad1!$A:$H,8,FALSE)</f>
        <v>Vanhoe Els</v>
      </c>
      <c r="F1038" s="15">
        <v>46021</v>
      </c>
      <c r="G1038" s="5" t="s">
        <v>3334</v>
      </c>
      <c r="H1038" t="s">
        <v>185</v>
      </c>
      <c r="I1038" s="2">
        <v>5265</v>
      </c>
      <c r="J1038" s="16" t="str">
        <f>VLOOKUP(bron[[#This Row],[voertuig]],Voertuigen!A:C,3,FALSE)</f>
        <v>Bus</v>
      </c>
      <c r="K1038" s="16" t="str">
        <f>VLOOKUP(bron[[#This Row],[voertuig]],Voertuigen!A:C,2,FALSE)</f>
        <v>Gelede</v>
      </c>
      <c r="L1038">
        <f>COUNTIF(A:A,bron[[#This Row],[personeelsnr]])</f>
        <v>4</v>
      </c>
    </row>
    <row r="1039" spans="1:12" hidden="1" x14ac:dyDescent="0.25">
      <c r="A1039" s="20">
        <v>41859</v>
      </c>
      <c r="B1039" t="s">
        <v>3332</v>
      </c>
      <c r="C1039" t="s">
        <v>1069</v>
      </c>
      <c r="D1039" t="s">
        <v>1070</v>
      </c>
      <c r="E1039" s="2" t="s">
        <v>3312</v>
      </c>
      <c r="F1039" s="15">
        <v>46025</v>
      </c>
      <c r="G1039" s="4" t="s">
        <v>3338</v>
      </c>
      <c r="H1039" t="s">
        <v>9</v>
      </c>
      <c r="I1039" s="2">
        <v>5259</v>
      </c>
      <c r="J1039" s="16" t="str">
        <f>VLOOKUP(bron[[#This Row],[voertuig]],Voertuigen!A:C,3,FALSE)</f>
        <v>Bus</v>
      </c>
      <c r="K1039" s="16" t="str">
        <f>VLOOKUP(bron[[#This Row],[voertuig]],Voertuigen!A:C,2,FALSE)</f>
        <v>Gelede</v>
      </c>
      <c r="L1039">
        <f>COUNTIF(A:A,bron[[#This Row],[personeelsnr]])</f>
        <v>2</v>
      </c>
    </row>
    <row r="1040" spans="1:12" hidden="1" x14ac:dyDescent="0.25">
      <c r="A1040" s="20">
        <v>23700</v>
      </c>
      <c r="B1040" t="str">
        <f>VLOOKUP(bron[[#This Row],[personeelsnr]],[1]Blad1!$A:$H,2,FALSE)</f>
        <v>Byosière Christof</v>
      </c>
      <c r="C1040" t="str">
        <f>VLOOKUP(bron[[#This Row],[personeelsnr]],[1]Blad1!$A:$H,3,FALSE)</f>
        <v>Byosière</v>
      </c>
      <c r="D1040" t="str">
        <f>VLOOKUP(bron[[#This Row],[personeelsnr]],[1]Blad1!$A:$H,4,FALSE)</f>
        <v>Christof</v>
      </c>
      <c r="E1040" s="2" t="str">
        <f>VLOOKUP(bron[[#This Row],[personeelsnr]],[1]Blad1!$A:$H,8,FALSE)</f>
        <v>De Clercq Dominique</v>
      </c>
      <c r="F1040" s="15">
        <v>46027</v>
      </c>
      <c r="G1040" s="4" t="s">
        <v>3336</v>
      </c>
      <c r="H1040" t="s">
        <v>58</v>
      </c>
      <c r="I1040" s="2">
        <v>2208</v>
      </c>
      <c r="J1040" s="16" t="str">
        <f>VLOOKUP(bron[[#This Row],[voertuig]],Voertuigen!A:C,3,FALSE)</f>
        <v>Bus</v>
      </c>
      <c r="K1040" s="16" t="str">
        <f>VLOOKUP(bron[[#This Row],[voertuig]],Voertuigen!A:C,2,FALSE)</f>
        <v>Gelede</v>
      </c>
      <c r="L1040">
        <f>COUNTIF(A:A,bron[[#This Row],[personeelsnr]])</f>
        <v>3</v>
      </c>
    </row>
    <row r="1041" spans="1:12" hidden="1" x14ac:dyDescent="0.25">
      <c r="A1041" s="20">
        <v>38807</v>
      </c>
      <c r="B1041" t="str">
        <f>VLOOKUP(bron[[#This Row],[personeelsnr]],[1]Blad1!$A:$H,2,FALSE)</f>
        <v>Dossche Caroline</v>
      </c>
      <c r="C1041" t="str">
        <f>VLOOKUP(bron[[#This Row],[personeelsnr]],[1]Blad1!$A:$H,3,FALSE)</f>
        <v>Dossche</v>
      </c>
      <c r="D1041" t="str">
        <f>VLOOKUP(bron[[#This Row],[personeelsnr]],[1]Blad1!$A:$H,4,FALSE)</f>
        <v>Caroline</v>
      </c>
      <c r="E1041" s="2" t="str">
        <f>VLOOKUP(bron[[#This Row],[personeelsnr]],[1]Blad1!$A:$H,8,FALSE)</f>
        <v>Rotty Christoff</v>
      </c>
      <c r="F1041" s="15">
        <v>46028</v>
      </c>
      <c r="G1041" s="5" t="s">
        <v>3337</v>
      </c>
      <c r="H1041" t="s">
        <v>10</v>
      </c>
      <c r="I1041" s="2">
        <v>5231</v>
      </c>
      <c r="J1041" s="16" t="str">
        <f>VLOOKUP(bron[[#This Row],[voertuig]],Voertuigen!A:C,3,FALSE)</f>
        <v>Bus</v>
      </c>
      <c r="K1041" s="16" t="str">
        <f>VLOOKUP(bron[[#This Row],[voertuig]],Voertuigen!A:C,2,FALSE)</f>
        <v>Gelede</v>
      </c>
      <c r="L1041">
        <f>COUNTIF(A:A,bron[[#This Row],[personeelsnr]])</f>
        <v>5</v>
      </c>
    </row>
    <row r="1042" spans="1:12" hidden="1" x14ac:dyDescent="0.25">
      <c r="A1042" s="20">
        <v>35216</v>
      </c>
      <c r="B1042" t="str">
        <f>VLOOKUP(bron[[#This Row],[personeelsnr]],[1]Blad1!$A:$H,2,FALSE)</f>
        <v>Coban Mehmet</v>
      </c>
      <c r="C1042" t="str">
        <f>VLOOKUP(bron[[#This Row],[personeelsnr]],[1]Blad1!$A:$H,3,FALSE)</f>
        <v>Coban</v>
      </c>
      <c r="D1042" t="str">
        <f>VLOOKUP(bron[[#This Row],[personeelsnr]],[1]Blad1!$A:$H,4,FALSE)</f>
        <v>Mehmet</v>
      </c>
      <c r="E1042" s="2" t="str">
        <f>VLOOKUP(bron[[#This Row],[personeelsnr]],[1]Blad1!$A:$H,8,FALSE)</f>
        <v>Van De Velde Lucie</v>
      </c>
      <c r="F1042" s="15">
        <v>46029</v>
      </c>
      <c r="G1042" s="5" t="s">
        <v>3339</v>
      </c>
      <c r="H1042" t="s">
        <v>9</v>
      </c>
      <c r="I1042" s="2">
        <v>5484</v>
      </c>
      <c r="J1042" s="16" t="str">
        <f>VLOOKUP(bron[[#This Row],[voertuig]],Voertuigen!A:C,3,FALSE)</f>
        <v>Bus</v>
      </c>
      <c r="K1042" s="16" t="str">
        <f>VLOOKUP(bron[[#This Row],[voertuig]],Voertuigen!A:C,2,FALSE)</f>
        <v>Standaard</v>
      </c>
      <c r="L1042">
        <f>COUNTIF(A:A,bron[[#This Row],[personeelsnr]])</f>
        <v>2</v>
      </c>
    </row>
    <row r="1043" spans="1:12" hidden="1" x14ac:dyDescent="0.25">
      <c r="A1043" s="20">
        <v>41357</v>
      </c>
      <c r="B1043" t="str">
        <f>VLOOKUP(bron[[#This Row],[personeelsnr]],[1]Blad1!$A:$H,2,FALSE)</f>
        <v>Inci Ramazan</v>
      </c>
      <c r="C1043" t="str">
        <f>VLOOKUP(bron[[#This Row],[personeelsnr]],[1]Blad1!$A:$H,3,FALSE)</f>
        <v>Inci</v>
      </c>
      <c r="D1043" t="str">
        <f>VLOOKUP(bron[[#This Row],[personeelsnr]],[1]Blad1!$A:$H,4,FALSE)</f>
        <v>Ramazan</v>
      </c>
      <c r="E1043" s="2" t="str">
        <f>VLOOKUP(bron[[#This Row],[personeelsnr]],[1]Blad1!$A:$H,8,FALSE)</f>
        <v>Van Der Beken Bart</v>
      </c>
      <c r="F1043" s="15">
        <v>46029</v>
      </c>
      <c r="G1043" s="5" t="s">
        <v>3339</v>
      </c>
      <c r="H1043" t="s">
        <v>9</v>
      </c>
      <c r="I1043" s="2">
        <v>5486</v>
      </c>
      <c r="J1043" s="16" t="str">
        <f>VLOOKUP(bron[[#This Row],[voertuig]],Voertuigen!A:C,3,FALSE)</f>
        <v>Bus</v>
      </c>
      <c r="K1043" s="16" t="str">
        <f>VLOOKUP(bron[[#This Row],[voertuig]],Voertuigen!A:C,2,FALSE)</f>
        <v>Standaard</v>
      </c>
      <c r="L1043">
        <f>COUNTIF(A:A,bron[[#This Row],[personeelsnr]])</f>
        <v>1</v>
      </c>
    </row>
    <row r="1044" spans="1:12" hidden="1" x14ac:dyDescent="0.25">
      <c r="A1044" s="20">
        <v>42120</v>
      </c>
      <c r="B1044" t="str">
        <f>VLOOKUP(bron[[#This Row],[personeelsnr]],[1]Blad1!$A:$H,2,FALSE)</f>
        <v>De Bruycker Dylan</v>
      </c>
      <c r="C1044" t="str">
        <f>VLOOKUP(bron[[#This Row],[personeelsnr]],[1]Blad1!$A:$H,3,FALSE)</f>
        <v>De Bruycker</v>
      </c>
      <c r="D1044" t="str">
        <f>VLOOKUP(bron[[#This Row],[personeelsnr]],[1]Blad1!$A:$H,4,FALSE)</f>
        <v>Dylan</v>
      </c>
      <c r="E1044" s="2" t="str">
        <f>VLOOKUP(bron[[#This Row],[personeelsnr]],[1]Blad1!$A:$H,8,FALSE)</f>
        <v>De Rick Kenneth</v>
      </c>
      <c r="F1044" s="15">
        <v>46029</v>
      </c>
      <c r="G1044" s="5" t="s">
        <v>3341</v>
      </c>
      <c r="H1044" t="s">
        <v>31</v>
      </c>
      <c r="I1044" s="2">
        <v>5240</v>
      </c>
      <c r="J1044" s="16" t="str">
        <f>VLOOKUP(bron[[#This Row],[voertuig]],Voertuigen!A:C,3,FALSE)</f>
        <v>Bus</v>
      </c>
      <c r="K1044" s="16" t="str">
        <f>VLOOKUP(bron[[#This Row],[voertuig]],Voertuigen!A:C,2,FALSE)</f>
        <v>Gelede</v>
      </c>
      <c r="L1044">
        <f>COUNTIF(A:A,bron[[#This Row],[personeelsnr]])</f>
        <v>3</v>
      </c>
    </row>
    <row r="1045" spans="1:12" hidden="1" x14ac:dyDescent="0.25">
      <c r="A1045" s="20">
        <v>41619</v>
      </c>
      <c r="B1045" t="str">
        <f>VLOOKUP(bron[[#This Row],[personeelsnr]],[1]Blad1!$A:$H,2,FALSE)</f>
        <v>Bachiri Ousama</v>
      </c>
      <c r="C1045" t="str">
        <f>VLOOKUP(bron[[#This Row],[personeelsnr]],[1]Blad1!$A:$H,3,FALSE)</f>
        <v>Bachiri</v>
      </c>
      <c r="D1045" t="str">
        <f>VLOOKUP(bron[[#This Row],[personeelsnr]],[1]Blad1!$A:$H,4,FALSE)</f>
        <v>Ousama</v>
      </c>
      <c r="E1045" s="2" t="str">
        <f>VLOOKUP(bron[[#This Row],[personeelsnr]],[1]Blad1!$A:$H,8,FALSE)</f>
        <v>Van Der Beken Bart</v>
      </c>
      <c r="F1045" s="15">
        <v>46030</v>
      </c>
      <c r="G1045" s="5" t="s">
        <v>3340</v>
      </c>
      <c r="H1045" t="s">
        <v>193</v>
      </c>
      <c r="I1045" s="2">
        <v>2199</v>
      </c>
      <c r="J1045" s="16" t="str">
        <f>VLOOKUP(bron[[#This Row],[voertuig]],Voertuigen!A:C,3,FALSE)</f>
        <v>Bus</v>
      </c>
      <c r="K1045" s="16" t="str">
        <f>VLOOKUP(bron[[#This Row],[voertuig]],Voertuigen!A:C,2,FALSE)</f>
        <v>Gelede</v>
      </c>
      <c r="L1045">
        <f>COUNTIF(A:A,bron[[#This Row],[personeelsnr]])</f>
        <v>4</v>
      </c>
    </row>
    <row r="1046" spans="1:12" hidden="1" x14ac:dyDescent="0.25">
      <c r="A1046" s="20">
        <v>42120</v>
      </c>
      <c r="B1046" t="str">
        <f>VLOOKUP(bron[[#This Row],[personeelsnr]],[1]Blad1!$A:$H,2,FALSE)</f>
        <v>De Bruycker Dylan</v>
      </c>
      <c r="C1046" t="str">
        <f>VLOOKUP(bron[[#This Row],[personeelsnr]],[1]Blad1!$A:$H,3,FALSE)</f>
        <v>De Bruycker</v>
      </c>
      <c r="D1046" t="str">
        <f>VLOOKUP(bron[[#This Row],[personeelsnr]],[1]Blad1!$A:$H,4,FALSE)</f>
        <v>Dylan</v>
      </c>
      <c r="E1046" s="2" t="str">
        <f>VLOOKUP(bron[[#This Row],[personeelsnr]],[1]Blad1!$A:$H,8,FALSE)</f>
        <v>De Rick Kenneth</v>
      </c>
      <c r="F1046" s="15">
        <v>46032</v>
      </c>
      <c r="G1046" s="5" t="s">
        <v>3349</v>
      </c>
      <c r="H1046" t="s">
        <v>165</v>
      </c>
      <c r="I1046" s="2">
        <v>5047</v>
      </c>
      <c r="J1046" s="16" t="str">
        <f>VLOOKUP(bron[[#This Row],[voertuig]],Voertuigen!A:C,3,FALSE)</f>
        <v>Bus</v>
      </c>
      <c r="K1046" s="16" t="str">
        <f>VLOOKUP(bron[[#This Row],[voertuig]],Voertuigen!A:C,2,FALSE)</f>
        <v>Gelede</v>
      </c>
      <c r="L1046">
        <f>COUNTIF(A:A,bron[[#This Row],[personeelsnr]])</f>
        <v>3</v>
      </c>
    </row>
    <row r="1047" spans="1:12" hidden="1" x14ac:dyDescent="0.25">
      <c r="A1047" s="20">
        <v>29477</v>
      </c>
      <c r="B1047" t="str">
        <f>VLOOKUP(bron[[#This Row],[personeelsnr]],[1]Blad1!$A:$H,2,FALSE)</f>
        <v>De Vuyst Boyke</v>
      </c>
      <c r="C1047" t="str">
        <f>VLOOKUP(bron[[#This Row],[personeelsnr]],[1]Blad1!$A:$H,3,FALSE)</f>
        <v>De Vuyst</v>
      </c>
      <c r="D1047" t="str">
        <f>VLOOKUP(bron[[#This Row],[personeelsnr]],[1]Blad1!$A:$H,4,FALSE)</f>
        <v>Boyke</v>
      </c>
      <c r="E1047" s="2" t="str">
        <f>VLOOKUP(bron[[#This Row],[personeelsnr]],[1]Blad1!$A:$H,8,FALSE)</f>
        <v>Van De Velde Lucie</v>
      </c>
      <c r="F1047" s="15">
        <v>46034</v>
      </c>
      <c r="G1047" s="5" t="s">
        <v>3345</v>
      </c>
      <c r="H1047" t="s">
        <v>84</v>
      </c>
      <c r="I1047" s="2">
        <v>5261</v>
      </c>
      <c r="J1047" s="16" t="str">
        <f>VLOOKUP(bron[[#This Row],[voertuig]],Voertuigen!A:C,3,FALSE)</f>
        <v>Bus</v>
      </c>
      <c r="K1047" s="16" t="str">
        <f>VLOOKUP(bron[[#This Row],[voertuig]],Voertuigen!A:C,2,FALSE)</f>
        <v>Gelede</v>
      </c>
      <c r="L1047">
        <f>COUNTIF(A:A,bron[[#This Row],[personeelsnr]])</f>
        <v>3</v>
      </c>
    </row>
    <row r="1048" spans="1:12" hidden="1" x14ac:dyDescent="0.25">
      <c r="A1048" s="20">
        <v>21581</v>
      </c>
      <c r="B1048" t="str">
        <f>VLOOKUP(bron[[#This Row],[personeelsnr]],[1]Blad1!$A:$H,2,FALSE)</f>
        <v>Vanderstraeten Franky</v>
      </c>
      <c r="C1048" t="str">
        <f>VLOOKUP(bron[[#This Row],[personeelsnr]],[1]Blad1!$A:$H,3,FALSE)</f>
        <v>Vanderstraeten</v>
      </c>
      <c r="D1048" t="str">
        <f>VLOOKUP(bron[[#This Row],[personeelsnr]],[1]Blad1!$A:$H,4,FALSE)</f>
        <v>Franky</v>
      </c>
      <c r="E1048" s="2" t="str">
        <f>VLOOKUP(bron[[#This Row],[personeelsnr]],[1]Blad1!$A:$H,8,FALSE)</f>
        <v>Van De Velde Lucie</v>
      </c>
      <c r="F1048" s="15">
        <v>46034</v>
      </c>
      <c r="G1048" s="5" t="s">
        <v>3352</v>
      </c>
      <c r="H1048" t="s">
        <v>504</v>
      </c>
      <c r="I1048" s="2">
        <v>2199</v>
      </c>
      <c r="J1048" s="16" t="str">
        <f>VLOOKUP(bron[[#This Row],[voertuig]],Voertuigen!A:C,3,FALSE)</f>
        <v>Bus</v>
      </c>
      <c r="K1048" s="16" t="str">
        <f>VLOOKUP(bron[[#This Row],[voertuig]],Voertuigen!A:C,2,FALSE)</f>
        <v>Gelede</v>
      </c>
      <c r="L1048">
        <f>COUNTIF(A:A,bron[[#This Row],[personeelsnr]])</f>
        <v>3</v>
      </c>
    </row>
    <row r="1049" spans="1:12" hidden="1" x14ac:dyDescent="0.25">
      <c r="A1049" s="20">
        <v>39712</v>
      </c>
      <c r="B1049" t="str">
        <f>VLOOKUP(bron[[#This Row],[personeelsnr]],[1]Blad1!$A:$H,2,FALSE)</f>
        <v>Repaj Ramazan</v>
      </c>
      <c r="C1049" t="str">
        <f>VLOOKUP(bron[[#This Row],[personeelsnr]],[1]Blad1!$A:$H,3,FALSE)</f>
        <v>Repaj</v>
      </c>
      <c r="D1049" t="str">
        <f>VLOOKUP(bron[[#This Row],[personeelsnr]],[1]Blad1!$A:$H,4,FALSE)</f>
        <v>Ramazan</v>
      </c>
      <c r="E1049" s="2" t="str">
        <f>VLOOKUP(bron[[#This Row],[personeelsnr]],[1]Blad1!$A:$H,8,FALSE)</f>
        <v>Van Der Beken Bart</v>
      </c>
      <c r="F1049" s="15">
        <v>46042</v>
      </c>
      <c r="G1049" s="5" t="s">
        <v>3351</v>
      </c>
      <c r="H1049" t="s">
        <v>9</v>
      </c>
      <c r="I1049" s="2">
        <v>5768</v>
      </c>
      <c r="J1049" s="16" t="str">
        <f>VLOOKUP(bron[[#This Row],[voertuig]],Voertuigen!A:C,3,FALSE)</f>
        <v>Bus</v>
      </c>
      <c r="K1049" s="16" t="str">
        <f>VLOOKUP(bron[[#This Row],[voertuig]],Voertuigen!A:C,2,FALSE)</f>
        <v>Standaard</v>
      </c>
      <c r="L1049">
        <f>COUNTIF(A:A,bron[[#This Row],[personeelsnr]])</f>
        <v>5</v>
      </c>
    </row>
    <row r="1050" spans="1:12" hidden="1" x14ac:dyDescent="0.25">
      <c r="A1050" s="20">
        <v>39575</v>
      </c>
      <c r="B1050" t="str">
        <f>VLOOKUP(bron[[#This Row],[personeelsnr]],[1]Blad1!$A:$H,2,FALSE)</f>
        <v>Nguende Ngatcheu Ivan Belerd</v>
      </c>
      <c r="C1050" t="str">
        <f>VLOOKUP(bron[[#This Row],[personeelsnr]],[1]Blad1!$A:$H,3,FALSE)</f>
        <v>Nguende Ngatcheu</v>
      </c>
      <c r="D1050" t="str">
        <f>VLOOKUP(bron[[#This Row],[personeelsnr]],[1]Blad1!$A:$H,4,FALSE)</f>
        <v>Ivan Belerd</v>
      </c>
      <c r="E1050" s="2" t="str">
        <f>VLOOKUP(bron[[#This Row],[personeelsnr]],[1]Blad1!$A:$H,8,FALSE)</f>
        <v>Dewulf Els</v>
      </c>
      <c r="F1050" s="15">
        <v>45988</v>
      </c>
      <c r="G1050" s="4" t="s">
        <v>3333</v>
      </c>
      <c r="H1050" t="s">
        <v>2995</v>
      </c>
      <c r="I1050" s="2">
        <v>5931</v>
      </c>
      <c r="J1050" s="16" t="str">
        <f>VLOOKUP(bron[[#This Row],[voertuig]],Voertuigen!A:C,3,FALSE)</f>
        <v>Bus</v>
      </c>
      <c r="K1050" s="16" t="str">
        <f>VLOOKUP(bron[[#This Row],[voertuig]],Voertuigen!A:C,2,FALSE)</f>
        <v>Standaard</v>
      </c>
      <c r="L1050">
        <f>COUNTIF(A:A,bron[[#This Row],[personeelsnr]])</f>
        <v>2</v>
      </c>
    </row>
    <row r="1051" spans="1:12" hidden="1" x14ac:dyDescent="0.25">
      <c r="A1051" s="20">
        <v>38633</v>
      </c>
      <c r="B1051" t="str">
        <f>VLOOKUP(bron[[#This Row],[personeelsnr]],[1]Blad1!$A:$H,2,FALSE)</f>
        <v>Stomphorst Mattanja</v>
      </c>
      <c r="C1051" t="str">
        <f>VLOOKUP(bron[[#This Row],[personeelsnr]],[1]Blad1!$A:$H,3,FALSE)</f>
        <v>Stomphorst</v>
      </c>
      <c r="D1051" t="str">
        <f>VLOOKUP(bron[[#This Row],[personeelsnr]],[1]Blad1!$A:$H,4,FALSE)</f>
        <v>Mattanja</v>
      </c>
      <c r="E1051" s="2" t="str">
        <f>VLOOKUP(bron[[#This Row],[personeelsnr]],[1]Blad1!$A:$H,8,FALSE)</f>
        <v>Dewulf Els</v>
      </c>
      <c r="F1051" s="15">
        <v>46008</v>
      </c>
      <c r="G1051" s="5" t="s">
        <v>3335</v>
      </c>
      <c r="H1051" t="s">
        <v>10</v>
      </c>
      <c r="I1051" s="2">
        <v>5273</v>
      </c>
      <c r="J1051" s="16" t="str">
        <f>VLOOKUP(bron[[#This Row],[voertuig]],Voertuigen!A:C,3,FALSE)</f>
        <v>Bus</v>
      </c>
      <c r="K1051" s="16" t="str">
        <f>VLOOKUP(bron[[#This Row],[voertuig]],Voertuigen!A:C,2,FALSE)</f>
        <v>Gelede</v>
      </c>
      <c r="L1051">
        <f>COUNTIF(A:A,bron[[#This Row],[personeelsnr]])</f>
        <v>4</v>
      </c>
    </row>
    <row r="1052" spans="1:12" x14ac:dyDescent="0.25">
      <c r="A1052" s="20">
        <v>34664</v>
      </c>
      <c r="B1052" t="str">
        <f>VLOOKUP(bron[[#This Row],[personeelsnr]],[1]Blad1!$A:$H,2,FALSE)</f>
        <v>Fiers Kenny</v>
      </c>
      <c r="C1052" t="str">
        <f>VLOOKUP(bron[[#This Row],[personeelsnr]],[1]Blad1!$A:$H,3,FALSE)</f>
        <v>Fiers</v>
      </c>
      <c r="D1052" t="str">
        <f>VLOOKUP(bron[[#This Row],[personeelsnr]],[1]Blad1!$A:$H,4,FALSE)</f>
        <v>Kenny</v>
      </c>
      <c r="E1052" s="2" t="str">
        <f>VLOOKUP(bron[[#This Row],[personeelsnr]],[1]Blad1!$A:$H,8,FALSE)</f>
        <v>Storm Steven</v>
      </c>
      <c r="F1052" s="15">
        <v>46039</v>
      </c>
      <c r="G1052" s="5" t="s">
        <v>3353</v>
      </c>
      <c r="H1052" t="s">
        <v>199</v>
      </c>
      <c r="I1052" s="2">
        <v>6312</v>
      </c>
      <c r="J1052" s="16" t="str">
        <f>VLOOKUP(bron[[#This Row],[voertuig]],Voertuigen!A:C,3,FALSE)</f>
        <v>Tram</v>
      </c>
      <c r="K1052" s="16" t="str">
        <f>VLOOKUP(bron[[#This Row],[voertuig]],Voertuigen!A:C,2,FALSE)</f>
        <v>Hermelijn</v>
      </c>
      <c r="L1052">
        <f>COUNTIF(A:A,bron[[#This Row],[personeelsnr]])</f>
        <v>1</v>
      </c>
    </row>
    <row r="1053" spans="1:12" x14ac:dyDescent="0.25">
      <c r="A1053" s="20">
        <v>41588</v>
      </c>
      <c r="B1053" t="str">
        <f>VLOOKUP(bron[[#This Row],[personeelsnr]],[1]Blad1!$A:$H,2,FALSE)</f>
        <v>Naessens Yves</v>
      </c>
      <c r="C1053" t="str">
        <f>VLOOKUP(bron[[#This Row],[personeelsnr]],[1]Blad1!$A:$H,3,FALSE)</f>
        <v>Naessens</v>
      </c>
      <c r="D1053" t="str">
        <f>VLOOKUP(bron[[#This Row],[personeelsnr]],[1]Blad1!$A:$H,4,FALSE)</f>
        <v>Yves</v>
      </c>
      <c r="E1053" s="2" t="str">
        <f>VLOOKUP(bron[[#This Row],[personeelsnr]],[1]Blad1!$A:$H,8,FALSE)</f>
        <v>De Rick Kenneth</v>
      </c>
      <c r="F1053" s="15">
        <v>46039</v>
      </c>
      <c r="G1053" s="5" t="s">
        <v>3354</v>
      </c>
      <c r="H1053" t="s">
        <v>151</v>
      </c>
      <c r="I1053" s="2">
        <v>5233</v>
      </c>
      <c r="J1053" s="16" t="str">
        <f>VLOOKUP(bron[[#This Row],[voertuig]],Voertuigen!A:C,3,FALSE)</f>
        <v>Bus</v>
      </c>
      <c r="K1053" s="16" t="str">
        <f>VLOOKUP(bron[[#This Row],[voertuig]],Voertuigen!A:C,2,FALSE)</f>
        <v>Gelede</v>
      </c>
      <c r="L1053">
        <f>COUNTIF(A:A,bron[[#This Row],[personeelsnr]])</f>
        <v>3</v>
      </c>
    </row>
    <row r="1054" spans="1:12" x14ac:dyDescent="0.25">
      <c r="B1054" t="e">
        <f>VLOOKUP(bron[[#This Row],[personeelsnr]],[1]Blad1!$A:$H,2,FALSE)</f>
        <v>#N/A</v>
      </c>
      <c r="C1054" t="e">
        <f>VLOOKUP(bron[[#This Row],[personeelsnr]],[1]Blad1!$A:$H,3,FALSE)</f>
        <v>#N/A</v>
      </c>
      <c r="D1054" t="e">
        <f>VLOOKUP(bron[[#This Row],[personeelsnr]],[1]Blad1!$A:$H,4,FALSE)</f>
        <v>#N/A</v>
      </c>
      <c r="E1054" s="2" t="e">
        <f>VLOOKUP(bron[[#This Row],[personeelsnr]],[1]Blad1!$A:$H,8,FALSE)</f>
        <v>#N/A</v>
      </c>
      <c r="G1054" s="5"/>
      <c r="I1054" s="2"/>
      <c r="J1054" s="16" t="e">
        <f>VLOOKUP(bron[[#This Row],[voertuig]],Voertuigen!A:C,3,FALSE)</f>
        <v>#N/A</v>
      </c>
      <c r="K1054" s="16" t="e">
        <f>VLOOKUP(bron[[#This Row],[voertuig]],Voertuigen!A:C,2,FALSE)</f>
        <v>#N/A</v>
      </c>
      <c r="L1054">
        <f>COUNTIF(A:A,bron[[#This Row],[personeelsnr]])</f>
        <v>0</v>
      </c>
    </row>
    <row r="1055" spans="1:12" x14ac:dyDescent="0.25">
      <c r="B1055" t="e">
        <f>VLOOKUP(bron[[#This Row],[personeelsnr]],[1]Blad1!$A:$H,2,FALSE)</f>
        <v>#N/A</v>
      </c>
      <c r="C1055" t="e">
        <f>VLOOKUP(bron[[#This Row],[personeelsnr]],[1]Blad1!$A:$H,3,FALSE)</f>
        <v>#N/A</v>
      </c>
      <c r="D1055" t="e">
        <f>VLOOKUP(bron[[#This Row],[personeelsnr]],[1]Blad1!$A:$H,4,FALSE)</f>
        <v>#N/A</v>
      </c>
      <c r="E1055" s="2" t="e">
        <f>VLOOKUP(bron[[#This Row],[personeelsnr]],[1]Blad1!$A:$H,8,FALSE)</f>
        <v>#N/A</v>
      </c>
      <c r="G1055" s="5"/>
      <c r="I1055" s="2"/>
      <c r="J1055" s="16" t="e">
        <f>VLOOKUP(bron[[#This Row],[voertuig]],Voertuigen!A:C,3,FALSE)</f>
        <v>#N/A</v>
      </c>
      <c r="K1055" s="16" t="e">
        <f>VLOOKUP(bron[[#This Row],[voertuig]],Voertuigen!A:C,2,FALSE)</f>
        <v>#N/A</v>
      </c>
      <c r="L1055">
        <f>COUNTIF(A:A,bron[[#This Row],[personeelsnr]])</f>
        <v>0</v>
      </c>
    </row>
    <row r="1056" spans="1:12" x14ac:dyDescent="0.25">
      <c r="B1056" t="e">
        <f>VLOOKUP(bron[[#This Row],[personeelsnr]],[1]Blad1!$A:$H,2,FALSE)</f>
        <v>#N/A</v>
      </c>
      <c r="C1056" t="e">
        <f>VLOOKUP(bron[[#This Row],[personeelsnr]],[1]Blad1!$A:$H,3,FALSE)</f>
        <v>#N/A</v>
      </c>
      <c r="D1056" t="e">
        <f>VLOOKUP(bron[[#This Row],[personeelsnr]],[1]Blad1!$A:$H,4,FALSE)</f>
        <v>#N/A</v>
      </c>
      <c r="E1056" s="2" t="e">
        <f>VLOOKUP(bron[[#This Row],[personeelsnr]],[1]Blad1!$A:$H,8,FALSE)</f>
        <v>#N/A</v>
      </c>
      <c r="G1056" s="5"/>
      <c r="I1056" s="2"/>
      <c r="J1056" s="16" t="e">
        <f>VLOOKUP(bron[[#This Row],[voertuig]],Voertuigen!A:C,3,FALSE)</f>
        <v>#N/A</v>
      </c>
      <c r="K1056" s="16" t="e">
        <f>VLOOKUP(bron[[#This Row],[voertuig]],Voertuigen!A:C,2,FALSE)</f>
        <v>#N/A</v>
      </c>
      <c r="L1056">
        <f>COUNTIF(A:A,bron[[#This Row],[personeelsnr]])</f>
        <v>0</v>
      </c>
    </row>
    <row r="1057" spans="2:12" x14ac:dyDescent="0.25">
      <c r="B1057" t="e">
        <f>VLOOKUP(bron[[#This Row],[personeelsnr]],[1]Blad1!$A:$H,2,FALSE)</f>
        <v>#N/A</v>
      </c>
      <c r="C1057" t="e">
        <f>VLOOKUP(bron[[#This Row],[personeelsnr]],[1]Blad1!$A:$H,3,FALSE)</f>
        <v>#N/A</v>
      </c>
      <c r="D1057" t="e">
        <f>VLOOKUP(bron[[#This Row],[personeelsnr]],[1]Blad1!$A:$H,4,FALSE)</f>
        <v>#N/A</v>
      </c>
      <c r="E1057" s="2" t="e">
        <f>VLOOKUP(bron[[#This Row],[personeelsnr]],[1]Blad1!$A:$H,8,FALSE)</f>
        <v>#N/A</v>
      </c>
      <c r="G1057" s="5"/>
      <c r="I1057" s="2"/>
      <c r="J1057" s="16" t="e">
        <f>VLOOKUP(bron[[#This Row],[voertuig]],Voertuigen!A:C,3,FALSE)</f>
        <v>#N/A</v>
      </c>
      <c r="K1057" s="16" t="e">
        <f>VLOOKUP(bron[[#This Row],[voertuig]],Voertuigen!A:C,2,FALSE)</f>
        <v>#N/A</v>
      </c>
      <c r="L1057">
        <f>COUNTIF(A:A,bron[[#This Row],[personeelsnr]])</f>
        <v>0</v>
      </c>
    </row>
    <row r="1058" spans="2:12" x14ac:dyDescent="0.25">
      <c r="B1058" t="e">
        <f>VLOOKUP(bron[[#This Row],[personeelsnr]],[1]Blad1!$A:$H,2,FALSE)</f>
        <v>#N/A</v>
      </c>
      <c r="C1058" t="e">
        <f>VLOOKUP(bron[[#This Row],[personeelsnr]],[1]Blad1!$A:$H,3,FALSE)</f>
        <v>#N/A</v>
      </c>
      <c r="D1058" t="e">
        <f>VLOOKUP(bron[[#This Row],[personeelsnr]],[1]Blad1!$A:$H,4,FALSE)</f>
        <v>#N/A</v>
      </c>
      <c r="E1058" s="2" t="e">
        <f>VLOOKUP(bron[[#This Row],[personeelsnr]],[1]Blad1!$A:$H,8,FALSE)</f>
        <v>#N/A</v>
      </c>
      <c r="G1058" s="5"/>
      <c r="I1058" s="2"/>
      <c r="J1058" s="16" t="e">
        <f>VLOOKUP(bron[[#This Row],[voertuig]],Voertuigen!A:C,3,FALSE)</f>
        <v>#N/A</v>
      </c>
      <c r="K1058" s="16" t="e">
        <f>VLOOKUP(bron[[#This Row],[voertuig]],Voertuigen!A:C,2,FALSE)</f>
        <v>#N/A</v>
      </c>
      <c r="L1058">
        <f>COUNTIF(A:A,bron[[#This Row],[personeelsnr]])</f>
        <v>0</v>
      </c>
    </row>
    <row r="1059" spans="2:12" x14ac:dyDescent="0.25">
      <c r="B1059" t="e">
        <f>VLOOKUP(bron[[#This Row],[personeelsnr]],[1]Blad1!$A:$H,2,FALSE)</f>
        <v>#N/A</v>
      </c>
      <c r="C1059" t="e">
        <f>VLOOKUP(bron[[#This Row],[personeelsnr]],[1]Blad1!$A:$H,3,FALSE)</f>
        <v>#N/A</v>
      </c>
      <c r="D1059" t="e">
        <f>VLOOKUP(bron[[#This Row],[personeelsnr]],[1]Blad1!$A:$H,4,FALSE)</f>
        <v>#N/A</v>
      </c>
      <c r="E1059" s="2" t="e">
        <f>VLOOKUP(bron[[#This Row],[personeelsnr]],[1]Blad1!$A:$H,8,FALSE)</f>
        <v>#N/A</v>
      </c>
      <c r="G1059" s="5"/>
      <c r="I1059" s="2"/>
      <c r="J1059" s="16" t="e">
        <f>VLOOKUP(bron[[#This Row],[voertuig]],Voertuigen!A:C,3,FALSE)</f>
        <v>#N/A</v>
      </c>
      <c r="K1059" s="16" t="e">
        <f>VLOOKUP(bron[[#This Row],[voertuig]],Voertuigen!A:C,2,FALSE)</f>
        <v>#N/A</v>
      </c>
      <c r="L1059">
        <f>COUNTIF(A:A,bron[[#This Row],[personeelsnr]])</f>
        <v>0</v>
      </c>
    </row>
    <row r="1060" spans="2:12" x14ac:dyDescent="0.25">
      <c r="B1060" t="e">
        <f>VLOOKUP(bron[[#This Row],[personeelsnr]],[1]Blad1!$A:$H,2,FALSE)</f>
        <v>#N/A</v>
      </c>
      <c r="C1060" t="e">
        <f>VLOOKUP(bron[[#This Row],[personeelsnr]],[1]Blad1!$A:$H,3,FALSE)</f>
        <v>#N/A</v>
      </c>
      <c r="D1060" t="e">
        <f>VLOOKUP(bron[[#This Row],[personeelsnr]],[1]Blad1!$A:$H,4,FALSE)</f>
        <v>#N/A</v>
      </c>
      <c r="E1060" s="2" t="e">
        <f>VLOOKUP(bron[[#This Row],[personeelsnr]],[1]Blad1!$A:$H,8,FALSE)</f>
        <v>#N/A</v>
      </c>
      <c r="G1060" s="5"/>
      <c r="I1060" s="2"/>
      <c r="J1060" s="16" t="e">
        <f>VLOOKUP(bron[[#This Row],[voertuig]],Voertuigen!A:C,3,FALSE)</f>
        <v>#N/A</v>
      </c>
      <c r="K1060" s="16" t="e">
        <f>VLOOKUP(bron[[#This Row],[voertuig]],Voertuigen!A:C,2,FALSE)</f>
        <v>#N/A</v>
      </c>
      <c r="L1060">
        <f>COUNTIF(A:A,bron[[#This Row],[personeelsnr]])</f>
        <v>0</v>
      </c>
    </row>
    <row r="1061" spans="2:12" x14ac:dyDescent="0.25">
      <c r="B1061" t="e">
        <f>VLOOKUP(bron[[#This Row],[personeelsnr]],[1]Blad1!$A:$H,2,FALSE)</f>
        <v>#N/A</v>
      </c>
      <c r="C1061" t="e">
        <f>VLOOKUP(bron[[#This Row],[personeelsnr]],[1]Blad1!$A:$H,3,FALSE)</f>
        <v>#N/A</v>
      </c>
      <c r="D1061" t="e">
        <f>VLOOKUP(bron[[#This Row],[personeelsnr]],[1]Blad1!$A:$H,4,FALSE)</f>
        <v>#N/A</v>
      </c>
      <c r="E1061" s="2" t="e">
        <f>VLOOKUP(bron[[#This Row],[personeelsnr]],[1]Blad1!$A:$H,8,FALSE)</f>
        <v>#N/A</v>
      </c>
      <c r="G1061" s="5"/>
      <c r="I1061" s="2"/>
      <c r="J1061" s="16" t="e">
        <f>VLOOKUP(bron[[#This Row],[voertuig]],Voertuigen!A:C,3,FALSE)</f>
        <v>#N/A</v>
      </c>
      <c r="K1061" s="16" t="e">
        <f>VLOOKUP(bron[[#This Row],[voertuig]],Voertuigen!A:C,2,FALSE)</f>
        <v>#N/A</v>
      </c>
      <c r="L1061">
        <f>COUNTIF(A:A,bron[[#This Row],[personeelsnr]])</f>
        <v>0</v>
      </c>
    </row>
    <row r="1062" spans="2:12" x14ac:dyDescent="0.25">
      <c r="B1062" t="e">
        <f>VLOOKUP(bron[[#This Row],[personeelsnr]],[1]Blad1!$A:$H,2,FALSE)</f>
        <v>#N/A</v>
      </c>
      <c r="C1062" t="e">
        <f>VLOOKUP(bron[[#This Row],[personeelsnr]],[1]Blad1!$A:$H,3,FALSE)</f>
        <v>#N/A</v>
      </c>
      <c r="D1062" t="e">
        <f>VLOOKUP(bron[[#This Row],[personeelsnr]],[1]Blad1!$A:$H,4,FALSE)</f>
        <v>#N/A</v>
      </c>
      <c r="E1062" s="2" t="e">
        <f>VLOOKUP(bron[[#This Row],[personeelsnr]],[1]Blad1!$A:$H,8,FALSE)</f>
        <v>#N/A</v>
      </c>
      <c r="G1062" s="5"/>
      <c r="I1062" s="2"/>
      <c r="J1062" s="16" t="e">
        <f>VLOOKUP(bron[[#This Row],[voertuig]],Voertuigen!A:C,3,FALSE)</f>
        <v>#N/A</v>
      </c>
      <c r="K1062" s="16" t="e">
        <f>VLOOKUP(bron[[#This Row],[voertuig]],Voertuigen!A:C,2,FALSE)</f>
        <v>#N/A</v>
      </c>
      <c r="L1062">
        <f>COUNTIF(A:A,bron[[#This Row],[personeelsnr]])</f>
        <v>0</v>
      </c>
    </row>
    <row r="1063" spans="2:12" x14ac:dyDescent="0.25">
      <c r="B1063" t="e">
        <f>VLOOKUP(bron[[#This Row],[personeelsnr]],[1]Blad1!$A:$H,2,FALSE)</f>
        <v>#N/A</v>
      </c>
      <c r="C1063" t="e">
        <f>VLOOKUP(bron[[#This Row],[personeelsnr]],[1]Blad1!$A:$H,3,FALSE)</f>
        <v>#N/A</v>
      </c>
      <c r="D1063" t="e">
        <f>VLOOKUP(bron[[#This Row],[personeelsnr]],[1]Blad1!$A:$H,4,FALSE)</f>
        <v>#N/A</v>
      </c>
      <c r="E1063" s="2" t="e">
        <f>VLOOKUP(bron[[#This Row],[personeelsnr]],[1]Blad1!$A:$H,8,FALSE)</f>
        <v>#N/A</v>
      </c>
      <c r="G1063" s="5"/>
      <c r="I1063" s="2"/>
      <c r="J1063" s="16" t="e">
        <f>VLOOKUP(bron[[#This Row],[voertuig]],Voertuigen!A:C,3,FALSE)</f>
        <v>#N/A</v>
      </c>
      <c r="K1063" s="16" t="e">
        <f>VLOOKUP(bron[[#This Row],[voertuig]],Voertuigen!A:C,2,FALSE)</f>
        <v>#N/A</v>
      </c>
      <c r="L1063">
        <f>COUNTIF(A:A,bron[[#This Row],[personeelsnr]])</f>
        <v>0</v>
      </c>
    </row>
    <row r="1064" spans="2:12" x14ac:dyDescent="0.25">
      <c r="B1064" t="e">
        <f>VLOOKUP(bron[[#This Row],[personeelsnr]],[1]Blad1!$A:$H,2,FALSE)</f>
        <v>#N/A</v>
      </c>
      <c r="C1064" t="e">
        <f>VLOOKUP(bron[[#This Row],[personeelsnr]],[1]Blad1!$A:$H,3,FALSE)</f>
        <v>#N/A</v>
      </c>
      <c r="D1064" t="e">
        <f>VLOOKUP(bron[[#This Row],[personeelsnr]],[1]Blad1!$A:$H,4,FALSE)</f>
        <v>#N/A</v>
      </c>
      <c r="E1064" s="2" t="e">
        <f>VLOOKUP(bron[[#This Row],[personeelsnr]],[1]Blad1!$A:$H,8,FALSE)</f>
        <v>#N/A</v>
      </c>
      <c r="G1064" s="5"/>
      <c r="I1064" s="2"/>
      <c r="J1064" s="16" t="e">
        <f>VLOOKUP(bron[[#This Row],[voertuig]],Voertuigen!A:C,3,FALSE)</f>
        <v>#N/A</v>
      </c>
      <c r="K1064" s="16" t="e">
        <f>VLOOKUP(bron[[#This Row],[voertuig]],Voertuigen!A:C,2,FALSE)</f>
        <v>#N/A</v>
      </c>
      <c r="L1064">
        <f>COUNTIF(A:A,bron[[#This Row],[personeelsnr]])</f>
        <v>0</v>
      </c>
    </row>
    <row r="1065" spans="2:12" x14ac:dyDescent="0.25">
      <c r="B1065" t="e">
        <f>VLOOKUP(bron[[#This Row],[personeelsnr]],[1]Blad1!$A:$H,2,FALSE)</f>
        <v>#N/A</v>
      </c>
      <c r="C1065" t="e">
        <f>VLOOKUP(bron[[#This Row],[personeelsnr]],[1]Blad1!$A:$H,3,FALSE)</f>
        <v>#N/A</v>
      </c>
      <c r="D1065" t="e">
        <f>VLOOKUP(bron[[#This Row],[personeelsnr]],[1]Blad1!$A:$H,4,FALSE)</f>
        <v>#N/A</v>
      </c>
      <c r="E1065" s="2" t="e">
        <f>VLOOKUP(bron[[#This Row],[personeelsnr]],[1]Blad1!$A:$H,8,FALSE)</f>
        <v>#N/A</v>
      </c>
      <c r="G1065" s="5"/>
      <c r="I1065" s="2"/>
      <c r="J1065" s="16" t="e">
        <f>VLOOKUP(bron[[#This Row],[voertuig]],Voertuigen!A:C,3,FALSE)</f>
        <v>#N/A</v>
      </c>
      <c r="K1065" s="16" t="e">
        <f>VLOOKUP(bron[[#This Row],[voertuig]],Voertuigen!A:C,2,FALSE)</f>
        <v>#N/A</v>
      </c>
      <c r="L1065">
        <f>COUNTIF(A:A,bron[[#This Row],[personeelsnr]])</f>
        <v>0</v>
      </c>
    </row>
    <row r="1066" spans="2:12" x14ac:dyDescent="0.25">
      <c r="B1066" t="e">
        <f>VLOOKUP(bron[[#This Row],[personeelsnr]],[1]Blad1!$A:$H,2,FALSE)</f>
        <v>#N/A</v>
      </c>
      <c r="C1066" t="e">
        <f>VLOOKUP(bron[[#This Row],[personeelsnr]],[1]Blad1!$A:$H,3,FALSE)</f>
        <v>#N/A</v>
      </c>
      <c r="D1066" t="e">
        <f>VLOOKUP(bron[[#This Row],[personeelsnr]],[1]Blad1!$A:$H,4,FALSE)</f>
        <v>#N/A</v>
      </c>
      <c r="E1066" s="2" t="e">
        <f>VLOOKUP(bron[[#This Row],[personeelsnr]],[1]Blad1!$A:$H,8,FALSE)</f>
        <v>#N/A</v>
      </c>
      <c r="G1066" s="5"/>
      <c r="I1066" s="2"/>
      <c r="J1066" s="16" t="e">
        <f>VLOOKUP(bron[[#This Row],[voertuig]],Voertuigen!A:C,3,FALSE)</f>
        <v>#N/A</v>
      </c>
      <c r="K1066" s="16" t="e">
        <f>VLOOKUP(bron[[#This Row],[voertuig]],Voertuigen!A:C,2,FALSE)</f>
        <v>#N/A</v>
      </c>
      <c r="L1066">
        <f>COUNTIF(A:A,bron[[#This Row],[personeelsnr]])</f>
        <v>0</v>
      </c>
    </row>
    <row r="1067" spans="2:12" x14ac:dyDescent="0.25">
      <c r="B1067" t="e">
        <f>VLOOKUP(bron[[#This Row],[personeelsnr]],[1]Blad1!$A:$H,2,FALSE)</f>
        <v>#N/A</v>
      </c>
      <c r="C1067" t="e">
        <f>VLOOKUP(bron[[#This Row],[personeelsnr]],[1]Blad1!$A:$H,3,FALSE)</f>
        <v>#N/A</v>
      </c>
      <c r="D1067" t="e">
        <f>VLOOKUP(bron[[#This Row],[personeelsnr]],[1]Blad1!$A:$H,4,FALSE)</f>
        <v>#N/A</v>
      </c>
      <c r="E1067" s="2" t="e">
        <f>VLOOKUP(bron[[#This Row],[personeelsnr]],[1]Blad1!$A:$H,8,FALSE)</f>
        <v>#N/A</v>
      </c>
      <c r="G1067" s="5"/>
      <c r="I1067" s="2"/>
      <c r="J1067" s="16" t="e">
        <f>VLOOKUP(bron[[#This Row],[voertuig]],Voertuigen!A:C,3,FALSE)</f>
        <v>#N/A</v>
      </c>
      <c r="K1067" s="16" t="e">
        <f>VLOOKUP(bron[[#This Row],[voertuig]],Voertuigen!A:C,2,FALSE)</f>
        <v>#N/A</v>
      </c>
      <c r="L1067">
        <f>COUNTIF(A:A,bron[[#This Row],[personeelsnr]])</f>
        <v>0</v>
      </c>
    </row>
    <row r="1068" spans="2:12" x14ac:dyDescent="0.25">
      <c r="B1068" t="e">
        <f>VLOOKUP(bron[[#This Row],[personeelsnr]],[1]Blad1!$A:$H,2,FALSE)</f>
        <v>#N/A</v>
      </c>
      <c r="C1068" t="e">
        <f>VLOOKUP(bron[[#This Row],[personeelsnr]],[1]Blad1!$A:$H,3,FALSE)</f>
        <v>#N/A</v>
      </c>
      <c r="D1068" t="e">
        <f>VLOOKUP(bron[[#This Row],[personeelsnr]],[1]Blad1!$A:$H,4,FALSE)</f>
        <v>#N/A</v>
      </c>
      <c r="E1068" s="2" t="e">
        <f>VLOOKUP(bron[[#This Row],[personeelsnr]],[1]Blad1!$A:$H,8,FALSE)</f>
        <v>#N/A</v>
      </c>
      <c r="G1068" s="5"/>
      <c r="I1068" s="2"/>
      <c r="J1068" s="16" t="e">
        <f>VLOOKUP(bron[[#This Row],[voertuig]],Voertuigen!A:C,3,FALSE)</f>
        <v>#N/A</v>
      </c>
      <c r="K1068" s="16" t="e">
        <f>VLOOKUP(bron[[#This Row],[voertuig]],Voertuigen!A:C,2,FALSE)</f>
        <v>#N/A</v>
      </c>
      <c r="L1068">
        <f>COUNTIF(A:A,bron[[#This Row],[personeelsnr]])</f>
        <v>0</v>
      </c>
    </row>
    <row r="1069" spans="2:12" x14ac:dyDescent="0.25">
      <c r="B1069" t="e">
        <f>VLOOKUP(bron[[#This Row],[personeelsnr]],[1]Blad1!$A:$H,2,FALSE)</f>
        <v>#N/A</v>
      </c>
      <c r="C1069" t="e">
        <f>VLOOKUP(bron[[#This Row],[personeelsnr]],[1]Blad1!$A:$H,3,FALSE)</f>
        <v>#N/A</v>
      </c>
      <c r="D1069" t="e">
        <f>VLOOKUP(bron[[#This Row],[personeelsnr]],[1]Blad1!$A:$H,4,FALSE)</f>
        <v>#N/A</v>
      </c>
      <c r="E1069" s="2" t="e">
        <f>VLOOKUP(bron[[#This Row],[personeelsnr]],[1]Blad1!$A:$H,8,FALSE)</f>
        <v>#N/A</v>
      </c>
      <c r="G1069" s="5"/>
      <c r="I1069" s="2"/>
      <c r="J1069" s="16" t="e">
        <f>VLOOKUP(bron[[#This Row],[voertuig]],Voertuigen!A:C,3,FALSE)</f>
        <v>#N/A</v>
      </c>
      <c r="K1069" s="16" t="e">
        <f>VLOOKUP(bron[[#This Row],[voertuig]],Voertuigen!A:C,2,FALSE)</f>
        <v>#N/A</v>
      </c>
      <c r="L1069">
        <f>COUNTIF(A:A,bron[[#This Row],[personeelsnr]])</f>
        <v>0</v>
      </c>
    </row>
    <row r="1070" spans="2:12" x14ac:dyDescent="0.25">
      <c r="B1070" t="e">
        <f>VLOOKUP(bron[[#This Row],[personeelsnr]],[1]Blad1!$A:$H,2,FALSE)</f>
        <v>#N/A</v>
      </c>
      <c r="C1070" t="e">
        <f>VLOOKUP(bron[[#This Row],[personeelsnr]],[1]Blad1!$A:$H,3,FALSE)</f>
        <v>#N/A</v>
      </c>
      <c r="D1070" t="e">
        <f>VLOOKUP(bron[[#This Row],[personeelsnr]],[1]Blad1!$A:$H,4,FALSE)</f>
        <v>#N/A</v>
      </c>
      <c r="E1070" s="2" t="e">
        <f>VLOOKUP(bron[[#This Row],[personeelsnr]],[1]Blad1!$A:$H,8,FALSE)</f>
        <v>#N/A</v>
      </c>
      <c r="G1070" s="5"/>
      <c r="I1070" s="2"/>
      <c r="J1070" s="16" t="e">
        <f>VLOOKUP(bron[[#This Row],[voertuig]],Voertuigen!A:C,3,FALSE)</f>
        <v>#N/A</v>
      </c>
      <c r="K1070" s="16" t="e">
        <f>VLOOKUP(bron[[#This Row],[voertuig]],Voertuigen!A:C,2,FALSE)</f>
        <v>#N/A</v>
      </c>
      <c r="L1070">
        <f>COUNTIF(A:A,bron[[#This Row],[personeelsnr]])</f>
        <v>0</v>
      </c>
    </row>
  </sheetData>
  <sheetProtection sort="0" autoFilter="0"/>
  <phoneticPr fontId="1" type="noConversion"/>
  <hyperlinks>
    <hyperlink ref="G519" r:id="rId1" xr:uid="{069AB0F3-66D9-443A-A282-BECCE4BC15A4}"/>
    <hyperlink ref="G524" r:id="rId2" xr:uid="{266ED411-E9BA-4025-B809-BF681D6EF2C2}"/>
    <hyperlink ref="G531" r:id="rId3" display="../../../../../../../:b:/r/teams/CTM-OTGentStad/Shared Documents/General/EAF/CSI(nieuwe sharepoint) 2025/1. Januari/EAF 5263 Mariakerke 13012025.pdf?csf=1&amp;web=1&amp;e=qFf0hX" xr:uid="{1AF9CACF-A798-4483-851F-5828A099BE42}"/>
    <hyperlink ref="G521" r:id="rId4" display="../../../../../../../:b:/r/teams/CTM-OTGentStad/Shared Documents/General/EAF/CSI(nieuwe sharepoint) 2025/1. Januari/EAF 5047 Gent 03012025.pdf?csf=1&amp;web=1&amp;e=ycRhDE" xr:uid="{3AD54217-AB8C-48D0-9A63-05351EF31D35}"/>
    <hyperlink ref="G552" r:id="rId5" xr:uid="{758C2375-3764-4237-851D-A90FFF7D6AC8}"/>
    <hyperlink ref="G565" r:id="rId6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7" r:id="rId7" xr:uid="{F64E53A4-7C17-46F2-BB91-670CFE110D02}"/>
    <hyperlink ref="G586" r:id="rId8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3" r:id="rId9" xr:uid="{E73AE997-AD9B-4405-90F0-3EFD6BA2309E}"/>
    <hyperlink ref="G589" r:id="rId10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90" r:id="rId11" display="../../../../../../../:b:/r/teams/CTM-OTGentStad/Shared Documents/General/EAF/CSI(nieuwe sharepoint) 2025/2. Februari/EAF 2200 Steinstraat Nazareth 18.02.2025.pdf?csf=1&amp;web=1&amp;e=XcgcnT" xr:uid="{8A6E4A5D-E388-4B89-B3A0-D999B0C6A6FD}"/>
    <hyperlink ref="G612" r:id="rId12" xr:uid="{7921045D-AAB1-4DF0-9E93-D83FFE86B6F5}"/>
    <hyperlink ref="G558" r:id="rId13" xr:uid="{88F7C8C1-94D9-4DBB-821A-2AEB46042966}"/>
    <hyperlink ref="G480" r:id="rId14" display="../../../../../../:b:/r/teams/CTM-OTGentStad/Shared Documents/General/EAF/CSI(nieuwe sharepoint)2024/12. December/EAF 04122024 Ugur.pdf?csf=1&amp;web=1&amp;e=qdPAIb" xr:uid="{CB022626-A31F-436C-8A5F-3D6CF3501448}"/>
    <hyperlink ref="G63" r:id="rId15" display="../../../../../../:b:/r/teams/CTM-OTGentStad/Shared Documents/General/EAF/CSI(nieuwe sharepoint)2024/EAF  5229 Rabot 17022024.pdf?csf=1&amp;web=1&amp;e=QUxajH" xr:uid="{B4180AB7-A400-47AD-8C9B-C2EDF97A862F}"/>
    <hyperlink ref="G338" r:id="rId16" display="../../../../../../:b:/r/teams/CTM-OTGentStad/Shared Documents/General/EAF/CSI(nieuwe sharepoint)2024/EAF 2195 Gent 01092024.pdf?csf=1&amp;web=1&amp;e=25nO3B" xr:uid="{2E366246-A9E3-4E65-A21A-4C06D853A66B}"/>
    <hyperlink ref="G483" r:id="rId17" display="../../../../../../:b:/r/teams/CTM-OTGentStad/Shared Documents/General/EAF/CSI(nieuwe sharepoint)2024/EAF 2195 Gent 07122024.pdf?csf=1&amp;web=1&amp;e=MnfQ3B" xr:uid="{AABF485B-931E-422B-9A83-00A02D56D258}"/>
    <hyperlink ref="G392" r:id="rId18" display="../../../../../../:b:/r/teams/CTM-OTGentStad/Shared Documents/General/EAF/CSI(nieuwe sharepoint)2024/EAF 2195 Gent 08102024.pdf?csf=1&amp;web=1&amp;e=O9N5JS" xr:uid="{B4FB6BA7-97F5-49AC-9711-B0532DB4EA99}"/>
    <hyperlink ref="G513" r:id="rId19" display="../../../../../../:b:/r/teams/CTM-OTGentStad/Shared Documents/General/EAF/CSI(nieuwe sharepoint)2024/EAF 2195 Ledebergplein Ledeberg 30.12.2024.pdf?csf=1&amp;web=1&amp;e=GzZaFP" xr:uid="{2C42BA70-5FCB-4CE3-8EE5-3B286D160B8F}"/>
    <hyperlink ref="G325" r:id="rId20" display="../../../../../../:b:/r/teams/CTM-OTGentStad/Shared Documents/General/EAF/CSI(nieuwe sharepoint)2024/EAF 2196 Brusselsesteenweg Gentbrugge 19082024.pdf?csf=1&amp;web=1&amp;e=10X8vL" xr:uid="{A929ABE0-EC8A-48A6-B941-295E656B2572}"/>
    <hyperlink ref="G474" r:id="rId21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2" display="../../../../../../:b:/r/teams/CTM-OTGentStad/Shared Documents/General/EAF/CSI(nieuwe sharepoint)2024/EAF 2196 Gent 05032024.pdf?csf=1&amp;web=1&amp;e=EIJBgo" xr:uid="{90156A50-D0E9-44C9-A10D-40FA17C9B19A}"/>
    <hyperlink ref="G102" r:id="rId23" display="../../../../../../:b:/r/teams/CTM-OTGentStad/Shared Documents/General/EAF/CSI(nieuwe sharepoint)2024/EAF 2196 Gent 12032024.pdf?csf=1&amp;web=1&amp;e=cN6naC" xr:uid="{DB171F03-9BC8-4BA2-871D-5D25CDF42499}"/>
    <hyperlink ref="G79" r:id="rId24" display="../../../../../../:b:/r/teams/CTM-OTGentStad/Shared Documents/General/EAF/CSI(nieuwe sharepoint)2024/EAF 2196 Gent 29022024.pdf?csf=1&amp;web=1&amp;e=GQSZCM" xr:uid="{4A4D7A44-3347-41F0-8F10-650B8D3C2427}"/>
    <hyperlink ref="G38" r:id="rId25" display="../../../../../../:b:/r/teams/CTM-OTGentStad/Shared Documents/General/EAF/CSI(nieuwe sharepoint)2024/EAF 2196 Gentbrugge 31012024.pdf?csf=1&amp;web=1&amp;e=d1oG1t" xr:uid="{5B35D89C-A150-4C53-BE1F-F0A17C554A35}"/>
    <hyperlink ref="G448" r:id="rId26" display="../../../../../../:b:/r/teams/CTM-OTGentStad/Shared Documents/General/EAF/CSI(nieuwe sharepoint)2024/EAF 2197 Bevrijdingslaan Gent 14112024.pdf?csf=1&amp;web=1&amp;e=fb8Ldo" xr:uid="{E5F931FF-9695-4EE2-A837-A40CEAA8165F}"/>
    <hyperlink ref="G262" r:id="rId27" display="../../../../../../:b:/r/teams/CTM-OTGentStad/Shared Documents/General/EAF/CSI(nieuwe sharepoint)2024/EAF 2197 Blaisantvest Gent 25062024.pdf?csf=1&amp;web=1&amp;e=z1RwKQ" xr:uid="{6934A06B-9142-4FF9-96B3-1CE9E108BFF2}"/>
    <hyperlink ref="G120" r:id="rId28" display="../../../../../../:b:/r/teams/CTM-OTGentStad/Shared Documents/General/EAF/CSI(nieuwe sharepoint)2024/EAF 2198 Destelbergen 22032024.pdf?csf=1&amp;web=1&amp;e=yEPfdX" xr:uid="{FF751939-C669-4E18-83B0-79ACC08399F5}"/>
    <hyperlink ref="G68" r:id="rId29" display="../../../../../../:b:/r/teams/CTM-OTGentStad/Shared Documents/General/EAF/CSI(nieuwe sharepoint)2024/EAF 2198 Gent 20022024.pdf?csf=1&amp;web=1&amp;e=eSmhav" xr:uid="{CEC7951E-46AD-46F9-853A-CD9DF280D5B6}"/>
    <hyperlink ref="G376" r:id="rId30" display="../../../../../../:b:/r/teams/CTM-OTGentStad/Shared Documents/General/EAF/CSI(nieuwe sharepoint)2024/EAF 2198 Gent 23092024 Vandenhaute Linus.pdf?csf=1&amp;web=1&amp;e=E9UV3v" xr:uid="{83235E30-8E18-428A-B198-4D2411FF8DA8}"/>
    <hyperlink ref="G74" r:id="rId31" display="../../../../../../:b:/r/teams/CTM-OTGentStad/Shared Documents/General/EAF/CSI(nieuwe sharepoint)2024/EAF 2199 Brugsepoort 23022024.pdf?csf=1&amp;web=1&amp;e=ked6Ze" xr:uid="{EA83E9A5-19F8-4C77-A573-38986FEF4E07}"/>
    <hyperlink ref="G83" r:id="rId32" display="../../../../../../:b:/r/teams/CTM-OTGentStad/Shared Documents/General/EAF/CSI(nieuwe sharepoint)2024/EAF 2200 Brugsepoortstraat 01032024.pdf?csf=1&amp;web=1&amp;e=nwbPYd" xr:uid="{26370D2C-B489-4982-8CBB-61A5637FF203}"/>
    <hyperlink ref="G47" r:id="rId33" display="../../../../../../:b:/r/teams/CTM-OTGentStad/Shared Documents/General/EAF/CSI(nieuwe sharepoint)2024/EAF 2200 Gent 04022024.pdf?csf=1&amp;web=1&amp;e=iDFIyx" xr:uid="{4D149DE9-FFA3-4DC9-8BCC-D8244B34CF01}"/>
    <hyperlink ref="G264" r:id="rId34" display="../../../../../../:b:/r/teams/CTM-OTGentStad/Shared Documents/General/EAF/CSI(nieuwe sharepoint)2024/EAF 2200 Gent 26062024.pdf?csf=1&amp;web=1&amp;e=MDRG2e" xr:uid="{A71B7548-4994-4F69-85C3-56512F0913CF}"/>
    <hyperlink ref="G417" r:id="rId35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36" display="../../../../../../:b:/r/teams/CTM-OTGentStad/Shared Documents/General/EAF/CSI(nieuwe sharepoint)2024/EAF 2201 Gent 22032024.pdf?csf=1&amp;web=1&amp;e=Amq7wG" xr:uid="{236041F7-A030-4424-BDCA-F973BBBF56A7}"/>
    <hyperlink ref="G225" r:id="rId37" display="../../../../../../:b:/r/teams/CTM-OTGentStad/Shared Documents/General/EAF/CSI(nieuwe sharepoint)2024/EAF 2201 Gentbrugge 02062024.pdf?csf=1&amp;web=1&amp;e=6GZuMz" xr:uid="{B6F4A4D4-8294-4AE9-B922-F56A5EFC9386}"/>
    <hyperlink ref="G88" r:id="rId38" display="../../../../../../:b:/r/teams/CTM-OTGentStad/Shared Documents/General/EAF/CSI(nieuwe sharepoint)2024/EAF 2201 Korenmarkt 02032024.pdf?csf=1&amp;web=1&amp;e=OitAvJ" xr:uid="{661959CD-E91D-4539-B962-09A71C8F29B4}"/>
    <hyperlink ref="G315" r:id="rId39" display="../../../../../../:b:/r/teams/CTM-OTGentStad/Shared Documents/General/EAF/CSI(nieuwe sharepoint)2024/EAF 2202 Gent 03082024 36512.pdf?csf=1&amp;web=1&amp;e=kQ9UZP" xr:uid="{B77391D1-DA1D-4D60-8EA6-17A140CCD076}"/>
    <hyperlink ref="G139" r:id="rId40" display="../../../../../../:b:/r/teams/CTM-OTGentStad/Shared Documents/General/EAF/CSI(nieuwe sharepoint)2024/EAF 2202 Kleine Schuurstraat 04042024.pdf?csf=1&amp;web=1&amp;e=dMVMY8" xr:uid="{A29AC82F-D61A-446C-9D0E-8E54827B0E90}"/>
    <hyperlink ref="G399" r:id="rId41" display="../../../../../../:b:/r/teams/CTM-OTGentStad/Shared Documents/General/EAF/CSI(nieuwe sharepoint)2024/EAF 2203 Sint-Gerolfstraat Drongen 12102024.pdf?csf=1&amp;web=1&amp;e=NC3rTr" xr:uid="{A17B3120-3DF3-41D6-AB40-AED0763029EF}"/>
    <hyperlink ref="G275" r:id="rId42" display="../../../../../../:b:/r/teams/CTM-OTGentStad/Shared Documents/General/EAF/CSI(nieuwe sharepoint)2024/EAF 2204 Gent 05072024.pdf?csf=1&amp;web=1&amp;e=dmUarL" xr:uid="{3EF9DC50-CEC5-4402-AC75-37D9A8ED455F}"/>
    <hyperlink ref="G119" r:id="rId43" display="../../../../../../:b:/r/teams/CTM-OTGentStad/Shared Documents/General/EAF/CSI(nieuwe sharepoint)2024/EAF 2204 Gent 21032024.pdf?csf=1&amp;web=1&amp;e=juWhWD" xr:uid="{6191E183-FDD5-4651-8942-BF8401BAA669}"/>
    <hyperlink ref="G115" r:id="rId44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45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46" display="../../../../../../:b:/r/teams/CTM-OTGentStad/Shared Documents/General/EAF/CSI(nieuwe sharepoint)2024/EAF 2205 Brugsepoort Gent 04052024.pdf?csf=1&amp;web=1&amp;e=BpqhvW" xr:uid="{4C0A9A84-6FF6-4C17-BADE-D62B43818262}"/>
    <hyperlink ref="G431" r:id="rId47" display="../../../../../../:b:/r/teams/CTM-OTGentStad/Shared Documents/General/EAF/CSI(nieuwe sharepoint)2024/EAF 2205 Gent 04112024.pdf?csf=1&amp;web=1&amp;e=aQ3br9" xr:uid="{E2CED5A5-87F3-4FBA-BA87-34468F28FF5A}"/>
    <hyperlink ref="G6" r:id="rId48" display="../../../../../../:b:/r/teams/CTM-OTGentStad/Shared Documents/General/EAF/CSI(nieuwe sharepoint)2024/EAF 2205 Gent 08012024.pdf?csf=1&amp;web=1&amp;e=ZSuauE" xr:uid="{A925E715-93A4-4D70-A1C6-0DB3E2A2151F}"/>
    <hyperlink ref="G401" r:id="rId49" display="../../../../../../:b:/r/teams/CTM-OTGentStad/Shared Documents/General/EAF/CSI(nieuwe sharepoint)2024/EAF 2205 Gent 14102024 Inge Dejonckheere.pdf?csf=1&amp;web=1&amp;e=wbghTc" xr:uid="{C8D9D8CE-0A44-4089-9652-A37D1E0B7558}"/>
    <hyperlink ref="G382" r:id="rId50" display="../../../../../../:b:/r/teams/CTM-OTGentStad/Shared Documents/General/EAF/CSI(nieuwe sharepoint)2024/EAF 2205 Gent 26092024 Hesters Sylvie.pdf?csf=1&amp;web=1&amp;e=Fqny5y" xr:uid="{67C47B24-095E-4B1B-9AA2-51A10E4838C3}"/>
    <hyperlink ref="G429" r:id="rId51" display="../../../../../../:b:/r/teams/CTM-OTGentStad/Shared Documents/General/EAF/CSI(nieuwe sharepoint)2024/EAF 2206 Drongen 02112024 Johan VDbulcke.pdf?csf=1&amp;web=1&amp;e=sr7PwO" xr:uid="{CAB5AA12-37DF-455F-8DDB-B786F3E09212}"/>
    <hyperlink ref="G98" r:id="rId52" display="../../../../../../:b:/r/teams/CTM-OTGentStad/Shared Documents/General/EAF/CSI(nieuwe sharepoint)2024/EAF 2207 Dampoort 08032024.pdf?csf=1&amp;web=1&amp;e=IQfrQ4" xr:uid="{C475BA45-8B6A-416F-8C57-5B92A11B8F61}"/>
    <hyperlink ref="G322" r:id="rId53" display="../../../../../../:b:/r/teams/CTM-OTGentStad/Shared Documents/General/EAF/CSI(nieuwe sharepoint)2024/EAF 2207 Dampoort 14082024.pdf?csf=1&amp;web=1&amp;e=uzPcCI" xr:uid="{5E5520F3-C982-46BF-BB96-F3D8F5185B42}"/>
    <hyperlink ref="G130" r:id="rId54" display="../../../../../../:b:/r/teams/CTM-OTGentStad/Shared Documents/General/EAF/CSI(nieuwe sharepoint)2024/EAF 2207 E17 26032024 De Bruyne Sonia.pdf?csf=1&amp;web=1&amp;e=10WiQd" xr:uid="{96A1398F-6FFA-43C9-9381-94D0549C5D53}"/>
    <hyperlink ref="G20" r:id="rId55" display="../../../../../../:b:/r/teams/CTM-OTGentStad/Shared Documents/General/EAF/CSI(nieuwe sharepoint)2024/EAF 2207 Gent 17012024.pdf?csf=1&amp;web=1&amp;e=9t4Fii" xr:uid="{213074A8-713D-4AE9-8A78-8D3C20C7A351}"/>
    <hyperlink ref="G261" r:id="rId56" display="../../../../../../:b:/r/teams/CTM-OTGentStad/Shared Documents/General/EAF/CSI(nieuwe sharepoint)2024/EAF 2207 Gent 24062024.pdf?csf=1&amp;web=1&amp;e=ASeGvq" xr:uid="{69DEB2B3-50E4-484F-95F8-A420E882DF61}"/>
    <hyperlink ref="G302" r:id="rId57" display="../../../../../../:b:/r/teams/CTM-OTGentStad/Shared Documents/General/EAF/CSI(nieuwe sharepoint)2024/EAF 2207 Gent 25072024.pdf?csf=1&amp;web=1&amp;e=09gg6T" xr:uid="{C3F8E8C3-BFB5-436A-AB88-73315943B78D}"/>
    <hyperlink ref="G71" r:id="rId58" display="../../../../../../:b:/r/teams/CTM-OTGentStad/Shared Documents/General/EAF/CSI(nieuwe sharepoint)2024/EAF 2207 Gent Kortrijksesteenweg 22012024.pdf?csf=1&amp;web=1&amp;e=CH2kKv" xr:uid="{FE2EE9EB-4CE8-4842-8BE1-78C267F62279}"/>
    <hyperlink ref="G214" r:id="rId59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0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1" display="../../../../../../:b:/r/teams/CTM-OTGentStad/Shared Documents/General/EAF/CSI(nieuwe sharepoint)2024/EAF 2207 Kortrijksesteenweg Gent 17052024.pdf?csf=1&amp;web=1&amp;e=cIeR9O" xr:uid="{CF711121-5465-40C6-B061-740F82036EA3}"/>
    <hyperlink ref="G418" r:id="rId62" display="../../../../../../:b:/r/teams/CTM-OTGentStad/Shared Documents/General/EAF/CSI(nieuwe sharepoint)2024/EAF 2207 Oostakker 24102024  Roos Hugo.pdf?csf=1&amp;web=1&amp;e=DGpjp2" xr:uid="{D8489008-6264-465B-A460-8F474A8CA382}"/>
    <hyperlink ref="G373" r:id="rId63" display="../../../../../../:b:/r/teams/CTM-OTGentStad/Shared Documents/General/EAF/CSI(nieuwe sharepoint)2024/EAF 2207 Oostakker Dorp 19092024.pdf?csf=1&amp;web=1&amp;e=UWS1Pk" xr:uid="{573952F3-DBE9-4F5C-BE85-6D20ED351E83}"/>
    <hyperlink ref="G39" r:id="rId64" display="../../../../../../:b:/r/teams/CTM-OTGentStad/Shared Documents/General/EAF/CSI(nieuwe sharepoint)2024/EAF 2208 Blaisantvest 31012024.pdf?csf=1&amp;web=1&amp;e=66eMgm" xr:uid="{EDF0B086-4096-4499-9B2B-4D49CB489BA3}"/>
    <hyperlink ref="G434" r:id="rId65" display="../../../../../../:b:/r/teams/CTM-OTGentStad/Shared Documents/General/EAF/CSI(nieuwe sharepoint)2024/EAF 2208 Gent 05112024.pdf?csf=1&amp;web=1&amp;e=TI1GO7" xr:uid="{346D789A-339B-4958-87E1-6561ADAC1E10}"/>
    <hyperlink ref="G207" r:id="rId66" display="../../../../../../:b:/r/teams/CTM-OTGentStad/Shared Documents/General/EAF/CSI(nieuwe sharepoint)2024/EAF 2208 Gent 21052024.pdf?csf=1&amp;web=1&amp;e=T5k9Cx" xr:uid="{0B392919-7127-4459-9ACF-ED20404FB329}"/>
    <hyperlink ref="G306" r:id="rId67" display="../../../../../../:b:/r/teams/CTM-OTGentStad/Shared Documents/General/EAF/CSI(nieuwe sharepoint)2024/EAF 2208 Gent 29072024.pdf?csf=1&amp;web=1&amp;e=VcIP6k" xr:uid="{15DA83F1-50C2-4FAE-A901-DFA2789FE9B1}"/>
    <hyperlink ref="G326" r:id="rId68" display="../../../../../../:b:/r/teams/CTM-OTGentStad/Shared Documents/General/EAF/CSI(nieuwe sharepoint)2024/EAF 2208 stelplaats E-17 19.08.2024.pdf?csf=1&amp;web=1&amp;e=GtdNiU" xr:uid="{A801C6CB-CD13-4E40-93D0-C0E4A18B8037}"/>
    <hyperlink ref="G435" r:id="rId69" display="../../../../../../:b:/r/teams/CTM-OTGentStad/Shared Documents/General/EAF/CSI(nieuwe sharepoint)2024/EAF 2546 Gent 06112024.pdf?csf=1&amp;web=1&amp;e=cWMjpe" xr:uid="{477A62E0-78FE-44F9-AA49-A022A9BC841C}"/>
    <hyperlink ref="G332" r:id="rId70" display="../../../../../../:b:/r/teams/CTM-OTGentStad/Shared Documents/General/EAF/CSI(nieuwe sharepoint)2024/EAF 2546 wondelgemstation 26082024 Mekdad Ali.pdf?csf=1&amp;web=1&amp;e=pgRgJ2" xr:uid="{B84A489A-797F-4AF9-8672-1F4731852169}"/>
    <hyperlink ref="G511" r:id="rId71" display="../../../../../../:b:/r/teams/CTM-OTGentStad/Shared Documents/General/EAF/CSI(nieuwe sharepoint)2024/EAF 2548 Gent 28122024.pdf?csf=1&amp;web=1&amp;e=zK5dZd" xr:uid="{85AE4104-460D-49C6-83E5-AB21C15D7CFB}"/>
    <hyperlink ref="G221" r:id="rId72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3" display="../../../../../../:b:/r/teams/CTM-OTGentStad/Shared Documents/General/EAF/CSI(nieuwe sharepoint)2024/EAF 2548 stelplaats Gentbrugge 11102024.pdf?csf=1&amp;web=1&amp;e=R0LOpr" xr:uid="{424A95DC-38A4-4725-BC44-292A55A71654}"/>
    <hyperlink ref="G407" r:id="rId74" display="../../../../../../:b:/r/teams/CTM-OTGentStad/Shared Documents/General/EAF/CSI(nieuwe sharepoint)2024/EAF 2548 Tolhuislaan 17.10.2024.pdf?csf=1&amp;web=1&amp;e=up7NZq" xr:uid="{024FAD3E-3E08-4BD7-96FF-042BACB13647}"/>
    <hyperlink ref="G99" r:id="rId75" display="../../../../../../:b:/r/teams/CTM-OTGentStad/Shared Documents/General/EAF/CSI(nieuwe sharepoint)2024/EAF 2549 08022024.pdf?csf=1&amp;web=1&amp;e=yX2pXM" xr:uid="{BD707E83-174D-4740-B201-A7E1164D28CB}"/>
    <hyperlink ref="G55" r:id="rId76" display="../../../../../../:b:/r/teams/CTM-OTGentStad/Shared Documents/General/EAF/CSI(nieuwe sharepoint)2024/EAF 2549 Gent 08022024.pdf?csf=1&amp;web=1&amp;e=nayJ8h" xr:uid="{F00FB837-15FF-4769-BE20-DDA656C3F864}"/>
    <hyperlink ref="G91" r:id="rId77" display="../../../../../../:b:/r/teams/CTM-OTGentStad/Shared Documents/General/EAF/CSI(nieuwe sharepoint)2024/EAF 4666 De Pintelaan 05032024 Duyck Kimberley.pdf?csf=1&amp;web=1&amp;e=4DKtbV" xr:uid="{C90AE292-F94C-4FD6-82F4-758F1A1A109F}"/>
    <hyperlink ref="G340" r:id="rId78" display="../../../../../../:b:/r/teams/CTM-OTGentStad/Shared Documents/General/EAF/CSI(nieuwe sharepoint)2024/EAF 4666 Ottergemsesteenweg Gent 03092024.pdf?csf=1&amp;web=1&amp;e=s9Ij6m" xr:uid="{18A50BDF-BD1A-4993-A899-0344F2719D8A}"/>
    <hyperlink ref="G156" r:id="rId79" display="../../../../../../:b:/r/teams/CTM-OTGentStad/Shared Documents/General/EAF/CSI(nieuwe sharepoint)2024/EAF 4678 Gent 17042024.pdf?csf=1&amp;web=1&amp;e=sIQOQu" xr:uid="{6F45FB09-66F6-48AD-8D10-14545D84E36D}"/>
    <hyperlink ref="G464" r:id="rId80" display="../../../../../../:b:/r/teams/CTM-OTGentStad/Shared Documents/General/EAF/CSI(nieuwe sharepoint)2024/EAF 4678 Gent 26112024.pdf?csf=1&amp;web=1&amp;e=WvmnW0" xr:uid="{3066308C-EEA5-4A4B-B15D-142BACA89E6D}"/>
    <hyperlink ref="G500" r:id="rId81" display="../../../../../../:b:/r/teams/CTM-OTGentStad/Shared Documents/General/EAF/CSI(nieuwe sharepoint)2024/EAF 5039 Oostakker 20122024.pdf?csf=1&amp;web=1&amp;e=GxSYyj" xr:uid="{11472B66-C184-4071-9D9C-93CA4F9AA4C6}"/>
    <hyperlink ref="G104" r:id="rId82" display="../../../../../../:b:/r/teams/CTM-OTGentStad/Shared Documents/General/EAF/CSI(nieuwe sharepoint)2024/EAF 5040 Dampoort 13032024.pdf?csf=1&amp;web=1&amp;e=D8AKad" xr:uid="{9EACD41D-3718-4C46-B381-8B0AF7E36345}"/>
    <hyperlink ref="G60" r:id="rId83" display="../../../../../../:b:/r/teams/CTM-OTGentStad/Shared Documents/General/EAF/CSI(nieuwe sharepoint)2024/EAF 5040 Gent 15022024.pdf?csf=1&amp;web=1&amp;e=RDY6Mt" xr:uid="{64E71FA1-8B7B-4BD8-AA4D-9543C132963C}"/>
    <hyperlink ref="G149" r:id="rId84" display="../../../../../../:b:/r/teams/CTM-OTGentStad/Shared Documents/General/EAF/CSI(nieuwe sharepoint)2024/EAF 5040 Heuvelpoort 11042024 Middernacht Andy.pdf?csf=1&amp;web=1&amp;e=uaT6ms" xr:uid="{83D9B1FB-3F77-4B46-B398-4DE0E3B08435}"/>
    <hyperlink ref="G251" r:id="rId85" display="../../../../../../:b:/r/teams/CTM-OTGentStad/Shared Documents/General/EAF/CSI(nieuwe sharepoint)2024/EAF 5040 Steendam Gent 15062024.pdf?csf=1&amp;web=1&amp;e=fGqMom" xr:uid="{824C5CEB-CF25-445F-8A81-F84E2C350AD0}"/>
    <hyperlink ref="G469" r:id="rId86" display="../../../../../../:b:/r/teams/CTM-OTGentStad/Shared Documents/General/EAF/CSI(nieuwe sharepoint)2024/EAF 5041 Dampoort 30112024 Sharon Cardon.pdf?csf=1&amp;web=1&amp;e=ekktSr" xr:uid="{0F57B737-8C6D-4B50-B78C-4873126A4414}"/>
    <hyperlink ref="G230" r:id="rId87" display="../../../../../../:b:/r/teams/CTM-OTGentStad/Shared Documents/General/EAF/CSI(nieuwe sharepoint)2024/EAf 5041 Gent 05062024.pdf?csf=1&amp;web=1&amp;e=JDP1Zg" xr:uid="{B6C0D64D-2E8C-4159-9362-2A8DF677A5FF}"/>
    <hyperlink ref="G368" r:id="rId88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89" display="../../../../../../:b:/r/teams/CTM-OTGentStad/Shared Documents/General/EAF/CSI(nieuwe sharepoint)2024/EAF 5042 Gent 25102024.pdf?csf=1&amp;web=1&amp;e=uJPXsP" xr:uid="{7E33B54D-BC54-4EC7-AA28-92C5A8378909}"/>
    <hyperlink ref="G330" r:id="rId90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1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2" display="../../../../../../:b:/r/teams/CTM-OTGentStad/Shared Documents/General/EAF/CSI(nieuwe sharepoint)2024/EAF 5043 GSP 08032024 De Bruyne Sonia.pdf?csf=1&amp;web=1&amp;e=dD8i4V" xr:uid="{6D4E50B6-16EA-4F70-B325-4301D2910128}"/>
    <hyperlink ref="G51" r:id="rId93" display="../../../../../../:b:/r/teams/CTM-OTGentStad/Shared Documents/General/EAF/CSI(nieuwe sharepoint)2024/EAF 5044 Gent 05022024.pdf?csf=1&amp;web=1&amp;e=yey2sa" xr:uid="{194BA9E2-5B87-4648-92FD-C91A6AA98F76}"/>
    <hyperlink ref="G42" r:id="rId94" display="../../../../../../:b:/r/teams/CTM-OTGentStad/Shared Documents/General/EAF/CSI(nieuwe sharepoint)2024/EAF 5044 Gent deel 1.pdf?csf=1&amp;web=1&amp;e=IZggyy" xr:uid="{37D11D34-718C-4238-AFE7-431E55E64F9C}"/>
    <hyperlink ref="G336" r:id="rId95" display="../../../../../../:b:/r/teams/CTM-OTGentStad/Shared Documents/General/EAF/CSI(nieuwe sharepoint)2024/EAF 5044 Oostakker 31082024.pdf?csf=1&amp;web=1&amp;e=j9uLxZ" xr:uid="{4E05077D-CD21-402C-B3C9-5E4314A8A454}"/>
    <hyperlink ref="G282" r:id="rId96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97" display="../../../../../../:b:/r/teams/CTM-OTGentStad/Shared Documents/General/EAF/CSI(nieuwe sharepoint)2024/EAF 5045 Gent 12012024.pdf?csf=1&amp;web=1&amp;e=ivd5RU" xr:uid="{3A22C16C-607A-4FC2-8A8D-24743345E1B8}"/>
    <hyperlink ref="G496" r:id="rId98" display="../../../../../../:b:/r/teams/CTM-OTGentStad/Shared Documents/General/EAF/CSI(nieuwe sharepoint)2024/EAF 5045 Gent 17122024.pdf?csf=1&amp;web=1&amp;e=kzrcYs" xr:uid="{564B8D95-A97B-4623-99E6-3B4192928165}"/>
    <hyperlink ref="G76" r:id="rId99" display="../../../../../../:b:/r/teams/CTM-OTGentStad/Shared Documents/General/EAF/CSI(nieuwe sharepoint)2024/EAF 5045 Gent 28022024.pdf?csf=1&amp;web=1&amp;e=wvDOGb" xr:uid="{369E236B-8E52-4428-85B7-91A323A63F6D}"/>
    <hyperlink ref="G32" r:id="rId100" display="../../../../../../:b:/r/teams/CTM-OTGentStad/Shared Documents/General/EAF/CSI(nieuwe sharepoint)2024/EAF 5046 Oostakker 25012024.pdf?csf=1&amp;web=1&amp;e=vOY63e" xr:uid="{6E74240E-2337-46C7-B8D4-CC8E54D01985}"/>
    <hyperlink ref="G356" r:id="rId101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2" display="../../../../../../:b:/r/teams/CTM-OTGentStad/Shared Documents/General/EAF/CSI(nieuwe sharepoint)2024/EAF 5047 Gent Sint-Pietersstation 04072024.pdf?csf=1&amp;web=1&amp;e=w3uplh" xr:uid="{DFFC8348-AD0F-4A2C-B31D-AC83FF60E3B2}"/>
    <hyperlink ref="G203" r:id="rId103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4" display="../../../../../../:b:/r/teams/CTM-OTGentStad/Shared Documents/General/EAF/CSI(nieuwe sharepoint)2024/EAF 5048 Brugsepoort 10012024.pdf?csf=1&amp;web=1&amp;e=efMJXy" xr:uid="{339F33FE-F791-408B-AE55-8342C40CB9F9}"/>
    <hyperlink ref="G462" r:id="rId105" display="../../../../../../:b:/r/teams/CTM-OTGentStad/Shared Documents/General/EAF/CSI(nieuwe sharepoint)2024/EAF 5048 Gent 23112024.pdf?csf=1&amp;web=1&amp;e=0ID7Th" xr:uid="{FE567F82-C048-49E2-938A-504FF18DC235}"/>
    <hyperlink ref="G141" r:id="rId106" display="../../../../../../:b:/r/teams/CTM-OTGentStad/Shared Documents/General/EAF/CSI(nieuwe sharepoint)2024/EAF 5048 Trollyloods Gentburgge 27042024.pdf?csf=1&amp;web=1&amp;e=l7s9op" xr:uid="{07E718B1-7EC4-4B38-B197-07A5B95843C2}"/>
    <hyperlink ref="G33" r:id="rId107" display="../../../../../../:b:/r/teams/CTM-OTGentStad/Shared Documents/General/EAF/CSI(nieuwe sharepoint)2024/EAF 5048 Zwijnaarde 25012024.pdf?csf=1&amp;web=1&amp;e=4uelUO" xr:uid="{89B485B8-75D3-4E72-AC08-A30631C9FE67}"/>
    <hyperlink ref="G289" r:id="rId108" display="../../../../../../:b:/r/teams/CTM-OTGentStad/Shared Documents/General/EAF/CSI(nieuwe sharepoint)2024/EAF 5049 Gent 13072024.pdf?csf=1&amp;web=1&amp;e=SsboXc" xr:uid="{4ADFF32A-5B91-4408-BBB8-BC8D8127379E}"/>
    <hyperlink ref="G10" r:id="rId109" display="../../../../../../:b:/r/teams/CTM-OTGentStad/Shared Documents/General/EAF/CSI(nieuwe sharepoint)2024/EAF 5049 Opgeeistlaan 11012024.pdf?csf=1&amp;web=1&amp;e=upU8ce" xr:uid="{970A9D7E-1DAC-4B35-B1D7-404FBB2700E6}"/>
    <hyperlink ref="G470" r:id="rId110" display="../../../../../../:b:/r/teams/CTM-OTGentStad/Shared Documents/General/EAF/CSI(nieuwe sharepoint)2024/EAF 5049 Trolleyloods Gentbrugge 30112024.pdf?csf=1&amp;web=1&amp;e=DDkLJB" xr:uid="{6E36E6AD-37BB-4F07-83C9-F80A39F38CF6}"/>
    <hyperlink ref="G101" r:id="rId111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2" display="../../../../../../:b:/r/teams/CTM-OTGentStad/Shared Documents/General/EAF/CSI(nieuwe sharepoint)2024/EAF 5051 Gent 11062024.pdf?csf=1&amp;web=1&amp;e=lridOg" xr:uid="{F8C16BEA-33A4-43A1-8C9F-79DC2D51A4B3}"/>
    <hyperlink ref="G458" r:id="rId113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4" display="../../../../../../:b:/r/teams/CTM-OTGentStad/Shared Documents/General/EAF/CSI(nieuwe sharepoint)2024/EAF 5052 Gent 03092024.pdf?csf=1&amp;web=1&amp;e=j6GWuh" xr:uid="{684C05EF-CC93-4893-9326-FB1FC46BB253}"/>
    <hyperlink ref="G218" r:id="rId115" display="../../../../../../:b:/r/teams/CTM-OTGentStad/Shared Documents/General/EAF/CSI(nieuwe sharepoint)2024/EAF 5052 Gent 28052024.pdf?csf=1&amp;web=1&amp;e=wMFLOS" xr:uid="{5791140D-0988-44F6-A08D-F3FF696C698A}"/>
    <hyperlink ref="G378" r:id="rId116" display="../../../../../../:b:/r/teams/CTM-OTGentStad/Shared Documents/General/EAF/CSI(nieuwe sharepoint)2024/EAF 5052 Voskenslaan 24092024.pdf?csf=1&amp;web=1&amp;e=vLM2rs" xr:uid="{C48F1089-E222-47D9-AEBD-654E6EE58E73}"/>
    <hyperlink ref="G321" r:id="rId117" display="../../../../../../:b:/r/teams/CTM-OTGentStad/Shared Documents/General/EAF/CSI(nieuwe sharepoint)2024/EAF 5053  5272 Trollyloods Gentbrugge 11062024.pdf?csf=1&amp;web=1&amp;e=YXfgDM" xr:uid="{EC9997A5-5559-4569-81D5-0B999BB539C4}"/>
    <hyperlink ref="G142" r:id="rId118" display="../../../../../../:b:/r/teams/CTM-OTGentStad/Shared Documents/General/EAF/CSI(nieuwe sharepoint)2024/EAF 5053 Gent 07042024.pdf?csf=1&amp;web=1&amp;e=RjO14u" xr:uid="{DC6550E3-99CC-4FC8-A081-BB5F1C15BBF0}"/>
    <hyperlink ref="G305" r:id="rId119" display="../../../../../../:b:/r/teams/CTM-OTGentStad/Shared Documents/General/EAF/CSI(nieuwe sharepoint)2024/EAF 5053 Gent 27072024.pdf?csf=1&amp;web=1&amp;e=OiWWi6" xr:uid="{1282E241-D234-40F1-9C10-A3627664D753}"/>
    <hyperlink ref="G508" r:id="rId120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1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2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3" display="../../../../../../:b:/r/teams/CTM-OTGentStad/Shared Documents/General/EAF/CSI(nieuwe sharepoint)2024/EAF 5054 Gent 15112024.pdf?csf=1&amp;web=1&amp;e=20cD2D" xr:uid="{4C2A26BE-4D23-4B19-81DB-0FD1CB4EC899}"/>
    <hyperlink ref="G257" r:id="rId124" display="../../../../../../:b:/r/teams/CTM-OTGentStad/Shared Documents/General/EAF/CSI(nieuwe sharepoint)2024/EAF 5214 Gent 18062024.pdf?csf=1&amp;web=1&amp;e=ftFyER" xr:uid="{BEAA269B-10DF-4C60-A7E2-BA717F0C7BDF}"/>
    <hyperlink ref="G237" r:id="rId125" display="../../../../../../:b:/r/teams/CTM-OTGentStad/Shared Documents/General/EAF/CSI(nieuwe sharepoint)2024/EAF 5214 Gentbrugge 10062024.pdf?csf=1&amp;web=1&amp;e=ZkRs3H" xr:uid="{0EA5F3C5-3AF6-4C69-94EC-7F11B6A9E5D2}"/>
    <hyperlink ref="G194" r:id="rId126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27" display="../../../../../../:b:/r/teams/CTM-OTGentStad/Shared Documents/General/EAF/CSI(nieuwe sharepoint)2024/EAF 5219 Gent 07042024.pdf?csf=1&amp;web=1&amp;e=m4ESW6" xr:uid="{142430E9-C7DA-40A3-B64D-58AF211C0695}"/>
    <hyperlink ref="G162" r:id="rId128" display="../../../../../../:b:/r/teams/CTM-OTGentStad/Shared Documents/General/EAF/CSI(nieuwe sharepoint)2024/EAF 5229 Gent 19042024.pdf?csf=1&amp;web=1&amp;e=AhHiqm" xr:uid="{1B1C376D-E6C9-4990-BC36-F202F63CCD48}"/>
    <hyperlink ref="G415" r:id="rId129" display="../../../../../../:b:/r/teams/CTM-OTGentStad/Shared Documents/General/EAF/CSI(nieuwe sharepoint)2024/EAF 5229 Gent 23102024.pdf?csf=1&amp;web=1&amp;e=ESKx5N" xr:uid="{F16DA9F8-02C0-4D52-8B77-7B79EA874012}"/>
    <hyperlink ref="G195" r:id="rId130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1" display="../../../../../../:b:/r/teams/CTM-OTGentStad/Shared Documents/General/EAF/CSI(nieuwe sharepoint)2024/EAF 5230 Gent 28022024.pdf?csf=1&amp;web=1&amp;e=yDFaaM" xr:uid="{EC5A4AFA-661A-49EB-B968-2F1F560586E1}"/>
    <hyperlink ref="G494" r:id="rId132" display="../../../../../../:b:/r/teams/CTM-OTGentStad/Shared Documents/General/EAF/CSI(nieuwe sharepoint)2024/EAF 5230 Sint-Amandsberg  16122024.pdf?csf=1&amp;web=1&amp;e=ph7Ndy" xr:uid="{36E1F487-1A61-4764-8AF0-FBEC7960DDA7}"/>
    <hyperlink ref="G37" r:id="rId133" display="../../../../../../:b:/r/teams/CTM-OTGentStad/Shared Documents/General/EAF/CSI(nieuwe sharepoint)2024/EAF 5232 Gent 30012024.pdf?csf=1&amp;web=1&amp;e=rgbBDo" xr:uid="{872A0446-8C50-44C9-8112-444475A3004F}"/>
    <hyperlink ref="G351" r:id="rId134" display="../../../../../../:b:/r/teams/CTM-OTGentStad/Shared Documents/General/EAF/CSI(nieuwe sharepoint)2024/EAF 5233 Drongen 06092024.pdf?csf=1&amp;web=1&amp;e=GIoRc2" xr:uid="{F42AA0C2-BCEC-47BE-9D36-0777A3E629D3}"/>
    <hyperlink ref="G400" r:id="rId135" display="../../../../../../:b:/r/teams/CTM-OTGentStad/Shared Documents/General/EAF/CSI(nieuwe sharepoint)2024/EAF 5233 E17 13102024 Sahin Orhan.pdf?csf=1&amp;web=1&amp;e=LqDC9n" xr:uid="{4CE8DE9A-BE9D-4BAA-B603-1850CFBED817}"/>
    <hyperlink ref="G84" r:id="rId136" display="../../../../../../:b:/r/teams/CTM-OTGentStad/Shared Documents/General/EAF/CSI(nieuwe sharepoint)2024/EAF 5233 Drongsesteenweg 01032024.pdf?csf=1&amp;web=1&amp;e=f0bLD0" xr:uid="{15240598-88FB-48CB-AD07-399E0612C37E}"/>
    <hyperlink ref="G75" r:id="rId137" display="../../../../../../:b:/r/teams/CTM-OTGentStad/Shared Documents/General/EAF/CSI(nieuwe sharepoint)2024/EAF 5233 Wondelgem 27022024.pdf?csf=1&amp;web=1&amp;e=VUObQu" xr:uid="{CC06F139-05E8-4789-85CF-6148D0544C8C}"/>
    <hyperlink ref="G110" r:id="rId138" display="../../../../../../:b:/r/teams/CTM-OTGentStad/Shared Documents/General/EAF/CSI(nieuwe sharepoint)2024/EAF 5235 Gent 18032024.pdf?csf=1&amp;web=1&amp;e=aqQ2Fu" xr:uid="{FC818F25-B6C8-4218-8689-0C16F729D7E9}"/>
    <hyperlink ref="G80" r:id="rId139" display="../../../../../../:b:/r/teams/CTM-OTGentStad/Shared Documents/General/EAF/CSI(nieuwe sharepoint)2024/EAF 5235 Kouter Gent 29022024.pdf?csf=1&amp;web=1&amp;e=mb4LtY" xr:uid="{C6246465-6C1C-4B83-A73E-8D938327AD59}"/>
    <hyperlink ref="G144" r:id="rId140" display="../../../../../../:b:/r/teams/CTM-OTGentStad/Shared Documents/General/EAF/CSI(nieuwe sharepoint)2024/EAF 5236 Gent 08042024.pdf?csf=1&amp;web=1&amp;e=9TBxOY" xr:uid="{92F197F1-E1C8-4380-9DD3-E15ABF138817}"/>
    <hyperlink ref="G53" r:id="rId141" display="../../../../../../:b:/r/teams/CTM-OTGentStad/Shared Documents/General/EAF/CSI(nieuwe sharepoint)2024/EAF 5237 Begijnhoflaan 07022024.pdf?csf=1&amp;web=1&amp;e=uBdiuT" xr:uid="{57FEEE40-B95E-4D18-8CAC-5B696997F569}"/>
    <hyperlink ref="G147" r:id="rId142" display="../../../../../../:b:/r/teams/CTM-OTGentStad/Shared Documents/General/EAF/CSI(nieuwe sharepoint)2024/EAF 5237 Gent 09042024.pdf?csf=1&amp;web=1&amp;e=LzaWuc" xr:uid="{22BA3454-9282-42BF-9442-46E48BA1BBF5}"/>
    <hyperlink ref="G492" r:id="rId143" display="../../../../../../:b:/r/teams/CTM-OTGentStad/Shared Documents/General/EAF/CSI(nieuwe sharepoint)2024/EAF 5237 Nieuwe Wandeling Gent 14122024.pdf?csf=1&amp;web=1&amp;e=2ZG3Tn" xr:uid="{D898A5F8-8ED0-483E-902A-B9513D0393B9}"/>
    <hyperlink ref="G145" r:id="rId144" display="../../../../../../:b:/r/teams/CTM-OTGentStad/Shared Documents/General/EAF/CSI(nieuwe sharepoint)2024/EAF 5238 Brugsepoort Gent 08042024.pdf?csf=1&amp;web=1&amp;e=IkZZS2" xr:uid="{107AA107-4FF8-45A1-9801-901570F66CF6}"/>
    <hyperlink ref="G226" r:id="rId145" display="../../../../../../:b:/r/teams/CTM-OTGentStad/Shared Documents/General/EAF/CSI(nieuwe sharepoint)2024/EAF 5238 Dampoortstraat 02062024.pdf?csf=1&amp;web=1&amp;e=KplfVG" xr:uid="{82C3C673-B106-4861-A164-5A196C83972E}"/>
    <hyperlink ref="G441" r:id="rId146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47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48" display="../../../../../../:b:/r/teams/CTM-OTGentStad/Shared Documents/General/EAF/CSI(nieuwe sharepoint)2024/EAF 5239 Dampoort Gent 28092024.pdf?csf=1&amp;web=1&amp;e=2ecVKf" xr:uid="{0F88B24E-E58A-404B-B81A-4AB15657A82B}"/>
    <hyperlink ref="G364" r:id="rId149" display="../../../../../../:b:/r/teams/CTM-OTGentStad/Shared Documents/General/EAF/CSI(nieuwe sharepoint)2024/EAF 5239 Gent 39929 Staneva mariyana 14092024.pdf?csf=1&amp;web=1&amp;e=hMWWGb" xr:uid="{686A188A-2DA7-4B83-B913-C23137E77163}"/>
    <hyperlink ref="G151" r:id="rId150" display="../../../../../../:b:/r/teams/CTM-OTGentStad/Shared Documents/General/EAF/CSI(nieuwe sharepoint)2024/EAF 5239 Gent Brugsepoortstraat 12042024.pdf?csf=1&amp;web=1&amp;e=kfYcDQ" xr:uid="{F101ABC3-319B-4F1C-B964-417DC607D610}"/>
    <hyperlink ref="G488" r:id="rId151" display="../../../../../../:b:/r/teams/CTM-OTGentStad/Shared Documents/General/EAF/CSI(nieuwe sharepoint)2024/EAF 5239 Ledeberg 12122024.pdf?csf=1&amp;web=1&amp;e=mdSGoo" xr:uid="{76C035DD-FA0C-4F7C-BC9E-47B244C46548}"/>
    <hyperlink ref="G343" r:id="rId152" display="../../../../../../:b:/r/teams/CTM-OTGentStad/Shared Documents/General/EAF/CSI(nieuwe sharepoint)2024/EAF 5240 Gent 03092024 Atilla Ayidil.pdf?csf=1&amp;web=1&amp;e=g4RcZR" xr:uid="{57BF8AC5-1EE1-48FF-9540-37C9F9E77AF5}"/>
    <hyperlink ref="G111" r:id="rId153" display="../../../../../../:b:/r/teams/CTM-OTGentStad/Shared Documents/General/EAF/CSI(nieuwe sharepoint)2024/EAF 5240 Gent 18032024.pdf?csf=1&amp;web=1&amp;e=6Fvho6" xr:uid="{9D5E120C-A866-44ED-B6DF-EB9789082281}"/>
    <hyperlink ref="G463" r:id="rId154" display="../../../../../../:b:/r/teams/CTM-OTGentStad/Shared Documents/General/EAF/CSI(nieuwe sharepoint)2024/EAF 5240 Gent 23112024.pdf?csf=1&amp;web=1&amp;e=xHFfD7" xr:uid="{B534E512-FB1C-4BFD-AFFE-60C50F72B9EB}"/>
    <hyperlink ref="G409" r:id="rId155" display="../../../../../../:b:/r/teams/CTM-OTGentStad/Shared Documents/General/EAF/CSI(nieuwe sharepoint)2024/EAF 5240 Hoogstraat Gent 19.10.2024.pdf?csf=1&amp;web=1&amp;e=iYJzsc" xr:uid="{46AC0B2D-F923-4170-8924-0C6990A9508E}"/>
    <hyperlink ref="G160" r:id="rId156" display="../../../../../../:b:/r/teams/CTM-OTGentStad/Shared Documents/General/EAF/CSI(nieuwe sharepoint)2024/EAF 5240 Koning Albertlaan Gent 18012024.pdf?csf=1&amp;web=1&amp;e=GwvnVk" xr:uid="{E96BA914-631F-4DD1-A2CD-235512895942}"/>
    <hyperlink ref="G367" r:id="rId157" display="../../../../../../:b:/r/teams/CTM-OTGentStad/Shared Documents/General/EAF/CSI(nieuwe sharepoint)2024/EAF 5240 Nieuwe Wandeling Gent 15092024.pdf?csf=1&amp;web=1&amp;e=ybJXsr" xr:uid="{82DF405D-D5D8-4B78-AE31-0D254885B5F9}"/>
    <hyperlink ref="G299" r:id="rId158" display="../../../../../../:b:/r/teams/CTM-OTGentStad/Shared Documents/General/EAF/CSI(nieuwe sharepoint)2024/EAF 5240 Nieuwebosstraat 52 Gent 24.07.2024.pdf?csf=1&amp;web=1&amp;e=rSy4pR" xr:uid="{A981F4A2-09BD-461A-AFB7-CC5C884FD674}"/>
    <hyperlink ref="G300" r:id="rId159" display="../../../../../../:b:/r/teams/CTM-OTGentStad/Shared Documents/General/EAF/CSI(nieuwe sharepoint)2024/EAF 5240 Sint Amandsberg 24012024.pdf?csf=1&amp;web=1&amp;e=zHuKrP" xr:uid="{11DA0475-1561-428F-9D96-D3A3BCB37EED}"/>
    <hyperlink ref="G64" r:id="rId160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1" display="../../../../../../:b:/r/teams/CTM-OTGentStad/Shared Documents/General/EAF/CSI(nieuwe sharepoint)2024/EAF 5241 Gent Neermeerkaai 24042024.pdf?csf=1&amp;web=1&amp;e=hXwGLz" xr:uid="{DD19F197-679B-47C0-BE93-1D3BA9C723E8}"/>
    <hyperlink ref="G478" r:id="rId162" display="../../../../../../:b:/r/teams/CTM-OTGentStad/Shared Documents/General/EAF/CSI(nieuwe sharepoint)2024/EAF 5241 Gentbrugge 04122024.pdf?csf=1&amp;web=1&amp;e=f5ThUQ" xr:uid="{7D310F5C-0361-4788-B63B-2A829813B77A}"/>
    <hyperlink ref="G410" r:id="rId163" display="../../../../../../:b:/r/teams/CTM-OTGentStad/Shared Documents/General/EAF/CSI(nieuwe sharepoint)2024/EAF 5258 Rooigemlaan Gent  19.10.2024.pdf?csf=1&amp;web=1&amp;e=wNw2xP" xr:uid="{629E6FBD-E70C-4299-B41D-38B33769A026}"/>
    <hyperlink ref="G369" r:id="rId164" display="../../../../../../:b:/r/teams/CTM-OTGentStad/Shared Documents/General/EAF/CSI(nieuwe sharepoint)2024/EAF 5259 Drongensesteenweg 16092024 Nohut Baki.pdf?csf=1&amp;web=1&amp;e=c6BSsH" xr:uid="{97F0F5B8-393F-473E-AE4A-47F56D84819B}"/>
    <hyperlink ref="G35" r:id="rId165" display="../../../../../../:b:/r/teams/CTM-OTGentStad/Shared Documents/General/EAF/CSI(nieuwe sharepoint)2024/EAF 5260 Gent 28012024.pdf?csf=1&amp;web=1&amp;e=5Sz9tz" xr:uid="{6EE06DA0-3107-4B76-B2A6-5B362B5D2DA6}"/>
    <hyperlink ref="G313" r:id="rId166" display="../../../../../../:b:/r/teams/CTM-OTGentStad/Shared Documents/General/EAF/CSI(nieuwe sharepoint)2024/EAF 5260 Gentbrugge 02082024.pdf?csf=1&amp;web=1&amp;e=LndmuV" xr:uid="{090568B8-35D5-41F6-AD4C-F6D3F5D2F30C}"/>
    <hyperlink ref="G208" r:id="rId167" display="../../../../../../:b:/r/teams/CTM-OTGentStad/Shared Documents/General/EAF/CSI(nieuwe sharepoint)2024/EAF 5260 Gentbrugge 21052024.pdf?csf=1&amp;web=1&amp;e=WUdDW0" xr:uid="{DA041EFD-D168-4AFF-8423-558D7A8198CD}"/>
    <hyperlink ref="G430" r:id="rId168" display="../../../../../../:b:/r/teams/CTM-OTGentStad/Shared Documents/General/EAF/CSI(nieuwe sharepoint)2024/EAF 5260 Groeningewijk Gentbrugge 02112024.pdf?csf=1&amp;web=1&amp;e=PFNT1e" xr:uid="{B67A3E86-BD7D-432F-ABA0-61F4041E7D9A}"/>
    <hyperlink ref="G452" r:id="rId169" display="../../../../../../:b:/r/teams/CTM-OTGentStad/Shared Documents/General/EAF/CSI(nieuwe sharepoint)2024/EAF 5260 Hoogstraat Gent 17072024.pdf?csf=1&amp;web=1&amp;e=0DYXJ9" xr:uid="{80D2D0B5-01F0-4FB6-9CC9-EC959F6F1C09}"/>
    <hyperlink ref="G484" r:id="rId170" display="../../../../../../:b:/r/teams/CTM-OTGentStad/Shared Documents/General/EAF/CSI(nieuwe sharepoint)2024/EAF 5261 Brugsepoort Gent 09122024.pdf?csf=1&amp;web=1&amp;e=2klFr2" xr:uid="{F7B4B502-E0D9-4986-AE5D-2F347AE41E9A}"/>
    <hyperlink ref="G170" r:id="rId171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2" display="../../../../../../:b:/r/teams/CTM-OTGentStad/Shared Documents/General/EAF/CSI(nieuwe sharepoint)2024/EAF 5261 Gent 02022024.pdf?csf=1&amp;web=1&amp;e=KQ3nxn" xr:uid="{0751FBF0-F200-4ED5-B5F1-0D2822456AF1}"/>
    <hyperlink ref="G348" r:id="rId173" display="../../../../../../:b:/r/teams/CTM-OTGentStad/Shared Documents/General/EAF/CSI(nieuwe sharepoint)2024/EAF 5261 Groeningewijk Gentbrugge 05092024.pdf?csf=1&amp;web=1&amp;e=Tu5tpk" xr:uid="{D1A4051F-D2BC-4C0C-81AE-1A3883EDE667}"/>
    <hyperlink ref="G92" r:id="rId174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75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76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77" display="../../../../../../:b:/r/teams/CTM-OTGentStad/Shared Documents/General/EAF/CSI(nieuwe sharepoint)2024/EAF 5264 Gent 29012024.pdf?csf=1&amp;web=1&amp;e=pIPNJC" xr:uid="{3DF5E2C2-BF06-4246-87EB-CE2FE8673AF8}"/>
    <hyperlink ref="G349" r:id="rId178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79" display="../../../../../../:b:/r/teams/CTM-OTGentStad/Shared Documents/General/EAF/CSI(nieuwe sharepoint)2024/EAF 5265 Drongen 20012024.pdf?csf=1&amp;web=1&amp;e=zjZNH1" xr:uid="{5D8CB038-766F-4079-A253-9B24F16A0648}"/>
    <hyperlink ref="G291" r:id="rId180" display="../../../../../../:b:/r/teams/CTM-OTGentStad/Shared Documents/General/EAF/CSI(nieuwe sharepoint)2024/EAF 5265 Gent 17072024.pdf?csf=1&amp;web=1&amp;e=OFkISe" xr:uid="{7A74395B-63C5-4519-8F7C-B43378ABA3A3}"/>
    <hyperlink ref="G444" r:id="rId181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2" display="../../../../../../:b:/r/teams/CTM-OTGentStad/Shared Documents/General/EAF/CSI(nieuwe sharepoint)2024/EAF 5266 Gent Dampoort 10062024.pdf?csf=1&amp;web=1&amp;e=6j42Wr" xr:uid="{C50F2398-B4C7-4ECF-9CCB-0521DED21615}"/>
    <hyperlink ref="G93" r:id="rId183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4" display="../../../../../../:b:/r/teams/CTM-OTGentStad/Shared Documents/General/EAF/CSI(nieuwe sharepoint)2024/EAF 5267 Dampoort 24052024.pdf?csf=1&amp;web=1&amp;e=IKXRT1" xr:uid="{D8883898-C0C3-40CC-8905-74816792152C}"/>
    <hyperlink ref="G9" r:id="rId185" display="../../../../../../:b:/r/teams/CTM-OTGentStad/Shared Documents/General/EAF/CSI(nieuwe sharepoint)2024/EAF 5267 Gent 10012024.pdf?csf=1&amp;web=1&amp;e=bPITiu" xr:uid="{4E6F5EB9-1AFF-4587-AE4C-5DA7ACD6281E}"/>
    <hyperlink ref="G370" r:id="rId186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87" display="../../../../../../:b:/r/teams/CTM-OTGentStad/Shared Documents/General/EAF/CSI(nieuwe sharepoint)2024/EAF 5270 Afrit E17 op E40 08072024.pdf?csf=1&amp;web=1&amp;e=SC8SiN" xr:uid="{D601228B-287C-4D16-92E4-A755DDC32521}"/>
    <hyperlink ref="G113" r:id="rId188" display="../../../../../../:b:/r/teams/CTM-OTGentStad/Shared Documents/General/EAF/CSI(nieuwe sharepoint)2024/EAF 5272 Gent 19032024.pdf?csf=1&amp;web=1&amp;e=7WQ7o1" xr:uid="{B957B02F-263F-49B8-B2A8-F249018E5CEC}"/>
    <hyperlink ref="G292" r:id="rId189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0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1" display="../../../../../../:b:/r/teams/CTM-OTGentStad/Shared Documents/General/EAF/CSI(nieuwe sharepoint)2024/EAF 5273 Drongen 29022024.pdf?csf=1&amp;web=1&amp;e=Pwy5lm" xr:uid="{BB2EDCEC-E525-4266-A4C8-8AC6B34E4F60}"/>
    <hyperlink ref="G201" r:id="rId192" display="../../../../../../:b:/r/teams/CTM-OTGentStad/Shared Documents/General/EAF/CSI(nieuwe sharepoint)2024/EAF 5273 Gent 13052024.pdf?csf=1&amp;web=1&amp;e=bde5MQ" xr:uid="{5DB7283B-7F6F-424B-A9EA-972F12502937}"/>
    <hyperlink ref="G29" r:id="rId193" display="../../../../../../:b:/r/teams/CTM-OTGentStad/Shared Documents/General/EAF/CSI(nieuwe sharepoint)2024/EAF 5273 Gent 23012024.pdf?csf=1&amp;web=1&amp;e=zXlPrR" xr:uid="{59B18075-A3D7-40BB-8275-57AF7D3A7251}"/>
    <hyperlink ref="G357" r:id="rId194" display="../../../../../../:b:/r/teams/CTM-OTGentStad/Shared Documents/General/EAF/CSI(nieuwe sharepoint)2024/EAF 5273 Gentbrugge 08092024.pdf?csf=1&amp;web=1&amp;e=yFSCzw" xr:uid="{83123703-5206-4665-9670-638ED57D180D}"/>
    <hyperlink ref="G487" r:id="rId195" display="../../../../../../:b:/r/teams/CTM-OTGentStad/Shared Documents/General/EAF/CSI(nieuwe sharepoint)2024/EAF 5273 Hovernierstraat Ledeberg 10122024.pdf?csf=1&amp;web=1&amp;e=mVaACu" xr:uid="{B6D8AB26-89F9-4E1D-B7F7-2F14A228B65C}"/>
    <hyperlink ref="G269" r:id="rId196" display="../../../../../../:b:/r/teams/CTM-OTGentStad/Shared Documents/General/EAF/CSI(nieuwe sharepoint)2024/EAF 5273 Wondelgem 01072024.pdf?csf=1&amp;web=1&amp;e=l3AN29" xr:uid="{C6106ACC-3CEE-4584-BE4A-CB131F6D2EDC}"/>
    <hyperlink ref="G239" r:id="rId197" display="../../../../../../:b:/r/teams/CTM-OTGentStad/Shared Documents/General/EAF/CSI(nieuwe sharepoint)2024/EAF 5273 Wondelgem 10062024.pdf?csf=1&amp;web=1&amp;e=Dxn0VL" xr:uid="{F8200934-60BE-4DDA-8164-EBBE2852AF53}"/>
    <hyperlink ref="G489" r:id="rId198" display="../../../../../../:b:/r/teams/CTM-OTGentStad/Shared Documents/General/EAF/CSI(nieuwe sharepoint)2024/EAF 5276 Drongensesteenweg Gent 12122024.pdf?csf=1&amp;web=1&amp;e=ufckTu" xr:uid="{AFE55EA5-B19A-4EF5-95C8-E38FFA4E7FB3}"/>
    <hyperlink ref="G359" r:id="rId199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0" display="../../../../../../:b:/r/teams/CTM-OTGentStad/Shared Documents/General/EAF/CSI(nieuwe sharepoint)2024/EAF 5324 Martelaarslaan Gent 14.09.2024.pdf?csf=1&amp;web=1&amp;e=NMY58O" xr:uid="{80B084A7-BFFB-4BD7-B257-5656B6ABC759}"/>
    <hyperlink ref="G503" r:id="rId201" display="../../../../../../:b:/r/teams/CTM-OTGentStad/Shared Documents/General/EAF/CSI(nieuwe sharepoint)2024/EAF 5325 Drongen 21122024.pdf?csf=1&amp;web=1&amp;e=YQsH1N" xr:uid="{FE819C6A-CBB2-4A8F-A9CE-39A917EFC711}"/>
    <hyperlink ref="G62" r:id="rId202" display="../../../../../../:b:/r/teams/CTM-OTGentStad/Shared Documents/General/EAF/CSI(nieuwe sharepoint)2024/EAF 5326 Gent 16022024.pdf?csf=1&amp;web=1&amp;e=5ULpIl" xr:uid="{C39B2E04-3040-4444-8723-0242A8F29D67}"/>
    <hyperlink ref="G40" r:id="rId203" display="../../../../../../:b:/r/teams/CTM-OTGentStad/Shared Documents/General/EAF/CSI(nieuwe sharepoint)2024/EAF 5326 Gent 31012024.pdf?csf=1&amp;web=1&amp;e=i10RHa" xr:uid="{C3CA11C4-E758-484B-AAFA-71708436344D}"/>
    <hyperlink ref="G449" r:id="rId204" display="../../../../../../:b:/r/teams/CTM-OTGentStad/Shared Documents/General/EAF/CSI(nieuwe sharepoint)2024/EAF 5326 Gent 141122024.pdf?csf=1&amp;web=1&amp;e=yDV6ZW" xr:uid="{52138DDE-B010-4A88-A73C-8511E9CC5D84}"/>
    <hyperlink ref="G45" r:id="rId205" display="../../../../../../:b:/r/teams/CTM-OTGentStad/Shared Documents/General/EAF/CSI(nieuwe sharepoint)2024/EAF 5326 Gent Dampoort 03022024.pdf?csf=1&amp;web=1&amp;e=tGC44K" xr:uid="{0FA57C8A-55F0-49D0-8245-6DA39A492453}"/>
    <hyperlink ref="G223" r:id="rId206" display="../../../../../../:b:/r/teams/CTM-OTGentStad/Shared Documents/General/EAF/CSI(nieuwe sharepoint)2024/EAF 5326 Rooigemlaan Gent 30052024.pdf?csf=1&amp;web=1&amp;e=5AR7LW" xr:uid="{1F2AF07C-12EB-4380-BB14-F622D4D2E6B8}"/>
    <hyperlink ref="G231" r:id="rId207" display="../../../../../../:b:/r/teams/CTM-OTGentStad/Shared Documents/General/EAF/CSI(nieuwe sharepoint)2024/EAF 5327 05062024.pdf?csf=1&amp;web=1&amp;e=8mABkX" xr:uid="{71DB21F1-31E2-444E-85E3-7677E4B0468A}"/>
    <hyperlink ref="G197" r:id="rId208" display="../../../../../../:b:/r/teams/CTM-OTGentStad/Shared Documents/General/EAF/CSI(nieuwe sharepoint)2024/EAF 5327 Dampoort Gent 11052024.pdf?csf=1&amp;web=1&amp;e=2jmNbB" xr:uid="{214C7832-9A0B-4662-B595-1A5A7ED2DFB8}"/>
    <hyperlink ref="G103" r:id="rId209" display="../../../../../../:b:/r/teams/CTM-OTGentStad/Shared Documents/General/EAF/CSI(nieuwe sharepoint)2024/EAF 5327 Gent 12032024.pdf?csf=1&amp;web=1&amp;e=waZJbc" xr:uid="{4D4D7900-CDCB-460A-A010-9E850BDEE291}"/>
    <hyperlink ref="G235" r:id="rId210" display="../../../../../../:b:/r/teams/CTM-OTGentStad/Shared Documents/General/EAF/CSI(nieuwe sharepoint)2024/EAF 5327 Gent Fraterplein 07062024.pdf?csf=1&amp;web=1&amp;e=vVta9L" xr:uid="{3EC7782D-1782-4F70-8B1A-ABCDDD3BD6AC}"/>
    <hyperlink ref="G347" r:id="rId211" display="../../../../../../:b:/r/teams/CTM-OTGentStad/Shared Documents/General/EAF/CSI(nieuwe sharepoint)2024/EAF 5327 Ledeberg 04092024.pdf?csf=1&amp;web=1&amp;e=0wLizx" xr:uid="{6CEE7D51-D555-45A6-A445-463BC0E0D82D}"/>
    <hyperlink ref="G442" r:id="rId212" display="../../../../../../:b:/r/teams/CTM-OTGentStad/Shared Documents/General/EAF/CSI(nieuwe sharepoint)2024/EAF 5327 Morekstraat Wondelgem 09112024.pdf?csf=1&amp;web=1&amp;e=C5bi8b" xr:uid="{77D7CDF0-7819-4669-8E1C-541415AB7331}"/>
    <hyperlink ref="G26" r:id="rId213" display="../../../../../../:b:/r/teams/CTM-OTGentStad/Shared Documents/General/EAF/CSI(nieuwe sharepoint)2024/EAF 5327 Wondelgem 20012024.pdf?csf=1&amp;web=1&amp;e=iEEbE2" xr:uid="{D8EAF54B-EFB3-46A7-B40D-20A20504AB98}"/>
    <hyperlink ref="G344" r:id="rId214" display="../../../../../../:b:/r/teams/CTM-OTGentStad/Shared Documents/General/EAF/CSI(nieuwe sharepoint)2024/EAF 5328 Drieselstraat Gent 03.09.2024.pdf?csf=1&amp;web=1&amp;e=BvQsRY" xr:uid="{529A32D0-CADE-4CAD-80C4-675470E45984}"/>
    <hyperlink ref="G244" r:id="rId215" display="../../../../../../:b:/r/teams/CTM-OTGentStad/Shared Documents/General/EAF/CSI(nieuwe sharepoint)2024/EAF 5328 Gent 12062024.pdf?csf=1&amp;web=1&amp;e=P4QFUM" xr:uid="{D0E3AE83-0764-4CD3-9361-5B1D1A2632C8}"/>
    <hyperlink ref="G41" r:id="rId216" display="../../../../../../:b:/r/teams/CTM-OTGentStad/Shared Documents/General/EAF/CSI(nieuwe sharepoint)2024/EAF 5359 Mariakerke 31012024.pdf?csf=1&amp;web=1&amp;e=8iHQYj" xr:uid="{FE6B3864-717F-483B-84F6-CC3013C4BDB8}"/>
    <hyperlink ref="G265" r:id="rId217" display="../../../../../../:b:/r/teams/CTM-OTGentStad/Shared Documents/General/EAF/CSI(nieuwe sharepoint)2024/EAF 5359 Snellaertplein 26062024.pdf?csf=1&amp;web=1&amp;e=EWYDi9" xr:uid="{2AB4268C-F3F7-4044-AE1A-8A70B3A3B8C0}"/>
    <hyperlink ref="G507" r:id="rId218" display="../../../../../../:b:/r/teams/CTM-OTGentStad/Shared Documents/General/EAF/CSI(nieuwe sharepoint)2024/EAF 5360 Brugsesteenweg Gent 23122024.pdf?csf=1&amp;web=1&amp;e=blDlCj" xr:uid="{E091A8BA-883A-4B1D-9DD4-EB049555215A}"/>
    <hyperlink ref="G196" r:id="rId219" display="../../../../../../:b:/r/teams/CTM-OTGentStad/Shared Documents/General/EAF/CSI(nieuwe sharepoint)2024/EAF 5360 Gent 08052024.pdf?csf=1&amp;web=1&amp;e=3Q9fBi" xr:uid="{E39EDF1F-A898-4440-BF78-D7511308A975}"/>
    <hyperlink ref="G298" r:id="rId220" display="../../../../../../:b:/r/teams/CTM-OTGentStad/Shared Documents/General/EAF/CSI(nieuwe sharepoint)2024/EAF 5360 Gent 27032024.pdf?csf=1&amp;web=1&amp;e=aJuojI" xr:uid="{F77C63FF-9FE3-4196-8D70-5ACDF398E60E}"/>
    <hyperlink ref="G433" r:id="rId221" display="../../../../../../:b:/r/teams/CTM-OTGentStad/Shared Documents/General/EAF/CSI(nieuwe sharepoint)2024/EAF 5360 Gent Mariakerke 04112024 Jessica Bral.pdf?csf=1&amp;web=1&amp;e=pm8Mo8" xr:uid="{ADC460CA-527A-44AA-A580-501D885AB814}"/>
    <hyperlink ref="G21" r:id="rId222" display="../../../../../../:b:/r/teams/CTM-OTGentStad/Shared Documents/General/EAF/CSI(nieuwe sharepoint)2024/EAF 5360 Hoogstraat Gent 17012024.pdf?csf=1&amp;web=1&amp;e=Dj3JtM" xr:uid="{CFB4E6F4-F0B8-4336-8AE7-5C28A756BDDE}"/>
    <hyperlink ref="G427" r:id="rId223" display="../../../../../../:b:/r/teams/CTM-OTGentStad/Shared Documents/General/EAF/CSI(nieuwe sharepoint)2024/EAF 5360 Nieuwe Wandeling Gent 30102024.pdf?csf=1&amp;web=1&amp;e=ddxbec" xr:uid="{1BBCCAD9-675C-47D7-99E7-3DF3B9BD3F25}"/>
    <hyperlink ref="G61" r:id="rId224" display="../../../../../../:b:/r/teams/CTM-OTGentStad/Shared Documents/General/EAF/CSI(nieuwe sharepoint)2024/EAF 5361 Gent 15022024.pdf?csf=1&amp;web=1&amp;e=kW90Jf" xr:uid="{1C53B007-E749-42F0-86CB-CAF5D1A3FD2D}"/>
    <hyperlink ref="G212" r:id="rId225" display="../../../../../../:b:/r/teams/CTM-OTGentStad/Shared Documents/General/EAF/CSI(nieuwe sharepoint)2024/EAF 5361 Gent 23052024.pdf?csf=1&amp;web=1&amp;e=esyHQm" xr:uid="{90C911D5-D98D-4DB6-B4AF-5B5A34837E8A}"/>
    <hyperlink ref="G272" r:id="rId226" display="../../../../../../:b:/r/teams/CTM-OTGentStad/Shared Documents/General/EAF/CSI(nieuwe sharepoint)2024/EAF 5361 Rabot 02072024.pdf?csf=1&amp;web=1&amp;e=EEwi0O" xr:uid="{35AE54F1-E757-4F2E-8CB7-F6A8416AC419}"/>
    <hyperlink ref="G34" r:id="rId227" display="../../../../../../:b:/r/teams/CTM-OTGentStad/Shared Documents/General/EAF/CSI(nieuwe sharepoint)2024/EAF 5365 Gent 26012024.pdf?csf=1&amp;web=1&amp;e=QN3O87" xr:uid="{435391C4-4389-4071-92C9-A93C6932EE1E}"/>
    <hyperlink ref="G176" r:id="rId228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29" display="../../../../../../:b:/r/teams/CTM-OTGentStad/Shared Documents/General/EAF/CSI(nieuwe sharepoint)2024/EAF 5367 Gent 06062024.pdf?csf=1&amp;web=1&amp;e=McAZGf" xr:uid="{8C2E3171-4D8E-4EDB-A828-2FCC0ABB6F5A}"/>
    <hyperlink ref="G413" r:id="rId230" display="../../../../../../:b:/r/teams/CTM-OTGentStad/Shared Documents/General/EAF/CSI(nieuwe sharepoint)2024/EAF 5367 Gent 22102024.pdf?csf=1&amp;web=1&amp;e=LVW3LL" xr:uid="{2BF9F1EC-295A-433E-BDDD-952C8C15BADB}"/>
    <hyperlink ref="G301" r:id="rId231" display="../../../../../../:b:/r/teams/CTM-OTGentStad/Shared Documents/General/EAF/CSI(nieuwe sharepoint)2024/EAF 5367 Gent 24072024.pdf?csf=1&amp;web=1&amp;e=ltsuHk" xr:uid="{E216F7A9-AF42-4982-BA22-C9E34FC263C7}"/>
    <hyperlink ref="G188" r:id="rId232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3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4" display="../../../../../../:b:/r/teams/CTM-OTGentStad/Shared Documents/General/EAF/CSI(nieuwe sharepoint)2024/EAF 5369 Gent 01042024.pdf?csf=1&amp;web=1&amp;e=xW5W74" xr:uid="{CC2F902B-0745-43EB-9123-B932862326AE}"/>
    <hyperlink ref="G44" r:id="rId235" display="../../../../../../:b:/r/teams/CTM-OTGentStad/Shared Documents/General/EAF/CSI(nieuwe sharepoint)2024/EAF 5369 Gent 02022024.pdf?csf=1&amp;web=1&amp;e=RwySmv" xr:uid="{9B9F6456-13C4-4144-A04B-9C11B22581F2}"/>
    <hyperlink ref="G358" r:id="rId236" display="../../../../../../:b:/r/teams/CTM-OTGentStad/Shared Documents/General/EAF/CSI(nieuwe sharepoint)2024/EAF 5369 Gent 09092024.pdf?csf=1&amp;web=1&amp;e=EKxThx" xr:uid="{BD0E99D5-6527-4A36-AC9C-FEAE888A9FC4}"/>
    <hyperlink ref="G268" r:id="rId237" display="../../../../../../:b:/r/teams/CTM-OTGentStad/Shared Documents/General/EAF/CSI(nieuwe sharepoint)2024/EAF 5369 GEnt 29062024.pdf?csf=1&amp;web=1&amp;e=5PTssr" xr:uid="{73AB86D2-9859-4FC4-9C68-95CB1B70A3FD}"/>
    <hyperlink ref="G109" r:id="rId238" display="../../../../../../:b:/r/teams/CTM-OTGentStad/Shared Documents/General/EAF/CSI(nieuwe sharepoint)2024/EAF 5372 Gent 14032024.pdf?csf=1&amp;web=1&amp;e=EtsYdB" xr:uid="{AE33083B-9039-4752-9D2A-FB363FAA767C}"/>
    <hyperlink ref="G163" r:id="rId239" display="../../../../../../:b:/r/teams/CTM-OTGentStad/Shared Documents/General/EAF/CSI(nieuwe sharepoint)2024/EAF 5372 Gent 19042024.pdf?csf=1&amp;web=1&amp;e=lGY92b" xr:uid="{2C5F34AB-2196-4289-8F4E-2E923D6E8426}"/>
    <hyperlink ref="G2" r:id="rId240" display="../../../../../../:b:/r/teams/CTM-OTGentStad/Shared Documents/General/EAF/CSI(nieuwe sharepoint)2024/EAF 5376 E17 05012024.pdf?csf=1&amp;web=1&amp;e=fDdhVf" xr:uid="{005C1CFD-602D-4819-8A76-5F1163DF83FA}"/>
    <hyperlink ref="G72" r:id="rId241" display="../../../../../../:b:/r/teams/CTM-OTGentStad/Shared Documents/General/EAF/CSI(nieuwe sharepoint)2024/EAF 5376 E17 22022024.pdf?csf=1&amp;web=1&amp;e=zECSLM" xr:uid="{6536CC7E-A956-4FD0-8134-39D8B145D6CE}"/>
    <hyperlink ref="G135" r:id="rId242" display="../../../../../../:b:/r/teams/CTM-OTGentStad/Shared Documents/General/EAF/CSI(nieuwe sharepoint)2024/EAF 5376 Gent 31032024.pdf?csf=1&amp;web=1&amp;e=0n8M7F" xr:uid="{08CDC4B2-77DF-4681-8441-9A23A12FC4F6}"/>
    <hyperlink ref="G46" r:id="rId243" display="../../../../../../:b:/r/teams/CTM-OTGentStad/Shared Documents/General/EAF/CSI(nieuwe sharepoint)2024/EAF 5376 Koremarkt 03022024.pdf?csf=1&amp;web=1&amp;e=kKCeod" xr:uid="{37235B0A-023F-452B-8A60-D385C160089E}"/>
    <hyperlink ref="G329" r:id="rId244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45" display="../../../../../../:b:/r/teams/CTM-OTGentStad/Shared Documents/General/EAF/CSI(nieuwe sharepoint)2024/EAF 5763 Gentbrugge 26062024.pdf?csf=1&amp;web=1&amp;e=dKWpID" xr:uid="{7C0B5AB5-2BDA-4B76-9635-FA18AC578BF9}"/>
    <hyperlink ref="G146" r:id="rId246" display="../../../../../../:b:/r/teams/CTM-OTGentStad/Shared Documents/General/EAF/CSI(nieuwe sharepoint)2024/EAF 5764 Driebeek 08042024.pdf?csf=1&amp;web=1&amp;e=kwxRyw" xr:uid="{20C56189-5D21-4CDC-BED0-4DD042CEC560}"/>
    <hyperlink ref="G247" r:id="rId247" display="../../../../../../:b:/r/teams/CTM-OTGentStad/Shared Documents/General/EAF/CSI(nieuwe sharepoint)2024/EAF 5764 Gent 13062024.pdf?csf=1&amp;web=1&amp;e=QFoHNP" xr:uid="{27BAF88A-1717-43EC-93B3-3E04D633A8E7}"/>
    <hyperlink ref="G270" r:id="rId248" display="../../../../../../:b:/r/teams/CTM-OTGentStad/Shared Documents/General/EAF/CSI(nieuwe sharepoint)2024/EAF 5764 Octrooiplein Gent 01.07.2024.pdf?csf=1&amp;web=1&amp;e=gH27G5" xr:uid="{F4285674-8BBE-4AD1-9935-E0EF1FBC3AA7}"/>
    <hyperlink ref="G490" r:id="rId249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0" display="../../../../../../:b:/r/teams/CTM-OTGentStad/Shared Documents/General/EAF/CSI(nieuwe sharepoint)2024/EAF 5765 Gent 17092024.pdf?csf=1&amp;web=1&amp;e=ZbypcB" xr:uid="{1AAE3371-A3CA-46BE-816D-D96A42DDE9E3}"/>
    <hyperlink ref="G497" r:id="rId251" display="../../../../../../:b:/r/teams/CTM-OTGentStad/Shared Documents/General/EAF/CSI(nieuwe sharepoint)2024/EAF 5765 Gent 18122024.pdf?csf=1&amp;web=1&amp;e=vfzKhd" xr:uid="{327B46C7-AAD7-471A-8396-8D7756505435}"/>
    <hyperlink ref="G177" r:id="rId252" display="../../../../../../:b:/r/teams/CTM-OTGentStad/Shared Documents/General/EAF/CSI(nieuwe sharepoint)2024/EAF 5765 Gent 29042024.pdf?csf=1&amp;web=1&amp;e=9TzZCx" xr:uid="{18973B25-B212-4678-AD92-A6F615B36F5A}"/>
    <hyperlink ref="G136" r:id="rId253" display="../../../../../../:b:/r/teams/CTM-OTGentStad/Shared Documents/General/EAF/CSI(nieuwe sharepoint)2024/EAF 5765 Gent 31032024.pdf?csf=1&amp;web=1&amp;e=fdRt8x" xr:uid="{803BFBBA-2094-40D2-B90F-9EBE110462E1}"/>
    <hyperlink ref="G94" r:id="rId254" display="../../../../../../:b:/r/teams/CTM-OTGentStad/Shared Documents/General/EAF/CSI(nieuwe sharepoint)2024/EAF 5765 Gentbrugge 05032024.pdf?csf=1&amp;web=1&amp;e=cyphOF" xr:uid="{973D6D55-1832-4460-85B8-8A83E5FDB087}"/>
    <hyperlink ref="G157" r:id="rId255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56" display="../../../../../../:b:/r/teams/CTM-OTGentStad/Shared Documents/General/EAF/CSI(nieuwe sharepoint)2024/EAF 5766 Lammerstraat 03092024.pdf?csf=1&amp;web=1&amp;e=cqwJ9W" xr:uid="{712897C0-61B2-4FE1-809A-169D35C65CF6}"/>
    <hyperlink ref="G466" r:id="rId257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58" display="../../../../../../:b:/r/teams/CTM-OTGentStad/Shared Documents/General/EAF/CSI(nieuwe sharepoint)2024/EAF 5767 Gent 23042024 De Wilde Jordy 39927.pdf?csf=1&amp;web=1&amp;e=hd0LZ6" xr:uid="{E1C472D4-0978-4058-8716-9E980588C5B2}"/>
    <hyperlink ref="G498" r:id="rId259" display="../../../../../../:b:/r/teams/CTM-OTGentStad/Shared Documents/General/EAF/CSI(nieuwe sharepoint)2024/EAF 5767 Steendam Gent 18.12.2024.pdf?csf=1&amp;web=1&amp;e=XVFDwI" xr:uid="{4C0DA69D-FB64-4C20-99EF-5CE38A0D6EAB}"/>
    <hyperlink ref="G17" r:id="rId260" display="../../../../../../:b:/r/teams/CTM-OTGentStad/Shared Documents/General/EAF/CSI(nieuwe sharepoint)2024/EAF 5768 GEnt 15012024.pdf?csf=1&amp;web=1&amp;e=8w2RoB" xr:uid="{07BE8381-0679-405D-844E-F0D06D086D29}"/>
    <hyperlink ref="G374" r:id="rId261" display="../../../../../../:b:/r/teams/CTM-OTGentStad/Shared Documents/General/EAF/CSI(nieuwe sharepoint)2024/EAF 5768 Gent 21092024.pdf?csf=1&amp;web=1&amp;e=SCccII" xr:uid="{38F70451-4885-4AEA-9191-B1C7D092F664}"/>
    <hyperlink ref="G419" r:id="rId262" display="../../../../../../:b:/r/teams/CTM-OTGentStad/Shared Documents/General/EAF/CSI(nieuwe sharepoint)2024/EAF 5768 Gent 24102024.pdf?csf=1&amp;web=1&amp;e=hZcqTA" xr:uid="{1DFD0E5D-10CA-43AE-925B-86362B8DCB75}"/>
    <hyperlink ref="G428" r:id="rId263" display="../../../../../../:b:/r/teams/CTM-OTGentStad/Shared Documents/General/EAF/CSI(nieuwe sharepoint)2024/EAF 5769 Gent Dampoort 30102024 De Keyzer Jan.pdf?csf=1&amp;web=1&amp;e=cTVgDR" xr:uid="{067B8925-433C-423F-AA38-A05B96551CC4}"/>
    <hyperlink ref="G467" r:id="rId264" display="../../../../../../:b:/r/teams/CTM-OTGentStad/Shared Documents/General/EAF/CSI(nieuwe sharepoint)2024/EAF 5770 E17 parking 1 29112024.pdf?csf=1&amp;web=1&amp;e=UHSFcC" xr:uid="{AADB0B12-94B1-4DF6-9962-733043F44C0C}"/>
    <hyperlink ref="G276" r:id="rId265" display="../../../../../../:b:/r/teams/CTM-OTGentStad/Shared Documents/General/EAF/CSI(nieuwe sharepoint)2024/EAF 5771 Gent 05072024.pdf?csf=1&amp;web=1&amp;e=BebpUR" xr:uid="{58B7D1DE-4BD4-41E7-9F47-DB7031F5B813}"/>
    <hyperlink ref="G445" r:id="rId266" display="../../../../../../:b:/r/teams/CTM-OTGentStad/Shared Documents/General/EAF/CSI(nieuwe sharepoint)2024/EAF 5771 Gent 12102024.pdf?csf=1&amp;web=1&amp;e=9avnHM" xr:uid="{F5FC9A9B-C2BF-4D7A-BA49-828CF424E979}"/>
    <hyperlink ref="G278" r:id="rId267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68" display="../../../../../../:b:/r/teams/CTM-OTGentStad/Shared Documents/General/EAF/CSI(nieuwe sharepoint)2024/EAF 5909 Gentbrugge 05092024.pdf?csf=1&amp;web=1&amp;e=VcfhqJ" xr:uid="{08479A51-23A3-4BD3-88B5-D6401B2D43AF}"/>
    <hyperlink ref="G303" r:id="rId269" display="../../../../../../:b:/r/teams/CTM-OTGentStad/Shared Documents/General/EAF/CSI(nieuwe sharepoint)2024/EAF 5910 Damport Octrooiplein 25.07.2024.pdf?csf=1&amp;web=1&amp;e=DdHFwD" xr:uid="{4909083A-4B6B-4CB8-8DF0-772D4147EF78}"/>
    <hyperlink ref="G89" r:id="rId270" display="../../../../../../:b:/r/teams/CTM-OTGentStad/Shared Documents/General/EAF/CSI(nieuwe sharepoint)2024/EAF 5910 Gent 02032024.pdf?csf=1&amp;web=1&amp;e=Hf67hC" xr:uid="{EEBB9E04-48FE-4172-841E-CE887FC37C64}"/>
    <hyperlink ref="G250" r:id="rId271" display="../../../../../../:b:/r/teams/CTM-OTGentStad/Shared Documents/General/EAF/CSI(nieuwe sharepoint)2024/EAF 5910 GEnt 14062024.pdf?csf=1&amp;web=1&amp;e=CTqTIp" xr:uid="{3650FCD1-99C6-4EF7-B335-AE48A35FE915}"/>
    <hyperlink ref="G380" r:id="rId272" display="../../../../../../:b:/r/teams/CTM-OTGentStad/Shared Documents/General/EAF/CSI(nieuwe sharepoint)2024/EAF 5910 Meulesteedsesteenweg 25092024.pdf?csf=1&amp;web=1&amp;e=7VEYr1" xr:uid="{8133B147-4223-47FD-8971-7A3B52D7AE85}"/>
    <hyperlink ref="G406" r:id="rId273" display="../../../../../../:b:/r/teams/CTM-OTGentStad/Shared Documents/General/EAF/CSI(nieuwe sharepoint)2024/EAF 5911 Gentbruggebrug Gent 15102024.pdf?csf=1&amp;web=1&amp;e=c6tEA9" xr:uid="{C376F98A-ECB4-4E78-85DD-D9B2768855FC}"/>
    <hyperlink ref="G362" r:id="rId274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75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76" display="../../../../../../:b:/r/teams/CTM-OTGentStad/Shared Documents/General/EAF/CSI(nieuwe sharepoint)2024/EAF 5913 Wondelgembrug 12062024.pdf?csf=1&amp;web=1&amp;e=Wyng8S" xr:uid="{101DE239-0092-4892-9E2E-A3C2273DB5A9}"/>
    <hyperlink ref="G499" r:id="rId277" display="../../../../../../:b:/r/teams/CTM-OTGentStad/Shared Documents/General/EAF/CSI(nieuwe sharepoint)2024/EAF 5914 Gent 19122024.pdf?csf=1&amp;web=1&amp;e=JvjLeO" xr:uid="{FE3D820A-6C1F-4BD2-8F06-5A3FA626E5F8}"/>
    <hyperlink ref="G509" r:id="rId278" display="../../../../../../:b:/r/teams/CTM-OTGentStad/Shared Documents/General/EAF/CSI(nieuwe sharepoint)2024/EAF 5914 Gent 26122024 Moez El Ouni.pdf?csf=1&amp;web=1&amp;e=3EZnf0" xr:uid="{FF8EE383-FF07-483C-BA5D-708925A62D77}"/>
    <hyperlink ref="G387" r:id="rId279" display="../../../../../../:b:/r/teams/CTM-OTGentStad/Shared Documents/General/EAF/CSI(nieuwe sharepoint)2024/EAF 5914 Melle 02102024.pdf?csf=1&amp;web=1&amp;e=hdlJ2K" xr:uid="{0940389D-3265-4D90-864D-CA05D7A6FFCB}"/>
    <hyperlink ref="G454" r:id="rId280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1" display="../../../../../../:b:/r/teams/CTM-OTGentStad/Shared Documents/General/EAF/CSI(nieuwe sharepoint)2024/EAF 5915 Kunstlaan Gent 28102024.pdf?csf=1&amp;web=1&amp;e=JWz3rt" xr:uid="{2B7BF50C-4818-4FBC-806B-F4CC40C05039}"/>
    <hyperlink ref="G335" r:id="rId282" display="../../../../../../:b:/r/teams/CTM-OTGentStad/Shared Documents/General/EAF/CSI(nieuwe sharepoint)2024/EAF 5915 Molenstraat 30082024.pdf?csf=1&amp;web=1&amp;e=xQJbsC" xr:uid="{AD059D9C-A997-4FB6-9B41-F7003B5BCB18}"/>
    <hyperlink ref="G423" r:id="rId283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4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85" display="../../../../../../:b:/r/teams/CTM-OTGentStad/Shared Documents/General/EAF/CSI(nieuwe sharepoint)2024/EAF 5917 Gent 08102024.pdf?csf=1&amp;web=1&amp;e=n328Pj" xr:uid="{2250E414-68BB-41B9-B24A-E931F0690BF5}"/>
    <hyperlink ref="G202" r:id="rId286" display="../../../../../../:b:/r/teams/CTM-OTGentStad/Shared Documents/General/EAF/CSI(nieuwe sharepoint)2024/EAF 5917 Gent 13052024 Beeckman Nico.pdf?csf=1&amp;web=1&amp;e=nwRTHL" xr:uid="{FE5660A0-21C9-4D89-B3C8-622461BFA2D6}"/>
    <hyperlink ref="G209" r:id="rId287" display="../../../../../../:b:/r/teams/CTM-OTGentStad/Shared Documents/General/EAF/CSI(nieuwe sharepoint)2024/EAF 5917 Gent 21052024 Eva Teetaert.pdf?csf=1&amp;web=1&amp;e=0yT36N" xr:uid="{439ADA6F-C138-4661-8173-1C54B6B36704}"/>
    <hyperlink ref="G252" r:id="rId288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89" display="../../../../../../:b:/r/teams/CTM-OTGentStad/Shared Documents/General/EAF/CSI(nieuwe sharepoint)2024/EAF 5917 Melle 22012024.pdf?csf=1&amp;web=1&amp;e=tFSEiQ" xr:uid="{55983FB4-DCF4-4F84-8D73-76577FEEC01B}"/>
    <hyperlink ref="G328" r:id="rId290" display="../../../../../../:b:/r/teams/CTM-OTGentStad/Shared Documents/General/EAF/CSI(nieuwe sharepoint)2024/EAF 5917 Steendam Gent 21082024.pdf?csf=1&amp;web=1&amp;e=0Ma29K" xr:uid="{9F08C87D-1EAD-467D-B6B1-E27AB5D6FC91}"/>
    <hyperlink ref="G105" r:id="rId291" display="../../../../../../:b:/r/teams/CTM-OTGentStad/Shared Documents/General/EAF/CSI(nieuwe sharepoint)2024/EAF 5917 Wondelgem 13032024.pdf?csf=1&amp;web=1&amp;e=1pWjWI" xr:uid="{6544B0D0-8D7A-44BC-9498-6A910CC5661F}"/>
    <hyperlink ref="G355" r:id="rId292" display="../../../../../../:b:/r/teams/CTM-OTGentStad/Shared Documents/General/EAF/CSI(nieuwe sharepoint)2024/EAF 5917 Wondelgem station 07.09.2024.pdf?csf=1&amp;web=1&amp;e=3grMCG" xr:uid="{EED29C3C-6C37-4E66-B085-D014173BFADE}"/>
    <hyperlink ref="G48" r:id="rId293" display="../../../../../../:b:/r/teams/CTM-OTGentStad/Shared Documents/General/EAF/CSI(nieuwe sharepoint)2024/EAF 5919 Gent 04022024.pdf?csf=1&amp;web=1&amp;e=zjN1rb" xr:uid="{380AAA65-2FC3-4AA6-9B0A-8976E57FB493}"/>
    <hyperlink ref="G59" r:id="rId294" display="../../../../../../:b:/r/teams/CTM-OTGentStad/Shared Documents/General/EAF/CSI(nieuwe sharepoint)2024/EAF 5919 Gent 14022024 tweede ongeval .pdf?csf=1&amp;web=1&amp;e=BPHK9f" xr:uid="{9E546354-829D-4198-9E01-E054793BAAA7}"/>
    <hyperlink ref="G402" r:id="rId295" display="../../../../../../:b:/r/teams/CTM-OTGentStad/Shared Documents/General/EAF/CSI(nieuwe sharepoint)2024/EAF 5919 Gent De Pintenlaan 14102024.pdf?csf=1&amp;web=1&amp;e=iepGKv" xr:uid="{1990CA22-D765-423A-95AE-DEAC88E1F45A}"/>
    <hyperlink ref="G192" r:id="rId296" display="../../../../../../:b:/r/teams/CTM-OTGentStad/Shared Documents/General/EAF/CSI(nieuwe sharepoint)2024/EAF 5920 Damvalleistraat Gent 06052024.pdf?csf=1&amp;web=1&amp;e=dneJfa" xr:uid="{ECBBB372-B7D1-4716-A359-3171751D06BD}"/>
    <hyperlink ref="G394" r:id="rId297" display="../../../../../../:b:/r/teams/CTM-OTGentStad/Shared Documents/General/EAF/CSI(nieuwe sharepoint)2024/EAF 5920 Gent 09102024.pdf?csf=1&amp;web=1&amp;e=zIQxX2" xr:uid="{CB1C74E1-55CB-4421-B533-F9A10F857D79}"/>
    <hyperlink ref="G22" r:id="rId298" display="../../../../../../:b:/r/teams/CTM-OTGentStad/Shared Documents/General/EAF/CSI(nieuwe sharepoint)2024/EAF 5920 Gent 17012024.pdf?csf=1&amp;web=1&amp;e=yXwX7o" xr:uid="{AA316053-562B-4340-8757-915539A7DB1E}"/>
    <hyperlink ref="G352" r:id="rId299" display="../../../../../../:b:/r/teams/CTM-OTGentStad/Shared Documents/General/EAF/CSI(nieuwe sharepoint)2024/EAF 5921 Gent 06092024.pdf?csf=1&amp;web=1&amp;e=ET4Ni6" xr:uid="{CC4D6F3C-CE49-4F27-8C8D-29F90B458AEF}"/>
    <hyperlink ref="G161" r:id="rId300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1" display="../../../../../../:b:/r/teams/CTM-OTGentStad/Shared Documents/General/EAF/CSI(nieuwe sharepoint)2024/EAF 5921 Gent Dampoort 05052024.pdf?csf=1&amp;web=1&amp;e=0Q22TJ" xr:uid="{33C9FB16-D534-4A4D-9272-3D3BF13BF988}"/>
    <hyperlink ref="G183" r:id="rId302" display="../../../../../../:b:/r/teams/CTM-OTGentStad/Shared Documents/General/EAF/CSI(nieuwe sharepoint)2024/EAF 5922 Gent 01052024.pdf?csf=1&amp;web=1&amp;e=NNTyTB" xr:uid="{1E69D9E9-CCB1-4FAA-8223-AF1ACBF055ED}"/>
    <hyperlink ref="G280" r:id="rId303" display="../../../../../../:b:/r/teams/CTM-OTGentStad/Shared Documents/General/EAF/CSI(nieuwe sharepoint)2024/EAF 5922 Gent 07072024.pdf?csf=1&amp;web=1&amp;e=9c2iFu" xr:uid="{765DFA5D-8691-4903-9649-1451146FFC14}"/>
    <hyperlink ref="G314" r:id="rId304" display="../../../../../../:b:/r/teams/CTM-OTGentStad/Shared Documents/General/EAF/CSI(nieuwe sharepoint)2024/EAF 5924 Dampoort Gent 02082024.pdf?csf=1&amp;web=1&amp;e=ogMhjI" xr:uid="{D6C3FB8E-0C36-444C-B34F-EE26360AE687}"/>
    <hyperlink ref="G346" r:id="rId305" display="../../../../../../:b:/r/teams/CTM-OTGentStad/Shared Documents/General/EAF/CSI(nieuwe sharepoint)2024/EAF 5924 Gent 03092024.pdf?csf=1&amp;web=1&amp;e=0iaMwL" xr:uid="{55390CE4-A4A6-4AF9-AABC-D1E13BA39F9C}"/>
    <hyperlink ref="G224" r:id="rId306" display="../../../../../../:b:/r/teams/CTM-OTGentStad/Shared Documents/General/EAF/CSI(nieuwe sharepoint)2024/EAF 5925 Gent 30052024 39907.pdf?csf=1&amp;web=1&amp;e=oYfmrK" xr:uid="{56C03297-5189-48BC-9F6C-EEC065D018FD}"/>
    <hyperlink ref="G337" r:id="rId307" display="../../../../../../:b:/r/teams/CTM-OTGentStad/Shared Documents/General/EAF/CSI(nieuwe sharepoint)2024/EAF 5925 Gent 31082024.pdf?csf=1&amp;web=1&amp;e=wcsOQa" xr:uid="{9AD9A43D-95A1-41EC-967A-10C4083175C1}"/>
    <hyperlink ref="G460" r:id="rId308" display="../../../../../../:b:/r/teams/CTM-OTGentStad/Shared Documents/General/EAF/CSI(nieuwe sharepoint)2024/EAF 5926 Gent Poel 22112024 De Bruyne Sonia.pdf?csf=1&amp;web=1&amp;e=y93dio" xr:uid="{A11B612B-E0AD-4E7D-95B5-753A496DC00D}"/>
    <hyperlink ref="G24" r:id="rId309" display="../../../../../../:b:/r/teams/CTM-OTGentStad/Shared Documents/General/EAF/CSI(nieuwe sharepoint)2024/EAF 5926 Gent Tolhuislaan 19012024.pdf?csf=1&amp;web=1&amp;e=iCmD1r" xr:uid="{44BA67B5-D7E5-47EC-A655-81A8C36C803C}"/>
    <hyperlink ref="G31" r:id="rId310" display="../../../../../../:b:/r/teams/CTM-OTGentStad/Shared Documents/General/EAF/CSI(nieuwe sharepoint)2024/EAF 5926 Gent Zuid 24012024.pdf?csf=1&amp;web=1&amp;e=3qd6T7" xr:uid="{50F303C2-A58C-41AD-86A7-06A092CD30D5}"/>
    <hyperlink ref="G286" r:id="rId311" display="../../../../../../:b:/r/teams/CTM-OTGentStad/Shared Documents/General/EAF/CSI(nieuwe sharepoint)2024/EAF 5927 Gent 11072024.pdf?csf=1&amp;web=1&amp;e=8LSfTn" xr:uid="{B76BA60D-E151-42EA-B4F2-0F8F6171032E}"/>
    <hyperlink ref="G152" r:id="rId312" display="../../../../../../:b:/r/teams/CTM-OTGentStad/Shared Documents/General/EAF/CSI(nieuwe sharepoint)2024/EAF 5927 Gent 12042024 Dejonckheere Els.pdf?csf=1&amp;web=1&amp;e=xdCvsi" xr:uid="{0922DD05-6000-4DB2-AC2E-E8FF2F2C1180}"/>
    <hyperlink ref="G70" r:id="rId313" display="../../../../../../:b:/r/teams/CTM-OTGentStad/Shared Documents/General/EAF/CSI(nieuwe sharepoint)2024/EAF 5927 Gent 21022024.pdf?csf=1&amp;web=1&amp;e=6VXNIn" xr:uid="{0BD34A3D-2A0A-491D-82A6-6F602912683B}"/>
    <hyperlink ref="G153" r:id="rId314" display="../../../../../../:b:/r/teams/CTM-OTGentStad/Shared Documents/General/EAF/CSI(nieuwe sharepoint)2024/EAF 5928 Gent 13042024.pdf?csf=1&amp;web=1&amp;e=4Pgjj7" xr:uid="{5E3796BC-F5D3-4FF1-8CED-2F96288725CC}"/>
    <hyperlink ref="G172" r:id="rId315" display="../../../../../../:b:/r/teams/CTM-OTGentStad/Shared Documents/General/EAF/CSI(nieuwe sharepoint)2024/EAF 5928 Gent 23042024.pdf?csf=1&amp;web=1&amp;e=GwaF1A" xr:uid="{92408512-A385-4C17-A25B-9E17ABCB0A06}"/>
    <hyperlink ref="G154" r:id="rId316" display="../../../../../../:b:/r/teams/CTM-OTGentStad/Shared Documents/General/EAF/CSI(nieuwe sharepoint)2024/EAF 5928 Tolhuislaan Gent 14042024.pdf?csf=1&amp;web=1&amp;e=9YTsKJ" xr:uid="{00ACAF27-11EB-4660-81DF-F3C9DC9C7F7F}"/>
    <hyperlink ref="G49" r:id="rId317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18" display="../../../../../../:b:/r/teams/CTM-OTGentStad/Shared Documents/General/EAF/CSI(nieuwe sharepoint)2024/EAF 5929 Muidebrug Gent 14.08.2024.pdf?csf=1&amp;web=1&amp;e=nFlISJ" xr:uid="{282136ED-7774-47F7-AACB-2644C0F23AFE}"/>
    <hyperlink ref="G316" r:id="rId319" display="../../../../../../:b:/r/teams/CTM-OTGentStad/Shared Documents/General/EAF/CSI(nieuwe sharepoint)2024/EAF 5929 Muidepoort Gent 03082024.pdf?csf=1&amp;web=1&amp;e=j8Sd4y" xr:uid="{21F1C4D7-829B-47F8-B5B0-B41BBD06C0BF}"/>
    <hyperlink ref="G310" r:id="rId320" display="../../../../../../:b:/r/teams/CTM-OTGentStad/Shared Documents/General/EAF/CSI(nieuwe sharepoint)2024/EAF 5930 Gent 30072024.pdf?csf=1&amp;web=1&amp;e=Qr6wuu" xr:uid="{29269ECB-F016-4131-B0C1-8029727B91BE}"/>
    <hyperlink ref="G446" r:id="rId321" display="../../../../../../:b:/r/teams/CTM-OTGentStad/Shared Documents/General/EAF/CSI(nieuwe sharepoint)2024/EAF 5931 Gent 13112024.pdf?csf=1&amp;web=1&amp;e=zRTGuL" xr:uid="{06653386-9903-4D3B-AE80-CBC00A2FADBA}"/>
    <hyperlink ref="G158" r:id="rId322" display="../../../../../../:b:/r/teams/CTM-OTGentStad/Shared Documents/General/EAF/CSI(nieuwe sharepoint)2024/EAF 5931 Gent 17042024.pdf?csf=1&amp;web=1&amp;e=ag8FSy" xr:uid="{6FB3FA81-75E1-4AD2-8324-21B7C5A83AEB}"/>
    <hyperlink ref="G334" r:id="rId323" display="../../../../../../:b:/r/teams/CTM-OTGentStad/Shared Documents/General/EAF/CSI(nieuwe sharepoint)2024/EAF 5931 Gent 29082024.pdf?csf=1&amp;web=1&amp;e=8QmiSg" xr:uid="{64B4B0E0-C95B-40F7-83CE-CDFEE271B186}"/>
    <hyperlink ref="G234" r:id="rId324" display="../../../../../../:b:/r/teams/CTM-OTGentStad/Shared Documents/General/EAF/CSI(nieuwe sharepoint)2024/EAF 5931 Zwijnaardsesteenweg Gent 06.07.2024.pdf?csf=1&amp;web=1&amp;e=ol0oua" xr:uid="{3625ECD0-05C3-46D8-B29F-845151CCAAAF}"/>
    <hyperlink ref="G408" r:id="rId325" display="../../../../../../:b:/r/teams/CTM-OTGentStad/Shared Documents/General/EAF/CSI(nieuwe sharepoint)2024/EAF 5932 Gent 18102024.pdf?csf=1&amp;web=1&amp;e=NS6bxW" xr:uid="{CF3D86AB-A65F-4981-BDA6-E5F6A1DD7391}"/>
    <hyperlink ref="G386" r:id="rId326" display="../../../../../../:b:/r/teams/CTM-OTGentStad/Shared Documents/General/EAF/CSI(nieuwe sharepoint)2024/EAF 5933 Gent 28092024.pdf?csf=1&amp;web=1&amp;e=0sjfhv" xr:uid="{5357BB62-3038-4E43-9E56-4FDAE63AE808}"/>
    <hyperlink ref="G260" r:id="rId327" display="../../../../../../:b:/r/teams/CTM-OTGentStad/Shared Documents/General/EAF/CSI(nieuwe sharepoint)2024/EAF 5933 Gentbrugge 22062024.pdf?csf=1&amp;web=1&amp;e=V5kETm" xr:uid="{B656E3CF-DEC0-41BF-84DC-E808F0B83EB2}"/>
    <hyperlink ref="G366" r:id="rId328" display="../../../../../../:b:/r/teams/CTM-OTGentStad/Shared Documents/General/EAF/CSI(nieuwe sharepoint)2024/EAF 5933 Gontrodestraat Melle 14092024.pdf?csf=1&amp;web=1&amp;e=BalgZb" xr:uid="{54298FDD-64A7-46E4-8DC7-5556002FA0BF}"/>
    <hyperlink ref="G297" r:id="rId329" display="../../../../../../:b:/r/teams/CTM-OTGentStad/Shared Documents/General/EAF/CSI(nieuwe sharepoint)2024/EAF 5933 Stelplaats Gentbrugge 20072024.pdf?csf=1&amp;web=1&amp;e=FamZBX" xr:uid="{5460B05F-7100-471C-9B6F-5AE4E5BCC0AC}"/>
    <hyperlink ref="G193" r:id="rId330" display="../../../../../../:b:/r/teams/CTM-OTGentStad/Shared Documents/General/EAF/CSI(nieuwe sharepoint)2024/EAF 5936 Dendermondsesteenweg 06052024.pdf?csf=1&amp;web=1&amp;e=YzKV0d" xr:uid="{1534D9D6-D0ED-4491-A6D0-9566B00139E8}"/>
    <hyperlink ref="G258" r:id="rId331" display="../../../../../../:b:/r/teams/CTM-OTGentStad/Shared Documents/General/EAF/CSI(nieuwe sharepoint)2024/EAF 5936 Gent 14062024.pdf?csf=1&amp;web=1&amp;e=QqcAsu" xr:uid="{90497A2E-4DCF-4F9E-BD8E-CFC8A3A09B05}"/>
    <hyperlink ref="G57" r:id="rId332" display="../../../../../../:b:/r/teams/CTM-OTGentStad/Shared Documents/General/EAF/CSI(nieuwe sharepoint)2024/EAF 5936 Gentburgge stelplaats 03022024.pdf?csf=1&amp;web=1&amp;e=Y7MjUI" xr:uid="{61793F77-1B06-4576-BCC9-8BB81898185C}"/>
    <hyperlink ref="G381" r:id="rId333" display="../../../../../../:b:/r/teams/CTM-OTGentStad/Shared Documents/General/EAF/CSI(nieuwe sharepoint)2024/EAF 5936 Melle 25092024.pdf?csf=1&amp;web=1&amp;e=ULi3T9" xr:uid="{F4B9E33F-6872-4684-A1E0-5C78217D8443}"/>
    <hyperlink ref="G30" r:id="rId334" display="../../../../../../:b:/r/teams/CTM-OTGentStad/Shared Documents/General/EAF/CSI(nieuwe sharepoint)2024/EAF 5937 Gent 23012024.pdf?csf=1&amp;web=1&amp;e=X16AxW" xr:uid="{7A4B0627-2498-406F-9332-575FC96F6463}"/>
    <hyperlink ref="G14" r:id="rId335" display="../../../../../../:b:/r/teams/CTM-OTGentStad/Shared Documents/General/EAF/CSI(nieuwe sharepoint)2024/EAF 5937 Gentburgge 12012024.pdf?csf=1&amp;web=1&amp;e=xKJ9hg" xr:uid="{5EE13D50-8CFB-4908-BBBF-D509DCE45810}"/>
    <hyperlink ref="G204" r:id="rId336" display="../../../../../../:b:/r/teams/CTM-OTGentStad/Shared Documents/General/EAF/CSI(nieuwe sharepoint)2024/EAF 5938 Muidepoort Gent 16052024.pdf?csf=1&amp;web=1&amp;e=b51H46" xr:uid="{D7735C0E-A6C5-482D-B8F9-A16192324B2F}"/>
    <hyperlink ref="G293" r:id="rId337" display="../../../../../../:b:/r/teams/CTM-OTGentStad/Shared Documents/General/EAF/CSI(nieuwe sharepoint)2024/EAF 6302 Gent Zuid 18072024.pdf?csf=1&amp;web=1&amp;e=UGRMUB" xr:uid="{BA867025-E333-493C-BFAA-3DB1F56F5548}"/>
    <hyperlink ref="G447" r:id="rId338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39" display="../../../../../../:b:/r/teams/CTM-OTGentStad/Shared Documents/General/EAF/CSI(nieuwe sharepoint)2024/EAF 6303 Gent 23032024.pdf?csf=1&amp;web=1&amp;e=NqglJb" xr:uid="{0639A3A5-82B9-4CE2-9A60-DC9944D19B85}"/>
    <hyperlink ref="G185" r:id="rId340" display="../../../../../../:b:/r/teams/CTM-OTGentStad/Shared Documents/General/EAF/CSI(nieuwe sharepoint)2024/EAF 6305 Gent 02052024 Demirarik Mustafa.pdf?csf=1&amp;web=1&amp;e=bxWzqb" xr:uid="{2B49E4D2-2154-4FBB-BB4D-A8BD4ED3A1E7}"/>
    <hyperlink ref="G290" r:id="rId341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2" display="../../../../../../:b:/r/teams/CTM-OTGentStad/Shared Documents/General/EAF/CSI(nieuwe sharepoint)2024/EAF 6309 Brusselsesteenweg 08082024.pdf?csf=1&amp;web=1&amp;e=MbY7iJ" xr:uid="{30865120-756D-4B8E-B1E3-58EF89660A22}"/>
    <hyperlink ref="G360" r:id="rId343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4" display="../../../../../../:b:/r/teams/CTM-OTGentStad/Shared Documents/General/EAF/CSI(nieuwe sharepoint)2024/EAF 6309 Gentbrugge 08012024.pdf?csf=1&amp;web=1&amp;e=uf1oeB" xr:uid="{525E4D21-DCA3-44E9-90F6-DC74AF5597A6}"/>
    <hyperlink ref="G411" r:id="rId345" display="../../../../../../:b:/r/teams/CTM-OTGentStad/Shared Documents/General/EAF/CSI(nieuwe sharepoint)2024/EAF 6309 Gentburgge 21102024.pdf?csf=1&amp;web=1&amp;e=HjOmRs" xr:uid="{733D9FB4-D4FE-486B-BEE6-5869E05D0C01}"/>
    <hyperlink ref="G267" r:id="rId346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47" display="../../../../../../:b:/r/teams/CTM-OTGentStad/Shared Documents/General/EAF/CSI(nieuwe sharepoint)2024/EAF 6310 Gent 22112024.pdf?csf=1&amp;web=1&amp;e=ycEeVa" xr:uid="{A76C89B6-F2FB-4788-B5F2-9F58711B2B2C}"/>
    <hyperlink ref="G333" r:id="rId348" display="../../../../../../:b:/r/teams/CTM-OTGentStad/Shared Documents/General/EAF/CSI(nieuwe sharepoint)2024/EAF 6312 Zwijnaardsesteenweg 26082024.pdf?csf=1&amp;web=1&amp;e=88t8ZY" xr:uid="{B7A50DF1-A7B5-4ECB-B9DB-D93CE410654F}"/>
    <hyperlink ref="G403" r:id="rId349" display="../../../../../../:b:/r/teams/CTM-OTGentStad/Shared Documents/General/EAF/CSI(nieuwe sharepoint)2024/EAF 6313 Albertlaan 14102024 Peter De Craene.pdf?csf=1&amp;web=1&amp;e=3ApSX0" xr:uid="{3DCD0A75-7D1F-463B-AB29-16E66DC3EA24}"/>
    <hyperlink ref="G504" r:id="rId350" display="../../../../../../:b:/r/teams/CTM-OTGentStad/Shared Documents/General/EAF/CSI(nieuwe sharepoint)2024/EAF 6314 Gent 21122024.pdf?csf=1&amp;web=1&amp;e=LZkx29" xr:uid="{87B08E6E-EED1-4A85-8D98-1F9AB20C58BC}"/>
    <hyperlink ref="G186" r:id="rId351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2" display="../../../../../../:b:/r/teams/CTM-OTGentStad/Shared Documents/General/EAF/CSI(nieuwe sharepoint)2024/EAF 6314 Gravensteen 19112024 Tom Vandaele_1.pdf?csf=1&amp;web=1&amp;e=RsaAUC" xr:uid="{4249E846-2CAB-40A1-98D1-C8AE0938E3B6}"/>
    <hyperlink ref="G106" r:id="rId353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4" display="../../../../../../:b:/r/teams/CTM-OTGentStad/Shared Documents/General/EAF/CSI(nieuwe sharepoint)2024/EAF 6314 Poperingestraat 19112024 Farhad.pdf?csf=1&amp;web=1&amp;e=rJdpKF" xr:uid="{63B4F5BC-68EE-4E81-A227-839704D6EA8E}"/>
    <hyperlink ref="G404" r:id="rId355" display="../../../../../../:b:/r/teams/CTM-OTGentStad/Shared Documents/General/EAF/CSI(nieuwe sharepoint)2024/EAF 6316 Gent 14102024.pdf?csf=1&amp;web=1&amp;e=fSTYhN" xr:uid="{FC7EC304-609B-44C8-9C81-332B140E78E5}"/>
    <hyperlink ref="G133" r:id="rId356" display="../../../../../../:b:/r/teams/CTM-OTGentStad/Shared Documents/General/EAF/CSI(nieuwe sharepoint)2024/EAF 6317 Wondelgem 29032024.pdf?csf=1&amp;web=1&amp;e=jVZc4e" xr:uid="{B443C951-8278-4C5F-A905-43C39B277335}"/>
    <hyperlink ref="G439" r:id="rId357" display="../../../../../../:b:/r/teams/CTM-OTGentStad/Shared Documents/General/EAF/CSI(nieuwe sharepoint)2024/EAF 6318 Gentbrugge 08112024.pdf?csf=1&amp;web=1&amp;e=mWDhW2" xr:uid="{F06534EA-26D0-4AFF-A844-C4E9F31500E7}"/>
    <hyperlink ref="G453" r:id="rId358" display="../../../../../../:b:/r/teams/CTM-OTGentStad/Shared Documents/General/EAF/CSI(nieuwe sharepoint)2024/EAF 6319 Gent 18112024.pdf?csf=1&amp;web=1&amp;e=Hfgwen" xr:uid="{B1108F83-47AC-412F-8BD7-FA1A1BD4F77D}"/>
    <hyperlink ref="G377" r:id="rId359" display="../../../../../../:b:/r/teams/CTM-OTGentStad/Shared Documents/General/EAF/CSI(nieuwe sharepoint)2024/EAF 6319 Gent 23092024.pdf?csf=1&amp;web=1&amp;e=NdgTcc" xr:uid="{1E544F17-152A-480E-9922-7EF0D976D6AE}"/>
    <hyperlink ref="G485" r:id="rId360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1" display="../../../../../../:b:/r/teams/CTM-OTGentStad/Shared Documents/General/EAF/CSI(nieuwe sharepoint)2024/EAF 6320 Poperingestraat 28052024 Atilla Ayidil.pdf?csf=1&amp;web=1&amp;e=gAhx9F" xr:uid="{40ABA013-9520-4E66-B9B9-D153ED18C881}"/>
    <hyperlink ref="G505" r:id="rId362" display="../../../../../../:b:/r/teams/CTM-OTGentStad/Shared Documents/General/EAF/CSI(nieuwe sharepoint)2024/EAF 6321 Gentbrugge 21122024.pdf?csf=1&amp;web=1&amp;e=iBNMu8" xr:uid="{9F2A07A0-3CD8-470A-A0B6-85F22C8A1348}"/>
    <hyperlink ref="G3" r:id="rId363" display="../../../../../../:b:/r/teams/CTM-OTGentStad/Shared Documents/General/EAF/CSI(nieuwe sharepoint)2024/EAF 6322 Hovenierstraat Ledeberg 05012024.pdf?csf=1&amp;web=1&amp;e=vFe7av" xr:uid="{BB3E34E9-5269-48D0-8DD7-F3AE231EF10A}"/>
    <hyperlink ref="G320" r:id="rId364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65" display="../../../../../../:b:/r/teams/CTM-OTGentStad/Shared Documents/General/EAF/CSI(nieuwe sharepoint)2024/EAF 6323 Wondelgem 07022024.pdf?csf=1&amp;web=1&amp;e=NW22ZG" xr:uid="{7D857CCE-D0A3-4835-83BE-DFB145D71BAB}"/>
    <hyperlink ref="G450" r:id="rId366" display="../../../../../../:b:/r/teams/CTM-OTGentStad/Shared Documents/General/EAF/CSI(nieuwe sharepoint)2024/EAF 6325 Keizerpoort Gent 14.11.2024.pdf?csf=1&amp;web=1&amp;e=riYYd0" xr:uid="{EC8D17A4-764E-4B90-B78E-CB0B2FBF6150}"/>
    <hyperlink ref="G426" r:id="rId367" display="../../../../../../:b:/r/teams/CTM-OTGentStad/Shared Documents/General/EAF/CSI(nieuwe sharepoint)2024/EAF 6325 St-Pietersaalststraat 28102024 HansDeTandt.pdf?csf=1&amp;web=1&amp;e=dc0ows" xr:uid="{A90088AB-E388-4E76-8DFA-E5DFEE1AD4CF}"/>
    <hyperlink ref="G514" r:id="rId368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69" display="../../../../../../:b:/r/teams/CTM-OTGentStad/Shared Documents/General/EAF/CSI(nieuwe sharepoint)2024/EAF 6326 De Pintelaan 12012024.pdf?csf=1&amp;web=1&amp;e=DiLIYF" xr:uid="{30C5537B-DF76-449B-AC74-16D031B3DBC2}"/>
    <hyperlink ref="G148" r:id="rId370" display="../../../../../../:b:/r/teams/CTM-OTGentStad/Shared Documents/General/EAF/CSI(nieuwe sharepoint)2024/EAF 6326 Gent 10042024.pdf?csf=1&amp;web=1&amp;e=hl7b1G" xr:uid="{917BDEDE-E12E-49F8-B7CC-225E0E245CA7}"/>
    <hyperlink ref="G66" r:id="rId371" display="../../../../../../:b:/r/teams/CTM-OTGentStad/Shared Documents/General/EAF/CSI(nieuwe sharepoint)2024/EAF 6326 Sint Pietersaalstraat 19022024.pdf?csf=1&amp;web=1&amp;e=aj7NBd" xr:uid="{998E2606-D56C-4CAF-B6B5-846A49B40D99}"/>
    <hyperlink ref="G287" r:id="rId372" display="../../../../../../:b:/r/teams/CTM-OTGentStad/Shared Documents/General/EAF/CSI(nieuwe sharepoint)2024/EAF 6326 UZ 11072024.pdf?csf=1&amp;web=1&amp;e=uQ73fs" xr:uid="{4DFACCFD-6E49-44CB-804E-3A588E664425}"/>
    <hyperlink ref="G353" r:id="rId373" display="../../../../../../:b:/r/teams/CTM-OTGentStad/Shared Documents/General/EAF/CSI(nieuwe sharepoint)2024/EAF 6329 Gent 06092024.pdf?csf=1&amp;web=1&amp;e=hKZZd2" xr:uid="{BEA1D943-D222-4A29-8414-78E95154D228}"/>
    <hyperlink ref="G227" r:id="rId374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75" display="../../../../../../:b:/r/teams/CTM-OTGentStad/Shared Documents/General/EAF/CSI(nieuwe sharepoint)2024/EAF 6331 GEnt 18072024.pdf?csf=1&amp;web=1&amp;e=icZnhB" xr:uid="{DAC7D166-F77E-45D2-BA6E-0EDFAAAE6F2E}"/>
    <hyperlink ref="G283" r:id="rId376" display="../../../../../../:b:/r/teams/CTM-OTGentStad/Shared Documents/General/EAF/CSI(nieuwe sharepoint)2024/EAF 6332 Brusselsestwg 10072024.pdf?csf=1&amp;web=1&amp;e=ikV0cR" xr:uid="{2BFE6322-0352-4E0A-B558-604FDF50EE2C}"/>
    <hyperlink ref="G200" r:id="rId377" display="../../../../../../:b:/r/teams/CTM-OTGentStad/Shared Documents/General/EAF/CSI(nieuwe sharepoint)2024/EAF 6332 Gent 12052024 De Craene Peter.pdf?csf=1&amp;web=1&amp;e=AlEJLc" xr:uid="{C6F93BF1-CEF8-4B71-BCD1-52741A12F9DA}"/>
    <hyperlink ref="G304" r:id="rId378" display="../../../../../../:b:/r/teams/CTM-OTGentStad/Shared Documents/General/EAF/CSI(nieuwe sharepoint)2024/EAF 6332 Gent 25072024.pdf?csf=1&amp;web=1&amp;e=AWDkxa" xr:uid="{857E009D-B9B3-40E4-B457-79F020177855}"/>
    <hyperlink ref="G134" r:id="rId379" display="../../../../../../:b:/r/teams/CTM-OTGentStad/Shared Documents/General/EAF/CSI(nieuwe sharepoint)2024/EAF 6332 Gent 29032024.pdf?csf=1&amp;web=1&amp;e=jLyfAV" xr:uid="{DAD38B99-063D-4E1F-BE77-354F71404BA1}"/>
    <hyperlink ref="G437" r:id="rId380" display="../../../../../../:b:/r/teams/CTM-OTGentStad/Shared Documents/General/EAF/CSI(nieuwe sharepoint)2024/EAF 6333 Gent 07112024.pdf?csf=1&amp;web=1&amp;e=5e4YGN" xr:uid="{7726DD93-2929-4233-895A-E43AA655FC0F}"/>
    <hyperlink ref="G324" r:id="rId381" display="../../../../../../:b:/r/teams/CTM-OTGentStad/Shared Documents/General/EAF/CSI(nieuwe sharepoint)2024/EAF 6333 Voormuid Gent 14082024.pdf?csf=1&amp;web=1&amp;e=RjPiIM" xr:uid="{B4FCE873-D337-4C22-B15A-FAECF4C8A635}"/>
    <hyperlink ref="G361" r:id="rId382" display="../../../../../../:b:/r/teams/CTM-OTGentStad/Shared Documents/General/EAF/CSI(nieuwe sharepoint)2024/EAF 6334 Gent 10092024.pdf?csf=1&amp;web=1&amp;e=ewvYgy" xr:uid="{4C5E3B26-5A2F-4889-8562-6C81711755FB}"/>
    <hyperlink ref="G222" r:id="rId383" display="../../../../../../:b:/r/teams/CTM-OTGentStad/Shared Documents/General/EAF/CSI(nieuwe sharepoint)2024/EAF 6335 Brusselsesteenweg 368 29052024.pdf?csf=1&amp;web=1&amp;e=khBiN8" xr:uid="{A2E10FE1-D461-40EF-AE84-44D9BA2F42E9}"/>
    <hyperlink ref="G412" r:id="rId384" display="../../../../../../:b:/r/teams/CTM-OTGentStad/Shared Documents/General/EAF/CSI(nieuwe sharepoint)2024/EAF 6335 Gent 21102024.pdf?csf=1&amp;web=1&amp;e=qaSvs7" xr:uid="{F4C7B592-0FCD-4185-A27F-BFD8452591D7}"/>
    <hyperlink ref="G331" r:id="rId385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86" display="../../../../../../:b:/r/teams/CTM-OTGentStad/Shared Documents/General/EAF/CSI(nieuwe sharepoint)2024/EAF 6337 Gent 30102024.pdf?csf=1&amp;web=1&amp;e=0H5Fe7" xr:uid="{395909A6-E752-4B32-833E-1A3EDC0D95CB}"/>
    <hyperlink ref="G475" r:id="rId387" display="../../../../../../:b:/r/teams/CTM-OTGentStad/Shared Documents/General/EAF/CSI(nieuwe sharepoint)2024/EAF 6339 Gent 02122024.pdf?csf=1&amp;web=1&amp;e=TkaVl7" xr:uid="{C6BCCA65-1B57-401C-BD0B-A7170E28E15F}"/>
    <hyperlink ref="G397" r:id="rId388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89" display="../../../../../../:b:/r/teams/CTM-OTGentStad/Shared Documents/General/EAF/CSI(nieuwe sharepoint)2024/EAF 6339 Ledebergstraat 27092024.pdf?csf=1&amp;web=1&amp;e=kydSaL" xr:uid="{F510BA36-EFD1-4D4C-B4BB-90EE088EB689}"/>
    <hyperlink ref="G178" r:id="rId390" display="../../../../../../:b:/r/teams/CTM-OTGentStad/Shared Documents/General/EAF/CSI(nieuwe sharepoint)2024/EAF 6340 29042024.pdf?csf=1&amp;web=1&amp;e=6rHAiu" xr:uid="{70E63A47-4FE8-4B21-9979-575A7C65C00F}"/>
    <hyperlink ref="G27" r:id="rId391" display="../../../../../../:b:/r/teams/CTM-OTGentStad/Shared Documents/General/EAF/CSI(nieuwe sharepoint)2024/EAF 6340 Gent 23012024.pdf?csf=1&amp;web=1&amp;e=Sfpg5s" xr:uid="{793C28E3-44A0-4688-8E48-D81820C81F32}"/>
    <hyperlink ref="G255" r:id="rId392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3" display="../../../../../../:b:/r/teams/CTM-OTGentStad/Shared Documents/General/EAF/CSI(nieuwe sharepoint)2024/EAF 6351 Ledeberg 18072024.pdf?csf=1&amp;web=1&amp;e=dqcane" xr:uid="{4BE29D71-7128-4FDF-B961-735ECB16382D}"/>
    <hyperlink ref="G277" r:id="rId394" display="../../../../../../:b:/r/teams/CTM-OTGentStad/Shared Documents/General/EAF/CSI(nieuwe sharepoint)2024/EAF 6352 Gent 05072024.pdf?csf=1&amp;web=1&amp;e=IJPdnl" xr:uid="{964BF070-EA30-467C-909A-EE78DF5F5AE9}"/>
    <hyperlink ref="G481" r:id="rId395" display="../../../../../../:b:/r/teams/CTM-OTGentStad/Shared Documents/General/EAF/CSI(nieuwe sharepoint)2024/EAF 6352 Expo Gent 06122024.pdf?csf=1&amp;web=1&amp;e=0vLPpf" xr:uid="{D5537093-4C8E-460F-90E4-87F103CE6ECA}"/>
    <hyperlink ref="G164" r:id="rId396" display="../../../../../../:b:/r/teams/CTM-OTGentStad/Shared Documents/General/EAF/CSI(nieuwe sharepoint)2024/EAF 6352 Jozef Vervaenestraat Gent 19042024.pdf?csf=1&amp;web=1&amp;e=yjnj8a" xr:uid="{9A2907EE-EFFA-44EC-80BA-DA299DCB106D}"/>
    <hyperlink ref="G296" r:id="rId397" display="../../../../../../:b:/r/teams/CTM-OTGentStad/Shared Documents/General/EAF/CSI(nieuwe sharepoint)2024/EAF 6352 Ledebergplein 19072024.pdf?csf=1&amp;web=1&amp;e=bkrs0Z" xr:uid="{ECA85887-3998-42C1-B84E-1F8CA9FC5A86}"/>
    <hyperlink ref="G443" r:id="rId398" display="../../../../../../:b:/r/teams/CTM-OTGentStad/Shared Documents/General/EAF/CSI(nieuwe sharepoint)2024/EAF 6352 Papegaaistraat 11112024 Tom Haerens.pdf?csf=1&amp;web=1&amp;e=eNdPga" xr:uid="{80E6BA8C-0F31-4091-832B-98A88738360F}"/>
    <hyperlink ref="G220" r:id="rId399" display="../../../../../../:b:/r/teams/CTM-OTGentStad/Shared Documents/General/EAF/CSI(nieuwe sharepoint)2024/EAF 6353 GEnt 28052024.pdf?csf=1&amp;web=1&amp;e=WGHqLp" xr:uid="{DB5A8078-51B2-4D7E-A0BE-B0788FB79736}"/>
    <hyperlink ref="G254" r:id="rId400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1" display="../../../../../../:b:/r/teams/CTM-OTGentStad/Shared Documents/General/EAF/CSI(nieuwe sharepoint)2024/EAF 6355 Gent 27052024.pdf?csf=1&amp;web=1&amp;e=1PDaCB" xr:uid="{86E0D265-D6E0-49B3-A838-FD978831EB27}"/>
    <hyperlink ref="G96" r:id="rId402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3" display="../../../../../../:b:/r/teams/CTM-OTGentStad/Shared Documents/General/EAF/CSI(nieuwe sharepoint)2024/EAF 6355 Ledeberg 26102024.pdf?csf=1&amp;web=1&amp;e=2AjqFD" xr:uid="{648569DD-27DD-4A2C-8AB2-A8ACCE0F024E}"/>
    <hyperlink ref="G459" r:id="rId404" display="../../../../../../:b:/r/teams/CTM-OTGentStad/Shared Documents/General/EAF/CSI(nieuwe sharepoint)2024/EAF 6355 Melle Leeuw 21112024 Illya Wulleput.pdf?csf=1&amp;web=1&amp;e=laBaH2" xr:uid="{5A738A92-C79F-4AA7-85FA-D51066A602CE}"/>
    <hyperlink ref="G440" r:id="rId405" display="../../../../../../:b:/r/teams/CTM-OTGentStad/Shared Documents/General/EAF/CSI(nieuwe sharepoint)2024/EAF 6356 Gent 08112024.pdf?csf=1&amp;web=1&amp;e=jkVkea" xr:uid="{B29D513A-1F56-492B-8793-7F02C753B210}"/>
    <hyperlink ref="G491" r:id="rId406" display="../../../../../../:b:/r/teams/CTM-OTGentStad/Shared Documents/General/EAF/CSI(nieuwe sharepoint)2024/EAF 6356 Gent 12122024.pdf?csf=1&amp;web=1&amp;e=J29EOj" xr:uid="{C9D844F2-BBA0-4348-B6B3-C714BC0DCE18}"/>
    <hyperlink ref="G73" r:id="rId407" display="../../../../../../:b:/r/teams/CTM-OTGentStad/Shared Documents/General/EAF/CSI(nieuwe sharepoint)2024/EAF 6356 Gent 22022024.pdf?csf=1&amp;web=1&amp;e=xcEsno" xr:uid="{73BC41EA-814F-4314-88D3-64636FB5A614}"/>
    <hyperlink ref="G50" r:id="rId408" display="../../../../../../:b:/r/teams/CTM-OTGentStad/Shared Documents/General/EAF/CSI(nieuwe sharepoint)2024/EAF 6357 Gent 04022024.pdf?csf=1&amp;web=1&amp;e=dVRwnl" xr:uid="{289A9B42-AE87-44F9-9E69-01BA23C01A15}"/>
    <hyperlink ref="G472" r:id="rId409" display="../../../../../../:b:/r/teams/CTM-OTGentStad/Shared Documents/General/EAF/CSI(nieuwe sharepoint)2024/EAF 6357 Gent 30112024.pdf?csf=1&amp;web=1&amp;e=SbnKoU" xr:uid="{D43EA783-EADF-4029-9063-50551BB9FA3B}"/>
    <hyperlink ref="G379" r:id="rId410" display="../../../../../../:b:/r/teams/CTM-OTGentStad/Shared Documents/General/EAF/CSI(nieuwe sharepoint)2024/EAF 6358 Gent 24092024.pdf?csf=1&amp;web=1&amp;e=duNjmM" xr:uid="{72AAD7C4-D07D-460D-A39A-C6B3AD2CAA4A}"/>
    <hyperlink ref="G307" r:id="rId411" display="../../../../../../:b:/r/teams/CTM-OTGentStad/Shared Documents/General/EAF/CSI(nieuwe sharepoint)2024/EAF 6359 Gent 29072024.pdf?csf=1&amp;web=1&amp;e=DqAMsF" xr:uid="{9425BE95-CF56-41B0-84E1-789EF748600C}"/>
    <hyperlink ref="G180" r:id="rId412" display="../../../../../../:b:/r/teams/CTM-OTGentStad/Shared Documents/General/EAF/CSI(nieuwe sharepoint)2024/EAF 6359 Gent 30042024.pdf?csf=1&amp;web=1&amp;e=12OFdg" xr:uid="{0530410E-A176-4D29-AA2B-FE87D8291D7A}"/>
    <hyperlink ref="G416" r:id="rId413" display="../../../../../../:b:/r/teams/CTM-OTGentStad/Shared Documents/General/EAF/CSI(nieuwe sharepoint)2024/EAF 6360 Kortrijksesteenweg 23102024 Wouter Braeckman.pdf?csf=1&amp;web=1&amp;e=kMcesy" xr:uid="{830965EE-9A31-4DB1-91F2-2F87AD6ADF16}"/>
    <hyperlink ref="G486" r:id="rId414" display="../../../../../../:b:/r/teams/CTM-OTGentStad/Shared Documents/General/EAF/CSI(nieuwe sharepoint)2024/EAF 6361 Gent 09122024.pdf?csf=1&amp;web=1&amp;e=pyBqjh" xr:uid="{25DF6A81-5D18-4CF7-8F3A-D9281FB56EFF}"/>
    <hyperlink ref="G506" r:id="rId415" display="../../../../../../:b:/r/teams/CTM-OTGentStad/Shared Documents/General/EAF/CSI(nieuwe sharepoint)2024/EAF 6362 Gent 21122024.pdf?csf=1&amp;web=1&amp;e=AwaCWK" xr:uid="{F57E973E-D2A5-4668-9304-58D9E1F27F41}"/>
    <hyperlink ref="G501" r:id="rId416" display="../../../../../../:b:/r/teams/CTM-OTGentStad/Shared Documents/General/EAF/CSI(nieuwe sharepoint)2024/EAF 6362 Zwijnaardsestwg 20122024.pdf?csf=1&amp;web=1&amp;e=WnxLdY" xr:uid="{CAFCF17D-6ABA-4AA9-868C-CC62A825CC4F}"/>
    <hyperlink ref="G339" r:id="rId417" display="../../../../../../:b:/r/teams/CTM-OTGentStad/Shared Documents/General/EAF/CSI(nieuwe sharepoint)2024/EAF 6363 Gent 01092024.pdf?csf=1&amp;web=1&amp;e=AfcvZh" xr:uid="{C4ADE72C-7CB8-4FA3-A64D-50E0897B1EE4}"/>
    <hyperlink ref="G414" r:id="rId418" display="../../../../../../:b:/r/teams/CTM-OTGentStad/Shared Documents/General/EAF/CSI(nieuwe sharepoint)2024/EAF 6363 Gent 22102024.pdf?csf=1&amp;web=1&amp;e=V8ZrbJ" xr:uid="{E092AEE2-4935-44B8-A3D9-F17B3BCD8B36}"/>
    <hyperlink ref="G228" r:id="rId419" display="../../../../../../:b:/r/teams/CTM-OTGentStad/Shared Documents/General/EAF/CSI(nieuwe sharepoint)2024/EAF 6365 Gent 04062024.pdf?csf=1&amp;web=1&amp;e=79tgOp" xr:uid="{E7D05D18-7F19-49CE-B50A-BE29F0765F46}"/>
    <hyperlink ref="G502" r:id="rId420" display="../../../../../../:b:/r/teams/CTM-OTGentStad/Shared Documents/General/EAF/CSI(nieuwe sharepoint)2024/EAF 6366 Gent 20122024.pdf?csf=1&amp;web=1&amp;e=UOkLqZ" xr:uid="{3E28AA93-BF6C-468E-8819-9F28F0DB812B}"/>
    <hyperlink ref="G175" r:id="rId421" display="../../../../../../:b:/r/teams/CTM-OTGentStad/Shared Documents/General/EAF/CSI(nieuwe sharepoint)2024/EAF 6367 Gent 28042024.pdf?csf=1&amp;web=1&amp;e=Olf5lK" xr:uid="{C6280804-1A70-4124-8349-5104C084F736}"/>
    <hyperlink ref="G116" r:id="rId422" display="../../../../../../:b:/r/teams/CTM-OTGentStad/Shared Documents/General/EAF/CSI(nieuwe sharepoint)2024/EAF 6367 Wondelgem 20032024.pdf?csf=1&amp;web=1&amp;e=MuJkpQ" xr:uid="{39517C9B-157D-4FBE-BFCB-1837F74C7BDF}"/>
    <hyperlink ref="G308" r:id="rId423" display="../../../../../../:b:/r/teams/CTM-OTGentStad/Shared Documents/General/EAF/CSI(nieuwe sharepoint)2024/EAF 6368 Gent Zuid 29072024.pdf?csf=1&amp;web=1&amp;e=Zxr26Z" xr:uid="{D76FCEC5-3950-4647-902F-A2A71F4D3CAD}"/>
    <hyperlink ref="G256" r:id="rId424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25" display="../../../../../../:b:/r/teams/CTM-OTGentStad/Shared Documents/General/EAF/CSI(nieuwe sharepoint)2024/EAF 6369 Frereobanlaan 20032024.pdf?csf=1&amp;web=1&amp;e=KpGF0y" xr:uid="{E880125D-E882-40CE-BFA9-261EC13BB1A2}"/>
    <hyperlink ref="G11" r:id="rId426" display="../../../../../../:b:/r/teams/CTM-OTGentStad/Shared Documents/General/EAF/CSI(nieuwe sharepoint)2024/EAF 6369 Gent 11012024.pdf?csf=1&amp;web=1&amp;e=0jbna4" xr:uid="{BB2FCDD8-7BF9-4A90-B2C3-9179BF304811}"/>
    <hyperlink ref="G327" r:id="rId427" display="../../../../../../:b:/r/teams/CTM-OTGentStad/Shared Documents/General/EAF/CSI(nieuwe sharepoint)2024/EAF 6369 GEnt 20082024.pdf?csf=1&amp;web=1&amp;e=2gt9e0" xr:uid="{C913052B-4AC8-4CB4-9800-7F48C6DA6EE2}"/>
    <hyperlink ref="G284" r:id="rId428" display="../../../../../../:b:/r/teams/CTM-OTGentStad/Shared Documents/General/EAF/CSI(nieuwe sharepoint)2024/EAF 6370 10072024.pdf?csf=1&amp;web=1&amp;e=IXVT46" xr:uid="{DAC5F022-7B26-491E-A5D5-A26A839035A6}"/>
    <hyperlink ref="G375" r:id="rId429" display="../../../../../../:b:/r/teams/CTM-OTGentStad/Shared Documents/General/EAF/CSI(nieuwe sharepoint)2024/EAF 6370 Gent 22092024.pdf?csf=1&amp;web=1&amp;e=hJK5yW" xr:uid="{CB0955F0-925E-47A9-BF3B-8043C4484C14}"/>
    <hyperlink ref="G107" r:id="rId430" display="../../../../../../:b:/r/teams/CTM-OTGentStad/Shared Documents/General/EAF/CSI(nieuwe sharepoint)2024/EAF 6370 Gentbrugge 13032024.pdf?csf=1&amp;web=1&amp;e=gdPnza" xr:uid="{CE4A6DFA-0076-4396-8BFE-E59292112C6C}"/>
    <hyperlink ref="G309" r:id="rId431" display="../../../../../../:b:/r/teams/CTM-OTGentStad/Shared Documents/General/EAF/CSI(nieuwe sharepoint)2024/EAF 6370 Gentbrugge 29072024.pdf?csf=1&amp;web=1&amp;e=HnIR3a" xr:uid="{29EBD292-F939-4B11-8112-B700ED16CB29}"/>
    <hyperlink ref="G82" r:id="rId432" display="../../../../../../:b:/r/teams/CTM-OTGentStad/Shared Documents/General/EAF/CSI(nieuwe sharepoint)2024/EAF 6371 Albertlaan 29022024.pdf?csf=1&amp;web=1&amp;e=GIi3rG" xr:uid="{AC898D38-F55A-41AC-AD57-4859435E7321}"/>
    <hyperlink ref="G371" r:id="rId433" display="../../../../../../:b:/r/teams/CTM-OTGentStad/Shared Documents/General/EAF/CSI(nieuwe sharepoint)2024/EAF 6371 Gent 16092024.pdf?csf=1&amp;web=1&amp;e=ewguSb" xr:uid="{3CBCA0D0-A218-48C2-A501-75B8657B3E28}"/>
    <hyperlink ref="G129" r:id="rId434" display="../../../../../../:b:/r/teams/CTM-OTGentStad/Shared Documents/General/EAF/CSI(nieuwe sharepoint)2024/EAF 6371 Gent 25032024.pdf?csf=1&amp;web=1&amp;e=ciQtpD" xr:uid="{65DFABA2-DD65-4675-94FD-C735D09A5759}"/>
    <hyperlink ref="G510" r:id="rId435" display="../../../../../../:b:/r/teams/CTM-OTGentStad/Shared Documents/General/EAF/CSI(nieuwe sharepoint)2024/EAF 6371 Gent 27122024.pdf?csf=1&amp;web=1&amp;e=AeDj5a" xr:uid="{610FE50D-2750-49CC-A0FF-AC4FEDC88217}"/>
    <hyperlink ref="G191" r:id="rId436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37" display="../../../../../../:b:/r/teams/CTM-OTGentStad/Shared Documents/General/EAF/CSI(nieuwe sharepoint)2024/EAF 6372 Albertbrug Gent 01122024.pdf?csf=1&amp;web=1&amp;e=phpnaA" xr:uid="{ECAEA2FE-18A4-4DFA-8C30-01992E38AB62}"/>
    <hyperlink ref="G181" r:id="rId438" display="../../../../../../:b:/r/teams/CTM-OTGentStad/Shared Documents/General/EAF/CSI(nieuwe sharepoint)2024/EAF 6372 Gent 30042024.pdf?csf=1&amp;web=1&amp;e=nkerhf" xr:uid="{777B68FD-B011-4AF6-89F2-2E2B920DC694}"/>
    <hyperlink ref="G395" r:id="rId439" display="../../../../../../:b:/r/teams/CTM-OTGentStad/Shared Documents/General/EAF/CSI(nieuwe sharepoint)2024/EAF 6372 Koning Albertlaan Gent 09102024.pdf?csf=1&amp;web=1&amp;e=61015Z" xr:uid="{98B7DCD0-B93C-4B77-8B4A-5C8E06EEFB6B}"/>
    <hyperlink ref="G165" r:id="rId440" display="../../../../../../:b:/r/teams/CTM-OTGentStad/Shared Documents/General/EAF/CSI(nieuwe sharepoint)2024/EAF 6373 Gent 19042024.pdf?csf=1&amp;web=1&amp;e=H4ZpLA" xr:uid="{5792624D-132E-45E5-AAA7-E0DF3816FA4E}"/>
    <hyperlink ref="G311" r:id="rId441" display="../../../../../../:b:/r/teams/CTM-OTGentStad/Shared Documents/General/EAF/CSI(nieuwe sharepoint)2024/EAF 6373 Gent 30072024.pdf?csf=1&amp;web=1&amp;e=KGwb1o" xr:uid="{DDEE70D9-BB3E-4C33-9C08-737BE714E2E3}"/>
    <hyperlink ref="G210" r:id="rId442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3" display="../../../../../../:b:/r/teams/CTM-OTGentStad/Shared Documents/General/EAF/CSI(nieuwe sharepoint)2024/EAF 6373 Hundelgelsesteenweg 04052024.pdf?csf=1&amp;web=1&amp;e=lPN2VH" xr:uid="{3F74D7CC-54AE-4F4E-933D-503B9A3D077F}"/>
    <hyperlink ref="G114" r:id="rId444" display="../../../../../../:b:/r/teams/CTM-OTGentStad/Shared Documents/General/EAF/CSI(nieuwe sharepoint)2024/EAF 6374 Gent 19032024 De Wit Bruno 25993.pdf?csf=1&amp;web=1&amp;e=y4BN3M" xr:uid="{14428031-B2E5-4596-91AF-05CE38BB7612}"/>
    <hyperlink ref="G166" r:id="rId445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46" display="../../../../../../:b:/r/teams/CTM-OTGentStad/Shared Documents/General/EAF/CSI(nieuwe sharepoint)2024/EAF 6376 Botermarkt 22032024.pdf?csf=1&amp;web=1&amp;e=6wV3c3" xr:uid="{930BF3F1-7F08-4AE0-91EC-154515589787}"/>
    <hyperlink ref="G123" r:id="rId447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48" display="../../../../../../:b:/r/teams/CTM-OTGentStad/Shared Documents/General/EAF/CSI(nieuwe sharepoint)2024/EAF 6376 Ledeberg 05062024.pdf?csf=1&amp;web=1&amp;e=aDsAGg" xr:uid="{0458FFD0-533C-4F25-B462-0370887D9AC7}"/>
    <hyperlink ref="G131" r:id="rId449" display="../../../../../../:b:/r/teams/CTM-OTGentStad/Shared Documents/General/EAF/CSI(nieuwe sharepoint)2024/EAF 6376 Ledeberg 28032024.pdf?csf=1&amp;web=1&amp;e=7mSJBA" xr:uid="{45CC5FA4-5D46-49CB-873A-9EAA6E7342C9}"/>
    <hyperlink ref="G714" r:id="rId450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1" display="../../../../../../:b:/r/teams/CTM-OTGentStad/Shared Documents/General/EAF/CSI(nieuwe sharepoint)2024/EAF 8089 Zele 11062024.pdf?csf=1&amp;web=1&amp;e=A8knCw" xr:uid="{74ADF89B-FB9A-478A-A708-6F2758F29368}"/>
    <hyperlink ref="G124" r:id="rId452" display="../../../../../../:b:/r/teams/CTM-OTGentStad/Shared Documents/General/EAF/CSI(nieuwe sharepoint)2024/EAF 8101 Gent 22032024.pdf?csf=1&amp;web=1&amp;e=yVZUyo" xr:uid="{AF6D2838-6CEF-44B5-B8CF-E62811F7F14D}"/>
    <hyperlink ref="G495" r:id="rId453" display="../../../../../../:b:/r/teams/CTM-OTGentStad/Shared Documents/General/EAF/CSI(nieuwe sharepoint)2024/EAF 8104 Gent 1612204.pdf?csf=1&amp;web=1&amp;e=zXWqWn" xr:uid="{D5F85815-D275-4669-9A81-1B573C8CA4D1}"/>
    <hyperlink ref="G279" r:id="rId454" display="../../../../../../:b:/r/teams/CTM-OTGentStad/Shared Documents/General/EAF/CSI(nieuwe sharepoint)2024/EAF 50406 Gent 06022024.pdf?csf=1&amp;web=1&amp;e=aeXaW1" xr:uid="{B9E17875-7AD1-4728-9706-650D2B5BB61D}"/>
    <hyperlink ref="G23" r:id="rId455" display="../../../../../../:b:/r/teams/CTM-OTGentStad/Shared Documents/General/EAF/CSI(nieuwe sharepoint)2024/EAF 110965 Gent 18012024.pdf?csf=1&amp;web=1&amp;e=SDKJsz" xr:uid="{574FCB0B-0E13-4228-8E74-DD3EAC7E925D}"/>
    <hyperlink ref="G457" r:id="rId456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57" display="../../../../../../:b:/r/teams/CTM-OTGentStad/Shared Documents/General/EAF/CSI(nieuwe sharepoint)2024/EAF 112214 Gent 01032024.pdf?csf=1&amp;web=1&amp;e=B8Vkyk" xr:uid="{420DF9E7-24A9-42C5-A3CC-025FE477D9EE}"/>
    <hyperlink ref="G86" r:id="rId458" display="../../../../../../:b:/r/teams/CTM-OTGentStad/Shared Documents/General/EAF/CSI(nieuwe sharepoint)2024/EAF 112216 Gent Kouter 01032024.pdf?csf=1&amp;web=1&amp;e=JUmY5q" xr:uid="{896BE651-3B32-4438-9D39-4E75F56E757C}"/>
    <hyperlink ref="G240" r:id="rId459" display="../../../../../../:b:/r/teams/CTM-OTGentStad/Shared Documents/General/EAF/CSI(nieuwe sharepoint)2024/EAF 112223 Gent 10062024.pdf?csf=1&amp;web=1&amp;e=VeifI1" xr:uid="{85471258-6F2B-4F35-96AD-84F4E4EDAA6A}"/>
    <hyperlink ref="G179" r:id="rId460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1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2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3" display="../../../../../../:b:/r/teams/CTM-OTGentStad/Shared Documents/General/EAF/CSI(nieuwe sharepoint)2024/EAF 222478 Gent Tolhuislaan 22052024.pdf?csf=1&amp;web=1&amp;e=XXdD1J" xr:uid="{F749DB7C-C5BC-4F24-9D59-5A1715B1CA50}"/>
    <hyperlink ref="G396" r:id="rId464" display="../../../../../../:b:/r/teams/CTM-OTGentStad/Shared Documents/General/EAF/CSI(nieuwe sharepoint)2024/EAF 222478 Hovenierstraat Ledeberg 09102024.pdf?csf=1&amp;web=1&amp;e=sBN0vt" xr:uid="{1C6700C2-BAE1-440D-BD5B-10BD5143CC2D}"/>
    <hyperlink ref="G512" r:id="rId465" display="../../../../../../:b:/r/teams/CTM-OTGentStad/Shared Documents/General/EAF/CSI(nieuwe sharepoint)2024/EAF 281224 AB2548.pdf?csf=1&amp;web=1&amp;e=EOcWlR" xr:uid="{C406A5D1-07C4-451C-83C2-17F18254CB79}"/>
    <hyperlink ref="G388" r:id="rId466" display="../../../../../../:b:/r/teams/CTM-OTGentStad/Shared Documents/General/EAF/CSI(nieuwe sharepoint)2024/EAF 03102024 6313 Gent Mathyn Eid.pdf?csf=1&amp;web=1&amp;e=u3V4dq" xr:uid="{981D291F-2739-4555-801F-FCF2B89458A2}"/>
    <hyperlink ref="G477" r:id="rId467" display="../../../../../../:b:/r/teams/CTM-OTGentStad/Shared Documents/General/EAF/CSI(nieuwe sharepoint)2024/EAF 03122024 5324 Gent Dolly De Geyter.pdf?csf=1&amp;web=1&amp;e=hd5Fa8" xr:uid="{BA267C0E-84BC-4F4D-A11D-582410302377}"/>
    <hyperlink ref="G229" r:id="rId468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69" display="../../../../../../:b:/r/teams/CTM-OTGentStad/Shared Documents/General/EAF/CSI(nieuwe sharepoint)2024/EAF 04102024 6305 Gent Ghani Mozamil.pdf?csf=1&amp;web=1&amp;e=tGE5iz" xr:uid="{BFEF057C-B665-4057-B5BF-0621A30EF28E}"/>
    <hyperlink ref="G479" r:id="rId470" display="../../../../../../:b:/r/teams/CTM-OTGentStad/Shared Documents/General/EAF/CSI(nieuwe sharepoint)2024/EAF 04122024 Ugur.pdf?csf=1&amp;web=1&amp;e=qvL55j" xr:uid="{EE9184C3-AB06-4468-860F-DE8502679A2A}"/>
    <hyperlink ref="G140" r:id="rId471" display="../../../../../../:b:/r/teams/CTM-OTGentStad/Shared Documents/General/EAF/CSI(nieuwe sharepoint)2024/EAF 05042024 Gent 6368 Patrick Gevaert.pdf?csf=1&amp;web=1&amp;e=zUri78" xr:uid="{6BCE0DE1-F10B-4648-A4C2-05FABDD12A5F}"/>
    <hyperlink ref="G318" r:id="rId472" display="../../../../../../:b:/r/teams/CTM-OTGentStad/Shared Documents/General/EAF/CSI(nieuwe sharepoint)2024/EAF 05082024 5929 Gent Roien Stanikazi.pdf?csf=1&amp;web=1&amp;e=x9jUUW" xr:uid="{8511C604-572C-4419-98DA-B62188C4CB0A}"/>
    <hyperlink ref="G390" r:id="rId473" display="../../../../../../:b:/r/teams/CTM-OTGentStad/Shared Documents/General/EAF/CSI(nieuwe sharepoint)2024/EAF 05102024 6369 Gent Roland Hublau.pdf?csf=1&amp;web=1&amp;e=2uPju7" xr:uid="{4F3F3701-0F19-4669-A04F-F869340A9086}"/>
    <hyperlink ref="G52" r:id="rId474" display="../../../../../../:b:/r/teams/CTM-OTGentStad/Shared Documents/General/EAF/CSI(nieuwe sharepoint)2024/EAF 06022024 Toby Pelrene.pdf?csf=1&amp;web=1&amp;e=sbgowk" xr:uid="{236DF2AB-8B98-413B-A72A-17D302A08579}"/>
    <hyperlink ref="G482" r:id="rId475" display="../../../../../../:b:/r/teams/CTM-OTGentStad/Shared Documents/General/EAF/CSI(nieuwe sharepoint)2024/EAF 06122024 6305 Gent Kazim Demirkaya.pdf?csf=1&amp;web=1&amp;e=qggd4K" xr:uid="{1F3D32CF-AEDF-446A-8E94-97897A2945FC}"/>
    <hyperlink ref="G391" r:id="rId476" display="../../../../../../:b:/r/teams/CTM-OTGentStad/Shared Documents/General/EAF/CSI(nieuwe sharepoint)2024/EAF 07102024 5041 Gent Charlotte De Boever.pdf?csf=1&amp;web=1&amp;e=158LfQ" xr:uid="{36C06359-7657-4442-A021-2E964AA35234}"/>
    <hyperlink ref="G438" r:id="rId477" display="../../../../../../:b:/r/teams/CTM-OTGentStad/Shared Documents/General/EAF/CSI(nieuwe sharepoint)2024/EAF 7112024 5039 Zwijnaarde Eva Teetaert.pdf?csf=1&amp;web=1&amp;e=RKrwBS" xr:uid="{C48AC797-E50F-4354-A04D-6145474E0CDD}"/>
    <hyperlink ref="G281" r:id="rId478" display="../../../../../../:b:/r/teams/CTM-OTGentStad/Shared Documents/General/EAF/CSI(nieuwe sharepoint)2024/EAF 10122021 2197 Gent Roien Stanikazi.pdf?csf=1&amp;web=1&amp;e=yB3xOy" xr:uid="{8112D1BD-2BC7-4C09-AAD2-A75C9EE97328}"/>
    <hyperlink ref="G150" r:id="rId479" display="../../../../../../:b:/r/teams/CTM-OTGentStad/Shared Documents/General/EAF/CSI(nieuwe sharepoint)2024/EAF 11042024 6357 Gent Kenan Kocabas.pdf?csf=1&amp;web=1&amp;e=Tq4c5d" xr:uid="{2C046AD0-4325-4F35-919A-2777E2A40545}"/>
    <hyperlink ref="G198" r:id="rId480" display="../../../../../../:b:/r/teams/CTM-OTGentStad/Shared Documents/General/EAF/CSI(nieuwe sharepoint)2024/EAF 11052024 6338 Gent Tony Vandenbogaerde.pdf?csf=1&amp;web=1&amp;e=pCqePg" xr:uid="{B533B8E4-88A1-4ADB-A048-96292D9940CE}"/>
    <hyperlink ref="G246" r:id="rId481" display="../../../../../../:b:/r/teams/CTM-OTGentStad/Shared Documents/General/EAF/CSI(nieuwe sharepoint)2024/EAF 12062024 5376 Gent Jay Van Achte.pdf?csf=1&amp;web=1&amp;e=GUlnzr" xr:uid="{52056EBD-EC67-41DC-8C83-BACB1A5D45E2}"/>
    <hyperlink ref="G108" r:id="rId482" display="../../../../../../:b:/r/teams/CTM-OTGentStad/Shared Documents/General/EAF/CSI(nieuwe sharepoint)2024/EAF 13032024 4678 Gent Yasin Doolaege.pdf?csf=1&amp;web=1&amp;e=K5hLfj" xr:uid="{4C95F8C6-4400-4E06-BB67-BB8711DF34E7}"/>
    <hyperlink ref="G493" r:id="rId483" display="../../../../../../:b:/r/teams/CTM-OTGentStad/Shared Documents/General/EAF/CSI(nieuwe sharepoint)2024/EAF 15122024 6310 Gent Andy Vanden Daele.pdf?csf=1&amp;web=1&amp;e=L3K2pE" xr:uid="{BBF39C28-6443-401D-9DC4-52927F90B8EC}"/>
    <hyperlink ref="G159" r:id="rId484" display="../../../../../../:b:/r/teams/CTM-OTGentStad/Shared Documents/General/EAF/CSI(nieuwe sharepoint)2024/EAF 17042024 6311 Gent Philippe Pretel.pdf?csf=1&amp;web=1&amp;e=i96lXt" xr:uid="{34AFA34A-FDE0-4E8F-92C3-976F678ABFF5}"/>
    <hyperlink ref="G67" r:id="rId485" display="../../../../../../:b:/r/teams/CTM-OTGentStad/Shared Documents/General/EAF/CSI(nieuwe sharepoint)2024/EAF 19022024 6320 Gent Mathyn Eid.pdf?csf=1&amp;web=1&amp;e=sk3TED" xr:uid="{053CAE1D-0F2F-4F29-B550-C7DBC63E86B0}"/>
    <hyperlink ref="G167" r:id="rId486" display="../../../../../../:b:/r/teams/CTM-OTGentStad/Shared Documents/General/EAF/CSI(nieuwe sharepoint)2024/EAF 21042024 Gent 5915 Kenan Kocabas.pdf?csf=1&amp;web=1&amp;e=xL3d0i" xr:uid="{DD0F662B-74CA-4057-A404-70F2E36731E5}"/>
    <hyperlink ref="G259" r:id="rId487" display="../../../../../../:b:/r/teams/CTM-OTGentStad/Shared Documents/General/EAF/CSI(nieuwe sharepoint)2024/EAF 21062024 5369 Gent Roien Stanikazi.pdf?csf=1&amp;web=1&amp;e=WMdKJT" xr:uid="{66944DF1-46F9-4631-9E5D-953F0CCA42E4}"/>
    <hyperlink ref="G125" r:id="rId488" display="../../../../../../:b:/r/teams/CTM-OTGentStad/Shared Documents/General/EAF/CSI(nieuwe sharepoint)2024/EAF 22032024 6328 Gent Sabri Toumi.pdf?csf=1&amp;web=1&amp;e=5OfcMP" xr:uid="{2C114CC6-2B85-4C8F-A25A-71BEC31D32CA}"/>
    <hyperlink ref="G168" r:id="rId489" display="../../../../../../:b:/r/teams/CTM-OTGentStad/Shared Documents/General/EAF/CSI(nieuwe sharepoint)2024/EAF 22042024 Gent De Ridder Danny 21124.pdf?csf=1&amp;web=1&amp;e=kgfPA4" xr:uid="{957BCDAB-DD4F-43A2-9000-8CCFBD7019D8}"/>
    <hyperlink ref="G216" r:id="rId490" display="../../../../../../:b:/r/teams/CTM-OTGentStad/Shared Documents/General/EAF/CSI(nieuwe sharepoint)2024/EAF 24052024 2207 Gent Semih Dogan.pdf?csf=1&amp;web=1&amp;e=1u9yi0" xr:uid="{8B266A34-AE51-4345-86CF-51AB121A0557}"/>
    <hyperlink ref="G420" r:id="rId491" display="../../../../../../:b:/r/teams/CTM-OTGentStad/Shared Documents/General/EAF/CSI(nieuwe sharepoint)2024/EAF 24102024 5043 Gent Kenny Sturtewagen.pdf?csf=1&amp;web=1&amp;e=OnoJyT" xr:uid="{51758C7D-5E1F-4145-9F36-21162369CE6C}"/>
    <hyperlink ref="G263" r:id="rId492" display="../../../../../../:b:/r/teams/CTM-OTGentStad/Shared Documents/General/EAF/CSI(nieuwe sharepoint)2024/EAF 25062024 6329 Gent Heidi Limbourg.pdf?csf=1&amp;web=1&amp;e=dvoWLd" xr:uid="{1340D8AF-05CE-41FA-9B2F-90AF0F927549}"/>
    <hyperlink ref="G422" r:id="rId493" display="../../../../../../:b:/r/teams/CTM-OTGentStad/Shared Documents/General/EAF/CSI(nieuwe sharepoint)2024/EAF 25102024 5039 Gent Kenny Sturtewagen.pdf?csf=1&amp;web=1&amp;e=2Q7fgj" xr:uid="{148C6851-2BA3-49C5-8825-B3F5E86ECD23}"/>
    <hyperlink ref="G132" r:id="rId494" display="../../../../../../:b:/r/teams/CTM-OTGentStad/Shared Documents/General/EAF/CSI(nieuwe sharepoint)2024/EAF 28032024 6358 Gent Ghani Mozamil.pdf?csf=1&amp;web=1&amp;e=D9xLWc" xr:uid="{909F217B-1116-47C9-AA4F-26F0FA47D9EF}"/>
    <hyperlink ref="G137" r:id="rId495" display="../../../../../../:b:/r/teams/CTM-OTGentStad/Shared Documents/General/EAF/CSI(nieuwe sharepoint)2024/EAF 31032024 6376 Gent Tom Van Vliet.pdf?csf=1&amp;web=1&amp;e=GknYii" xr:uid="{16FC20DA-172C-4C1C-881A-DA86AB58500B}"/>
    <hyperlink ref="G95" r:id="rId496" display="../../../../../../:b:/r/teams/CTM-OTGentStad/Shared Documents/General/EAF/CSI(nieuwe sharepoint)2024/EAF Bremstraat Wondelgem AB 5922 05.03.2024.pdf?csf=1&amp;web=1&amp;e=fFCoEH" xr:uid="{7261214F-D54E-48DC-A263-FC2D186134B8}"/>
    <hyperlink ref="G97" r:id="rId497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498" display="../../../../../../:b:/r/teams/CTM-OTGentStad/Shared Documents/General/EAF/CSI(nieuwe sharepoint)2024/EAF Dendermondesteenweg 5767 15.01.2024.pdf?csf=1&amp;web=1&amp;e=IdIrgB" xr:uid="{C7125488-8147-467F-B360-DF903598A41E}"/>
    <hyperlink ref="G69" r:id="rId499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0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1" display="../../../../../../:b:/r/teams/CTM-OTGentStad/Shared Documents/General/EAF/CSI(nieuwe sharepoint)2024/EAF Gent 5367 06012024.pdf?csf=1&amp;web=1&amp;e=wquwTh" xr:uid="{DC1B9E94-D008-404E-B7CD-06B1F26DED52}"/>
    <hyperlink ref="G4" r:id="rId502" display="../../../../../../:b:/r/teams/CTM-OTGentStad/Shared Documents/General/EAF/CSI(nieuwe sharepoint)2024/EAF Gent 5935 05012024.pdf?csf=1&amp;web=1&amp;e=e6lTYz" xr:uid="{D3431BA8-4669-46F7-9248-ABF2DBDA760C}"/>
    <hyperlink ref="G354" r:id="rId503" display="../../../../../../:b:/r/teams/CTM-OTGentStad/Shared Documents/General/EAF/CSI(nieuwe sharepoint)2024/EAF Gent 06092024.pdf?csf=1&amp;web=1&amp;e=Mzhrwe" xr:uid="{C7C81001-A0E0-42A9-A30D-DCF3A6C8486F}"/>
    <hyperlink ref="G288" r:id="rId504" display="../../../../../../:b:/r/teams/CTM-OTGentStad/Shared Documents/General/EAF/CSI(nieuwe sharepoint)2024/EAF Gent 12012024.pdf?csf=1&amp;web=1&amp;e=yoeY89" xr:uid="{0894B335-DDD4-42AE-BDA0-21B9A030FCB8}"/>
    <hyperlink ref="G128" r:id="rId505" display="../../../../../../:b:/r/teams/CTM-OTGentStad/Shared Documents/General/EAF/CSI(nieuwe sharepoint)2024/EAF Gent 24032024 Mossa Toubadie.pdf?csf=1&amp;web=1&amp;e=wSavHQ" xr:uid="{97C646B3-D8D9-4F9D-9D3D-FE3E48168429}"/>
    <hyperlink ref="G182" r:id="rId506" display="../../../../../../:b:/r/teams/CTM-OTGentStad/Shared Documents/General/EAF/CSI(nieuwe sharepoint)2024/EAF Gent 30042024.pdf?csf=1&amp;web=1&amp;e=nvI6d5" xr:uid="{BA1B9E59-D26B-4AB9-B6F9-7B01DF65F991}"/>
    <hyperlink ref="G12" r:id="rId507" display="../../../../../../:b:/r/teams/CTM-OTGentStad/Shared Documents/General/EAF/CSI(nieuwe sharepoint)2024/EAF Gent Brugsepoort 5237 11.01.2024.pdf?csf=1&amp;web=1&amp;e=IlLTCE" xr:uid="{739AAB43-396F-4EC4-9366-3F181CA2253A}"/>
    <hyperlink ref="G112" r:id="rId508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09" display="../../../../../../:b:/r/teams/CTM-OTGentStad/Shared Documents/General/EAF/CSI(nieuwe sharepoint)2024/EAF Gent Sint Pieters 06012024.pdf?csf=1&amp;web=1&amp;e=cmcO9u" xr:uid="{177C61AC-E97F-4D5D-AF7B-6F9C6395041A}"/>
    <hyperlink ref="G16" r:id="rId510" display="../../../../../../:b:/r/teams/CTM-OTGentStad/Shared Documents/General/EAF/CSI(nieuwe sharepoint)2024/EAF Gent Sint-Pietersstation 2197 12.01.2024.pdf?csf=1&amp;web=1&amp;e=X6V4xH" xr:uid="{69889DB9-708D-4B53-A403-810B95AF23BE}"/>
    <hyperlink ref="G274" r:id="rId511" display="../../../../../../:b:/r/teams/CTM-OTGentStad/Shared Documents/General/EAF/CSI(nieuwe sharepoint)2024/EAF Gentbrugge parking 2 E-17 AB5237 26.02.204.pdf?csf=1&amp;web=1&amp;e=hdXeXc" xr:uid="{31498395-57AA-431C-BD4F-6D9650EFA9DD}"/>
    <hyperlink ref="G19" r:id="rId512" display="../../../../../../:b:/r/teams/CTM-OTGentStad/Shared Documents/General/EAF/CSI(nieuwe sharepoint)2024/EAF Gentsesteenweg Deinze 5042 15012024.pdf?csf=1&amp;web=1&amp;e=1e0liK" xr:uid="{76EA4AB3-8A74-416C-A729-989304C419B8}"/>
    <hyperlink ref="G87" r:id="rId513" display="../../../../../../:b:/r/teams/CTM-OTGentStad/Shared Documents/General/EAF/CSI(nieuwe sharepoint)2024/EAF Heerweg-Noord Zwijnaarde 6357 01.03.2024.pdf?csf=1&amp;web=1&amp;e=W1HcGk" xr:uid="{367F7CB3-0B66-4E21-98A7-D1C95ABF8B3F}"/>
    <hyperlink ref="G169" r:id="rId514" display="../../../../../../:b:/r/teams/CTM-OTGentStad/Shared Documents/General/EAF/CSI(nieuwe sharepoint)2024/EAF Koning Albertlaan Gent 2207 22.04.2024.pdf?csf=1&amp;web=1&amp;e=jni0A6" xr:uid="{DBE9064E-5762-422F-A673-CA86A99FD096}"/>
    <hyperlink ref="G155" r:id="rId515" display="../../../../../../:b:/r/teams/CTM-OTGentStad/Shared Documents/General/EAF/CSI(nieuwe sharepoint)2024/EAF Kouter Gent  5932 15.04.2024.pdf?csf=1&amp;web=1&amp;e=qfdIQv" xr:uid="{FF4FEF07-C2A0-4DEF-84FE-85A322B085BB}"/>
    <hyperlink ref="G184" r:id="rId516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17" display="../../../../../../:b:/r/teams/CTM-OTGentStad/Shared Documents/General/EAF/CSI(nieuwe sharepoint)2024/EAF Nazarethsesteenweg Deinze 5047 22.03.2024.pdf?csf=1&amp;web=1&amp;e=wWmwol" xr:uid="{52214B2E-6C4E-4D11-BA0B-E3F275200E4A}"/>
    <hyperlink ref="G118" r:id="rId518" display="../../../../../../:b:/r/teams/CTM-OTGentStad/Shared Documents/General/EAF/CSI(nieuwe sharepoint)2024/EAF Oktrooiplein Gent AB5233 20.03.2024.pdf?csf=1&amp;web=1&amp;e=84F5v2" xr:uid="{AD71EFBC-FA0D-460E-81FD-1B66350B22A9}"/>
    <hyperlink ref="G78" r:id="rId519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0" display="../../../../../../:b:/r/teams/CTM-OTGentStad/Shared Documents/General/EAF/CSI(nieuwe sharepoint)2024/EAF Segersplein Gent AB2205 16.05.2024.pdf?csf=1&amp;web=1&amp;e=wdPSqn" xr:uid="{AB5EDD5B-138F-4845-BD28-E1625D52C3BF}"/>
    <hyperlink ref="G285" r:id="rId521" display="../../../../../../:b:/r/teams/CTM-OTGentStad/Shared Documents/General/EAF/CSI(nieuwe sharepoint)2024/EAF Tolhuislaan 10072024.pdf?csf=1&amp;web=1&amp;e=mCYWQX" xr:uid="{C516BE93-805F-4415-8FCC-DDE9F785186E}"/>
    <hyperlink ref="G241" r:id="rId522" display="../../../../../../:b:/r/teams/CTM-OTGentStad/Shared Documents/General/EAF/CSI(nieuwe sharepoint)2024/EAF Tolhuislaan Gent AB 2204 10.06.2024.pdf?csf=1&amp;web=1&amp;e=oIGycL" xr:uid="{5D0F0C7F-856F-4DE7-A47A-B95A34EDA6C0}"/>
    <hyperlink ref="G213" r:id="rId523" display="../../../../../../:b:/r/teams/CTM-OTGentStad/Shared Documents/General/EAF/CSI(nieuwe sharepoint)2024/EAF Tolhuislaan Gent AB 5372 23.05.2024.pdf?csf=1&amp;web=1&amp;e=clu0yW" xr:uid="{A6127BC4-E878-47DB-9298-204D8EE6E258}"/>
    <hyperlink ref="G253" r:id="rId524" display="../../../../../../:b:/r/teams/CTM-OTGentStad/Shared Documents/General/EAF/CSI(nieuwe sharepoint)2024/EAF Tolhuislaan Gent AB 5917 15.06.2024.pdf?csf=1&amp;web=1&amp;e=fmyHcw" xr:uid="{6CEDA0A3-D1D1-4D22-8D39-0160865CFF4F}"/>
    <hyperlink ref="G249" r:id="rId525" display="../../../../../../:b:/r/teams/CTM-OTGentStad/Shared Documents/General/EAF/CSI(nieuwe sharepoint)2024/EAF Tolhuislaan Gent AB 222478 13.06.2024.pdf?csf=1&amp;web=1&amp;e=2tz8cF" xr:uid="{9122CEC9-72E5-450E-B445-C420372E7297}"/>
    <hyperlink ref="G174" r:id="rId526" display="../../../../../../:b:/r/teams/CTM-OTGentStad/Shared Documents/General/EAF/CSI(nieuwe sharepoint)2024/EAF Tolhuislaan Gent AB 614040 27.04.2024.pdf?csf=1&amp;web=1&amp;e=f2XmeF" xr:uid="{86F44152-7E08-4DD9-8AD6-405457EC6946}"/>
    <hyperlink ref="G58" r:id="rId527" display="../../../../../../:b:/r/teams/CTM-OTGentStad/Shared Documents/General/EAF/CSI(nieuwe sharepoint)2024/EAF Zwijnaardsesteenweg Gent 5926 13.02.2024.pdf?csf=1&amp;web=1&amp;e=Fa2o2I" xr:uid="{00F39016-44EF-4DC0-8DC0-1A062A0D109F}"/>
    <hyperlink ref="G815" r:id="rId528" xr:uid="{150DA4FD-1711-4867-B634-D05F4AEFF1A7}"/>
    <hyperlink ref="G560" r:id="rId529" xr:uid="{D4A9EBC2-7040-472D-9CD7-25E0CD73A803}"/>
    <hyperlink ref="G698" r:id="rId530" xr:uid="{863C6FA1-A756-4D70-AC71-51E5A76689C5}"/>
    <hyperlink ref="G543" r:id="rId531" xr:uid="{DACDB412-C833-4291-9C28-79BA532569AA}"/>
    <hyperlink ref="G545" r:id="rId532" xr:uid="{0B00DD93-46E6-429E-BC0E-941F7DDDCE2A}"/>
    <hyperlink ref="G517" r:id="rId533" xr:uid="{225EB26C-7772-460F-A73C-0F374D7AF285}"/>
    <hyperlink ref="G516" r:id="rId534" xr:uid="{BD0527B6-7BCC-4011-AFE4-A7A21EEA6DF1}"/>
    <hyperlink ref="G562" r:id="rId535" xr:uid="{C2CD05F9-E24E-4861-A589-1C820F320F9E}"/>
    <hyperlink ref="G520" r:id="rId536" xr:uid="{FE436817-0B4F-438C-A63D-C51B18F105A4}"/>
    <hyperlink ref="G555" r:id="rId537" xr:uid="{4A3BDEF3-14A7-45E2-8146-4BAA33388E54}"/>
    <hyperlink ref="G532" r:id="rId538" xr:uid="{56E8F87E-FC9C-4191-9A01-2285D988C8C0}"/>
    <hyperlink ref="G547" r:id="rId539" xr:uid="{3BF788E9-2462-4020-AC4B-A66BB6793883}"/>
    <hyperlink ref="G529" r:id="rId540" xr:uid="{67C81648-7A07-49F8-9510-14AC3651BFAC}"/>
    <hyperlink ref="G553" r:id="rId541" xr:uid="{D17842E8-28B7-4700-8F51-1BF6AAFEEDED}"/>
    <hyperlink ref="G817" r:id="rId542" xr:uid="{1D07BE5F-6D45-449E-A856-72ABC302C426}"/>
    <hyperlink ref="G818" r:id="rId543" xr:uid="{74CF06CF-A463-4FAA-9D33-6F2484FDFE16}"/>
    <hyperlink ref="G816" r:id="rId544" xr:uid="{4D2D47F3-D93E-4E06-A609-F6F31A503B9E}"/>
    <hyperlink ref="G821" r:id="rId545" xr:uid="{BB3ADF8B-2677-4058-AC30-13299C7C8573}"/>
    <hyperlink ref="G820" r:id="rId546" xr:uid="{F243989D-7F6A-4CAE-A35A-DDFC357040CB}"/>
    <hyperlink ref="G819" r:id="rId547" xr:uid="{E058195F-A560-43AD-B42C-D9F293BF83BE}"/>
    <hyperlink ref="G810" r:id="rId548" xr:uid="{E23FAE86-C71A-42EC-8B47-C80E9CF9E459}"/>
    <hyperlink ref="G811" r:id="rId549" xr:uid="{56031605-4B81-4A26-9C04-859AC6BC7199}"/>
    <hyperlink ref="G822" r:id="rId550" xr:uid="{37F3A534-9157-4431-A907-DA8F76A26E11}"/>
    <hyperlink ref="G797" r:id="rId551" xr:uid="{3B159F39-D1EE-4FFE-B00F-CD5A30667FFD}"/>
    <hyperlink ref="G525" r:id="rId552" xr:uid="{D0BD2ED7-E6F8-44FF-AA5C-9C16A6C1804B}"/>
    <hyperlink ref="G518" r:id="rId553" xr:uid="{F33A1740-8EB8-4025-8F53-80BACD691CA6}"/>
    <hyperlink ref="G559" r:id="rId554" xr:uid="{9D95C12D-8E65-4229-9718-A51321D9D94F}"/>
    <hyperlink ref="G556" r:id="rId555" xr:uid="{E4224694-117F-4F4F-9BF7-195BE73397D9}"/>
    <hyperlink ref="G546" r:id="rId556" xr:uid="{C8F55B2D-0BB9-4A25-9B22-6ED11D2439AC}"/>
    <hyperlink ref="G557" r:id="rId557" xr:uid="{086A88D0-A6B0-4F2C-A4EA-1445ED053D6B}"/>
    <hyperlink ref="G551" r:id="rId558" xr:uid="{C251BE52-D64A-40F3-8DC1-707966587D02}"/>
    <hyperlink ref="G550" r:id="rId559" xr:uid="{C7F96931-1F41-4392-BB45-AB92C7E8FFD7}"/>
    <hyperlink ref="G541" r:id="rId560" xr:uid="{730C7AE1-7643-4719-8632-C64D319771B0}"/>
    <hyperlink ref="G549" r:id="rId561" xr:uid="{D2369495-C800-435E-BFFA-8E9093A0F80C}"/>
    <hyperlink ref="G539" r:id="rId562" xr:uid="{0008102A-7EB8-4F37-BAC1-D6E4CC390730}"/>
    <hyperlink ref="G544" r:id="rId563" xr:uid="{351AB9DA-E3BE-4B59-ACEA-9324F3745699}"/>
    <hyperlink ref="G548" r:id="rId564" xr:uid="{899603D8-6E8D-4C79-924A-93406B78EE6B}"/>
    <hyperlink ref="G536" r:id="rId565" xr:uid="{A9F5798F-300C-4BC1-A1B4-06B6054503B7}"/>
    <hyperlink ref="G535" r:id="rId566" xr:uid="{81401BA5-C27E-4D6E-A3BE-13A3DE7927D3}"/>
    <hyperlink ref="G538" r:id="rId567" xr:uid="{8B0F07D6-AE8A-451D-8D1C-41E66AA0B123}"/>
    <hyperlink ref="G533" r:id="rId568" xr:uid="{F8D24394-978E-485C-8512-376B34C9D206}"/>
    <hyperlink ref="G537" r:id="rId569" xr:uid="{75BDEF6D-E245-4089-9D06-E52A0E0E795D}"/>
    <hyperlink ref="G534" r:id="rId570" xr:uid="{E465F374-DB36-41EF-9408-9AAAF868BAFE}"/>
    <hyperlink ref="G526" r:id="rId571" xr:uid="{3DE33E38-BC69-43E7-A2F4-FF3992FBB1C9}"/>
    <hyperlink ref="G528" r:id="rId572" xr:uid="{FC00D559-9EF1-4F91-AD31-31D9EA911704}"/>
    <hyperlink ref="G530" r:id="rId573" xr:uid="{C7205737-9829-4547-A889-2926DD023738}"/>
    <hyperlink ref="G527" r:id="rId574" xr:uid="{58642315-5AF4-42F7-BEE7-55CBCF1C9245}"/>
    <hyperlink ref="G523" r:id="rId575" xr:uid="{9F8B2670-1D8E-490C-BA83-01C7BEF546C6}"/>
    <hyperlink ref="G515" r:id="rId576" xr:uid="{82C47FF0-C30B-4A63-B16D-8D26943A680A}"/>
    <hyperlink ref="G577" r:id="rId577" xr:uid="{2EDE9429-F341-4878-AB9F-AF725DA96FB3}"/>
    <hyperlink ref="G588" r:id="rId578" xr:uid="{D0A8B0FF-DF89-4F65-839E-1E68205C5FFF}"/>
    <hyperlink ref="G605" r:id="rId579" xr:uid="{2E040C5D-D095-44E3-B108-B706873F4965}"/>
    <hyperlink ref="G596" r:id="rId580" xr:uid="{C380338D-B4EB-403F-8201-FF24A466E0AE}"/>
    <hyperlink ref="G564" r:id="rId581" xr:uid="{898BACA9-0B24-4041-83A0-D0979000C0A0}"/>
    <hyperlink ref="G585" r:id="rId582" xr:uid="{F35FBE87-2C1F-4A44-AB97-02EB30AC6E6E}"/>
    <hyperlink ref="G580" r:id="rId583" xr:uid="{4D737CE6-73A6-4025-8559-A716C852BB95}"/>
    <hyperlink ref="G574" r:id="rId584" xr:uid="{0FC9E311-23DD-4419-B96B-98BEF4FED6F2}"/>
    <hyperlink ref="G568" r:id="rId585" xr:uid="{CD2DBC0B-1260-46CE-84BB-78105AC98D90}"/>
    <hyperlink ref="G570" r:id="rId586" xr:uid="{E3AA322B-9412-406B-8DCF-EA1782F3C537}"/>
    <hyperlink ref="G599" r:id="rId587" xr:uid="{145D5B93-B022-4AA5-BCE0-1F27B283997C}"/>
    <hyperlink ref="G601" r:id="rId588" xr:uid="{EC15FBBC-3DD8-418C-B6A0-2A05877526FA}"/>
    <hyperlink ref="G587" r:id="rId589" xr:uid="{F9FC5F25-4055-4C41-B010-4340642B1532}"/>
    <hyperlink ref="G593" r:id="rId590" xr:uid="{EC00F961-65B6-466B-B885-D48582405F11}"/>
    <hyperlink ref="G592" r:id="rId591" xr:uid="{07F0B742-6CE5-4373-91E8-D4D1692F9DC3}"/>
    <hyperlink ref="G608" r:id="rId592" xr:uid="{7FA0A5F5-AA81-4888-A3D8-56C51C832365}"/>
    <hyperlink ref="G591" r:id="rId593" xr:uid="{AB21B84C-4547-4A3C-BB78-3A25340BB2F7}"/>
    <hyperlink ref="G595" r:id="rId594" xr:uid="{39217EE0-75C0-4402-B10E-A014D4704D80}"/>
    <hyperlink ref="G607" r:id="rId595" xr:uid="{83E41EC9-3241-447D-B3D2-B8BBE514E846}"/>
    <hyperlink ref="G584" r:id="rId596" xr:uid="{9B7CC6C0-DE32-42AF-A032-A7DE6B20A49A}"/>
    <hyperlink ref="G571" r:id="rId597" xr:uid="{0B1560EE-DF6A-4F3C-95E1-15E330022847}"/>
    <hyperlink ref="G566" r:id="rId598" xr:uid="{516D4D8A-BCD6-4BD2-A762-62154B283621}"/>
    <hyperlink ref="G569" r:id="rId599" xr:uid="{8DC45460-FF99-4B45-B29A-DF778ECF6172}"/>
    <hyperlink ref="G576" r:id="rId600" xr:uid="{1BC6803B-76CD-4B8F-B5A4-9C3613CBA4F2}"/>
    <hyperlink ref="G582" r:id="rId601" xr:uid="{A4B53BAE-D44A-4347-A973-54F4E0FF678D}"/>
    <hyperlink ref="G581" r:id="rId602" xr:uid="{9688A2CA-6817-402E-BB11-1FFE0CE3D72A}"/>
    <hyperlink ref="G598" r:id="rId603" xr:uid="{CDAA5689-B753-4C35-9F3B-F46334AA0D28}"/>
    <hyperlink ref="G583" r:id="rId604" xr:uid="{3DAC90A6-8D42-4FEE-AF74-97C01BD7600E}"/>
    <hyperlink ref="G579" r:id="rId605" xr:uid="{E1DB103D-F090-4258-8E3B-055683FCD7B4}"/>
    <hyperlink ref="G604" r:id="rId606" xr:uid="{3D1FAB95-5B8B-4634-B0B4-7DB8CC60FFB8}"/>
    <hyperlink ref="G563" r:id="rId607" xr:uid="{043D990C-2F93-4782-B504-B8CA72F45A43}"/>
    <hyperlink ref="G609" r:id="rId608" xr:uid="{1F54DB39-AE2C-4D07-A41A-12435C3E02CE}"/>
    <hyperlink ref="G600" r:id="rId609" xr:uid="{89D6702A-34CC-4980-B10A-5BA92B354176}"/>
    <hyperlink ref="G578" r:id="rId610" xr:uid="{77330D35-BD0B-4CB7-9F5A-65D536231B32}"/>
    <hyperlink ref="G610" r:id="rId611" xr:uid="{478E4DD9-50AE-4E56-8AAD-BF7B5CB410CD}"/>
    <hyperlink ref="G573" r:id="rId612" xr:uid="{95E8979D-9B42-4992-8BAF-3E4668DFB37A}"/>
    <hyperlink ref="G606" r:id="rId613" xr:uid="{A5A32A1E-3517-41A7-94F5-1E7E58CB0021}"/>
    <hyperlink ref="G572" r:id="rId614" xr:uid="{10324561-F0B5-4F2C-A30E-0CCC67F69554}"/>
    <hyperlink ref="G594" r:id="rId615" xr:uid="{5F8DF6C1-8BAD-4816-B651-79AB4DC08D38}"/>
    <hyperlink ref="G575" r:id="rId616" xr:uid="{B935B8C7-66A1-48FB-97B5-581A072674C9}"/>
    <hyperlink ref="G633" r:id="rId617" xr:uid="{96DD215D-8D77-42B5-87FD-AAD46745E6CE}"/>
    <hyperlink ref="G616" r:id="rId618" xr:uid="{25E3891C-A841-4FAD-8848-83BCDA07B07D}"/>
    <hyperlink ref="G644" r:id="rId619" xr:uid="{6B2453B4-DE64-4299-98A6-04B583A216BE}"/>
    <hyperlink ref="G637" r:id="rId620" xr:uid="{ABB49E0F-D960-4CBD-9512-B12078CCF062}"/>
    <hyperlink ref="G640" r:id="rId621" xr:uid="{310C0FCD-B925-4842-B943-ECA2DEB634D8}"/>
    <hyperlink ref="G648" r:id="rId622" xr:uid="{DF068475-DB5A-4B55-AC50-4551B49647A5}"/>
    <hyperlink ref="G636" r:id="rId623" xr:uid="{96287227-49F7-4F9C-AB86-3F9606F24C0C}"/>
    <hyperlink ref="G641" r:id="rId624" xr:uid="{56BCDB2C-7703-45F5-A312-C5E893E4471F}"/>
    <hyperlink ref="G646" r:id="rId625" xr:uid="{DB7207BC-37CA-486F-B566-C1D2EEC1D98C}"/>
    <hyperlink ref="G629" r:id="rId626" xr:uid="{EB1DE0E7-525B-41A5-B65D-E4EFDD71FA50}"/>
    <hyperlink ref="G630" r:id="rId627" xr:uid="{9EC01C6F-6C00-4ADD-9130-4C36DFCB9779}"/>
    <hyperlink ref="G650" r:id="rId628" xr:uid="{93F4F107-6055-4000-B994-82766AC2F8B3}"/>
    <hyperlink ref="G647" r:id="rId629" xr:uid="{7CF19AB4-E4D1-4E84-8F6B-D30EEFAB42E5}"/>
    <hyperlink ref="G628" r:id="rId630" xr:uid="{AD2BAD26-D2CD-4C3C-A625-0421ABE6776E}"/>
    <hyperlink ref="G638" r:id="rId631" xr:uid="{AB528683-13E1-43EF-9397-0F1EA0A95500}"/>
    <hyperlink ref="G620" r:id="rId632" xr:uid="{63D05921-89F2-42B2-8802-476070CE7486}"/>
    <hyperlink ref="G631" r:id="rId633" xr:uid="{7511178A-2DAB-45C1-B7D5-E5AB38820A3D}"/>
    <hyperlink ref="G653" r:id="rId634" xr:uid="{3A3EB255-474E-47F0-A53A-051803ED74C0}"/>
    <hyperlink ref="G649" r:id="rId635" xr:uid="{768F261D-495B-41EC-B1C0-677BBCBABEC5}"/>
    <hyperlink ref="G645" r:id="rId636" xr:uid="{CC1D23EA-2FA4-475A-B130-CAFDD977883C}"/>
    <hyperlink ref="G635" r:id="rId637" xr:uid="{4532DF16-2F25-4398-A9D2-C64BCAC2623A}"/>
    <hyperlink ref="G639" r:id="rId638" xr:uid="{DBF3EEA2-E5BA-4578-9529-31D42BC09EE8}"/>
    <hyperlink ref="G624" r:id="rId639" xr:uid="{6DBCD5CC-7915-4AD2-ACB7-9AF638A8D476}"/>
    <hyperlink ref="G642" r:id="rId640" xr:uid="{ABEA59BF-FF44-4925-AA21-B49F73E586F9}"/>
    <hyperlink ref="G651" r:id="rId641" xr:uid="{6ADC597C-C276-4C62-8E82-A4969ACC73EF}"/>
    <hyperlink ref="G632" r:id="rId642" xr:uid="{2FBBADAF-55DB-491E-AD6E-CBCBA567C379}"/>
    <hyperlink ref="G634" r:id="rId643" xr:uid="{FC933634-D1AA-401F-9EC8-E2A2DA5B1806}"/>
    <hyperlink ref="G652" r:id="rId644" xr:uid="{B0C3DC5B-76AF-4980-9ED1-806AF6657A94}"/>
    <hyperlink ref="G615" r:id="rId645" xr:uid="{26A56EE1-DB69-411D-ACCF-185580542394}"/>
    <hyperlink ref="G643" r:id="rId646" xr:uid="{CCE2BD31-28A5-4D0E-89EE-5DB37DEC1506}"/>
    <hyperlink ref="G613" r:id="rId647" xr:uid="{D422ED3F-5E9D-4F5A-A8B1-B5ED221AA5CB}"/>
    <hyperlink ref="G614" r:id="rId648" xr:uid="{1EEB36FB-467C-4173-9337-6930BD20E5BF}"/>
    <hyperlink ref="G618" r:id="rId649" xr:uid="{4A86C2AA-47F9-4BF7-8520-E38A909DD226}"/>
    <hyperlink ref="G617" r:id="rId650" xr:uid="{80485985-F15E-473A-982F-1696C89487EF}"/>
    <hyperlink ref="G621" r:id="rId651" xr:uid="{C011010E-C6E0-4E9F-8C53-F07785B63047}"/>
    <hyperlink ref="G619" r:id="rId652" xr:uid="{083F9CE9-FB70-4A23-968F-174CB60F5F3C}"/>
    <hyperlink ref="G622" r:id="rId653" xr:uid="{5DBEABD7-9276-4526-98A7-F5BD247071FC}"/>
    <hyperlink ref="G623" r:id="rId654" xr:uid="{9152E7DD-8182-4F52-B2D5-9C32E77A51E3}"/>
    <hyperlink ref="G625" r:id="rId655" xr:uid="{01D51050-FBEA-4B59-8B56-73F47A55F718}"/>
    <hyperlink ref="G626" r:id="rId656" xr:uid="{6E0D216D-F35E-408D-A4BA-9CB81B5BDEF6}"/>
    <hyperlink ref="G627" r:id="rId657" xr:uid="{B3851F33-F581-4CD5-B45F-70F07B9370B5}"/>
    <hyperlink ref="G659" r:id="rId658" xr:uid="{C2DA7E70-657B-451F-BE61-5753ED491960}"/>
    <hyperlink ref="G665" r:id="rId659" xr:uid="{E760B65F-D437-4A82-ADB0-CE57C56613BB}"/>
    <hyperlink ref="G679" r:id="rId660" xr:uid="{389D8CFC-6E96-47C9-95C2-6D0DC5FDC47F}"/>
    <hyperlink ref="G688" r:id="rId661" xr:uid="{D2F96A81-C7E3-4D73-A9D6-8A3776AEECF0}"/>
    <hyperlink ref="G658" r:id="rId662" xr:uid="{6A2967DA-72F6-4A66-BEB1-06B967D72FB9}"/>
    <hyperlink ref="G657" r:id="rId663" xr:uid="{F10DFD8F-A4E6-41F4-BE12-01AC9829729E}"/>
    <hyperlink ref="G692" r:id="rId664" xr:uid="{DCEB82AA-5B00-4B67-8A9B-4E25B22FF280}"/>
    <hyperlink ref="G656" r:id="rId665" xr:uid="{BB9AC7A1-5FDB-4793-9AA6-3BB716B0C417}"/>
    <hyperlink ref="G672" r:id="rId666" xr:uid="{4CBA8A86-B0FD-497B-A600-0A4526F783DB}"/>
    <hyperlink ref="G664" r:id="rId667" xr:uid="{D79D5AFE-C6AE-4FA5-A4C4-9789128877A0}"/>
    <hyperlink ref="G675" r:id="rId668" xr:uid="{87D82A19-8903-4915-BAF9-F10A723DAE7D}"/>
    <hyperlink ref="G663" r:id="rId669" xr:uid="{0726CA3F-D1B7-4365-8444-071E08AB4843}"/>
    <hyperlink ref="G660" r:id="rId670" xr:uid="{4DABF424-4C2A-4687-9B10-293A0FA9CC8F}"/>
    <hyperlink ref="G671" r:id="rId671" xr:uid="{708E88D7-B2D1-4C38-9F56-2D3CEA54003B}"/>
    <hyperlink ref="G691" r:id="rId672" xr:uid="{4D1CA8F5-6233-474B-A545-0E94FA4DC8F3}"/>
    <hyperlink ref="G681" r:id="rId673" xr:uid="{14267202-C2D0-4352-8EB8-846DAF2A0233}"/>
    <hyperlink ref="G676" r:id="rId674" xr:uid="{648D6711-B4FB-49BE-91E9-C9B8326515D3}"/>
    <hyperlink ref="G696" r:id="rId675" xr:uid="{A1731FAA-3015-41C5-8D89-A3BC6FF922C1}"/>
    <hyperlink ref="G685" r:id="rId676" xr:uid="{FB514E15-C32B-496E-B7E0-17F9FFE4F17A}"/>
    <hyperlink ref="G678" r:id="rId677" xr:uid="{5808F782-76C6-429E-96A0-A064A37AB21C}"/>
    <hyperlink ref="G680" r:id="rId678" xr:uid="{0959C9E6-7835-43BF-8547-BF481EE80D5F}"/>
    <hyperlink ref="G690" r:id="rId679" xr:uid="{E52DBEBD-5887-4E06-947D-8EBE36982A82}"/>
    <hyperlink ref="G686" r:id="rId680" xr:uid="{BEDB739D-737F-46F1-8D57-3FC8CC982198}"/>
    <hyperlink ref="G674" r:id="rId681" xr:uid="{2C8D7F5E-0E75-41BC-BBB4-A9211236EFFC}"/>
    <hyperlink ref="G662" r:id="rId682" xr:uid="{F99B1E7C-2349-405E-AA64-6967C432A75C}"/>
    <hyperlink ref="G684" r:id="rId683" xr:uid="{7C2A0286-1324-4403-B4DD-361A1DE5D0D9}"/>
    <hyperlink ref="G694" r:id="rId684" xr:uid="{A843F00B-7BAC-4217-9322-AFAA44197BF0}"/>
    <hyperlink ref="G654" r:id="rId685" xr:uid="{7B9D040B-C241-4309-A54F-21F4A2598A78}"/>
    <hyperlink ref="G655" r:id="rId686" xr:uid="{D015F0C9-969C-41A7-B05D-E8B186DD2A94}"/>
    <hyperlink ref="G670" r:id="rId687" xr:uid="{3C13EDDC-696D-4A5F-8A9E-BF272DB24513}"/>
    <hyperlink ref="G677" r:id="rId688" xr:uid="{E34F6C64-B60F-4F48-B4F1-8F9AACEBD075}"/>
    <hyperlink ref="G673" r:id="rId689" xr:uid="{220AA725-B3A5-4243-828D-E1C53155A150}"/>
    <hyperlink ref="G693" r:id="rId690" xr:uid="{BD4E9079-B973-4420-B1FD-4BF6FB1C7BE3}"/>
    <hyperlink ref="G689" r:id="rId691" xr:uid="{9B75B6EB-4972-47F4-A52E-FEF937B469CF}"/>
    <hyperlink ref="G668" r:id="rId692" xr:uid="{B58AB238-8D14-4EBC-B9DB-4A28D670C5DE}"/>
    <hyperlink ref="G682" r:id="rId693" xr:uid="{5173BAAC-F800-464C-B1AE-88F401557E13}"/>
    <hyperlink ref="G687" r:id="rId694" xr:uid="{484C4C1C-5CCC-486B-A82C-68FA2983E0DC}"/>
    <hyperlink ref="G661" r:id="rId695" xr:uid="{103C09BE-ED5D-4747-B5EA-48E902C6140F}"/>
    <hyperlink ref="G666" r:id="rId696" xr:uid="{251288C3-BF64-4860-9A54-41802A975EDB}"/>
    <hyperlink ref="G667" r:id="rId697" xr:uid="{FAF8B960-BFE9-4FB4-9CC7-36E0BE491390}"/>
    <hyperlink ref="G669" r:id="rId698" xr:uid="{6949557C-A40F-49B7-BB27-5E184F540F37}"/>
    <hyperlink ref="G683" r:id="rId699" xr:uid="{BA558B59-A969-4F15-8D2F-64FA1E58F79D}"/>
    <hyperlink ref="G695" r:id="rId700" xr:uid="{6D11B92B-7522-488B-A553-08C77073F8DF}"/>
    <hyperlink ref="G720" r:id="rId701" xr:uid="{A432BF3B-B956-4B79-A609-35525C4FFC9D}"/>
    <hyperlink ref="G725" r:id="rId702" xr:uid="{B09855AE-7B80-4B3A-911C-960610B88F94}"/>
    <hyperlink ref="G728" r:id="rId703" xr:uid="{EB8F3410-4B22-4544-A2C6-9E83C2900923}"/>
    <hyperlink ref="G726" r:id="rId704" xr:uid="{03AA8935-8534-457F-8190-65FC4AD3BB0D}"/>
    <hyperlink ref="G716" r:id="rId705" xr:uid="{F4EFC8AC-0CB9-4AD7-92FA-021D8A8DC863}"/>
    <hyperlink ref="G723" r:id="rId706" xr:uid="{593C82B9-E6E1-4283-9A5A-1601224BACAE}"/>
    <hyperlink ref="G724" r:id="rId707" xr:uid="{A0977BE1-A651-41F4-AE35-711937967CEF}"/>
    <hyperlink ref="G712" r:id="rId708" xr:uid="{F49DB4A0-BC81-4A06-9A32-5C72DB73A3BA}"/>
    <hyperlink ref="G719" r:id="rId709" xr:uid="{1FA4F1A2-C68C-43F7-B1C4-BA99F25F26CE}"/>
    <hyperlink ref="G721" r:id="rId710" xr:uid="{3AAD246B-25BE-4D96-817A-D6CB2F311E44}"/>
    <hyperlink ref="G718" r:id="rId711" xr:uid="{18B2D28D-956E-4BA4-AFA1-1B87456A0A2C}"/>
    <hyperlink ref="G717" r:id="rId712" xr:uid="{B22F530F-E864-4C38-8989-BD6CCCFFE2C2}"/>
    <hyperlink ref="G715" r:id="rId713" xr:uid="{83DE97E8-FA36-495A-88E8-38CAC06F844C}"/>
    <hyperlink ref="G705" r:id="rId714" xr:uid="{5C67D965-A539-410D-A59A-D6AEF2A02C03}"/>
    <hyperlink ref="G713" r:id="rId715" xr:uid="{FC61B223-3866-4716-9F84-568EC3B46547}"/>
    <hyperlink ref="G708" r:id="rId716" xr:uid="{D85F952D-CB1B-44F4-B28A-6C3D09476CF2}"/>
    <hyperlink ref="G701" r:id="rId717" xr:uid="{5568D8F3-F32F-4736-A916-963C9CCB47FA}"/>
    <hyperlink ref="G697" r:id="rId718" xr:uid="{B723EA80-581E-475A-B68D-9A836974DD11}"/>
    <hyperlink ref="G711" r:id="rId719" xr:uid="{0F637775-FD3B-4C08-8D6F-C589BFDB9CC9}"/>
    <hyperlink ref="G709" r:id="rId720" xr:uid="{51B51EB8-64EF-476E-ACD4-48008568D921}"/>
    <hyperlink ref="G707" r:id="rId721" xr:uid="{6939651F-8743-40D7-8248-7C59BC326531}"/>
    <hyperlink ref="G706" r:id="rId722" xr:uid="{AE840088-FA86-44F9-8AEA-7685D8FC1882}"/>
    <hyperlink ref="G704" r:id="rId723" xr:uid="{F06FFB0D-5885-4D14-8AC6-016C02308BD6}"/>
    <hyperlink ref="G703" r:id="rId724" xr:uid="{34E44BC6-0C9A-468D-8837-FC115CC6C91C}"/>
    <hyperlink ref="G702" r:id="rId725" xr:uid="{0ED0DD59-3557-4D96-AA95-5DC7A645AE06}"/>
    <hyperlink ref="G700" r:id="rId726" xr:uid="{A2170097-8EAE-46AC-9251-EF553AB1A9D6}"/>
    <hyperlink ref="G699" r:id="rId727" xr:uid="{F8BF4E85-D8D9-47D4-AB8E-C87937357FA9}"/>
    <hyperlink ref="G747" r:id="rId728" xr:uid="{4CE98016-D7E6-4D5E-912E-DED4D44F20AD}"/>
    <hyperlink ref="G745" r:id="rId729" xr:uid="{9321BFD9-F8A8-4656-8410-61658A528AC5}"/>
    <hyperlink ref="G764" r:id="rId730" xr:uid="{A92F0936-5E6B-42FE-85E7-A4B061C5DAD3}"/>
    <hyperlink ref="G763" r:id="rId731" xr:uid="{6049A51A-F4DF-4E73-8440-DE6F40AEBDD9}"/>
    <hyperlink ref="G765" r:id="rId732" xr:uid="{7928FACB-A4C4-47AE-B295-577B8CBBB398}"/>
    <hyperlink ref="G733" r:id="rId733" xr:uid="{941EBDF1-E734-4E5A-AA48-F30D0B24F93C}"/>
    <hyperlink ref="G761" r:id="rId734" xr:uid="{574AA468-D84B-4155-9894-72B740EF0AB1}"/>
    <hyperlink ref="G730" r:id="rId735" xr:uid="{E57FF12C-76E0-4A86-99D4-5E1538E38ACD}"/>
    <hyperlink ref="G738" r:id="rId736" xr:uid="{7E75644F-64CB-4F63-924E-F8365E75C71A}"/>
    <hyperlink ref="G739" r:id="rId737" xr:uid="{973F95B8-C132-4D72-96F7-C5CD97AB7E19}"/>
    <hyperlink ref="G756" r:id="rId738" xr:uid="{4511E0E2-3308-42B9-8AB9-1E3204BB4AB9}"/>
    <hyperlink ref="G760" r:id="rId739" xr:uid="{5805C3DE-57A9-46D6-9F19-1050F00D1E46}"/>
    <hyperlink ref="G744" r:id="rId740" xr:uid="{DAF3293A-AB51-4EAB-94D6-99379936EE9A}"/>
    <hyperlink ref="G731" r:id="rId741" xr:uid="{0D2FAD1A-6FB7-42BC-ACD4-2ED17239737A}"/>
    <hyperlink ref="G753" r:id="rId742" xr:uid="{C97D0CF5-D880-48AA-976A-46B72F6366E2}"/>
    <hyperlink ref="G742" r:id="rId743" xr:uid="{5B139B7F-C169-4457-832F-2CDEE69FD825}"/>
    <hyperlink ref="G752" r:id="rId744" xr:uid="{03CEA0C4-C067-4D36-8EC4-BD674608B5EC}"/>
    <hyperlink ref="G757" r:id="rId745" xr:uid="{7F799986-DE7E-4CB4-9450-D1751467B184}"/>
    <hyperlink ref="G734" r:id="rId746" xr:uid="{2FEEE5DD-8A0F-48EB-80CD-BE2AF1317FD9}"/>
    <hyperlink ref="G754" r:id="rId747" xr:uid="{95504083-0ADC-4023-97B7-A22841E41A0A}"/>
    <hyperlink ref="G727" r:id="rId748" xr:uid="{B3527575-B430-444E-9B0B-A3C05BCAB247}"/>
    <hyperlink ref="G729" r:id="rId749" xr:uid="{6A58F34B-5E83-417C-AE7D-F5176857093F}"/>
    <hyperlink ref="G732" r:id="rId750" xr:uid="{A65CEF8A-32E1-43C3-A6EE-B0328385DBFC}"/>
    <hyperlink ref="G749" r:id="rId751" xr:uid="{2C6873D5-430D-4DDD-932E-93E40910B97B}"/>
    <hyperlink ref="G748" r:id="rId752" xr:uid="{FCD32162-3212-4E63-83FF-A086C4015E85}"/>
    <hyperlink ref="G737" r:id="rId753" xr:uid="{43EDAC8C-154F-4594-876F-3F9377E4C0C1}"/>
    <hyperlink ref="G741" r:id="rId754" xr:uid="{8D3EABC5-7EEB-4300-9EC6-7B98D5F8E029}"/>
    <hyperlink ref="G759" r:id="rId755" xr:uid="{E0BA6773-6967-4D97-A6D9-16414C9EBA75}"/>
    <hyperlink ref="G735" r:id="rId756" xr:uid="{373A757C-29EC-4205-A1DA-27EEA898D2E7}"/>
    <hyperlink ref="G751" r:id="rId757" xr:uid="{E74A0A93-7E76-4BC0-99FA-7A5BB8BD7138}"/>
    <hyperlink ref="G758" r:id="rId758" xr:uid="{F37985B0-E9F1-438A-82A1-42D19BFF8F90}"/>
    <hyperlink ref="G740" r:id="rId759" xr:uid="{DCE67A40-B91D-42D6-B85F-800E2487CF07}"/>
    <hyperlink ref="G743" r:id="rId760" xr:uid="{23CA3DFE-A440-4845-ADDC-E00CDDC2FAB8}"/>
    <hyperlink ref="G755" r:id="rId761" xr:uid="{DC114D74-FDA1-4A5B-99B3-1F704C9F9E88}"/>
    <hyperlink ref="G762" r:id="rId762" xr:uid="{5FB200BE-8F49-4D2F-AF1F-5BDC0C88CA57}"/>
    <hyperlink ref="G736" r:id="rId763" xr:uid="{E9488F98-417D-45F0-AF31-42083D111195}"/>
    <hyperlink ref="G746" r:id="rId764" xr:uid="{F330EFD7-79BD-46D0-80F4-426AC08554CF}"/>
    <hyperlink ref="G750" r:id="rId765" xr:uid="{11491747-2133-49D4-A272-44F6FF53D9C6}"/>
    <hyperlink ref="G798" r:id="rId766" xr:uid="{93FCF700-48E1-4AAB-8495-FC2999DF82EF}"/>
    <hyperlink ref="G800" r:id="rId767" xr:uid="{254E9E40-B563-406B-8450-9FF9E949AC8C}"/>
    <hyperlink ref="G804" r:id="rId768" xr:uid="{8C7050E5-1548-47AD-9816-9F8590927730}"/>
    <hyperlink ref="G812" r:id="rId769" xr:uid="{298E54A3-9DBF-4CA6-8BA6-31974C23228C}"/>
    <hyperlink ref="G809" r:id="rId770" xr:uid="{1562B673-8C26-4B21-ACFD-266C8A1777FD}"/>
    <hyperlink ref="G808" r:id="rId771" xr:uid="{ED1DD83C-6022-4BD4-8146-1AD33BD7F5AA}"/>
    <hyperlink ref="G796" r:id="rId772" xr:uid="{8DEB09DF-90D5-4C0F-84ED-2C9E5F524D87}"/>
    <hyperlink ref="G802" r:id="rId773" xr:uid="{FA5FD159-9EBA-4548-9418-76FA3AEF3C15}"/>
    <hyperlink ref="G803" r:id="rId774" xr:uid="{77FF1940-85B2-4158-80F6-DBA00A0D3F48}"/>
    <hyperlink ref="G806" r:id="rId775" xr:uid="{59EF7A79-E073-4066-A0E3-4FBC18F26DDD}"/>
    <hyperlink ref="G805" r:id="rId776" xr:uid="{754E2135-D332-4D17-85A1-DC7CD58911BE}"/>
    <hyperlink ref="G790" r:id="rId777" xr:uid="{88F06494-6D83-4A92-B776-4B6746B0CDAD}"/>
    <hyperlink ref="G795" r:id="rId778" xr:uid="{DFC68BEC-B39F-4AC2-9D00-AF674412F4D1}"/>
    <hyperlink ref="G801" r:id="rId779" xr:uid="{D39377EB-7E62-4F41-B32C-DD7C8FD9FD9A}"/>
    <hyperlink ref="G799" r:id="rId780" xr:uid="{9929740E-87D0-46BF-BF92-B7A6F0F75EB5}"/>
    <hyperlink ref="G793" r:id="rId781" xr:uid="{E123B967-6F80-47D3-AA99-5D00D58C1C7B}"/>
    <hyperlink ref="G792" r:id="rId782" xr:uid="{BD1736A6-FDDE-4E2B-AEC4-56B7A59A4D9B}"/>
    <hyperlink ref="G794" r:id="rId783" xr:uid="{2C5F8736-DD9A-4211-A2E6-04D793B952E2}"/>
    <hyperlink ref="G791" r:id="rId784" xr:uid="{CAA0EEB7-98AD-4175-978B-3481CD4B09A2}"/>
    <hyperlink ref="G788" r:id="rId785" xr:uid="{B994F345-9D6F-49FE-936F-A1FF870DA159}"/>
    <hyperlink ref="G789" r:id="rId786" xr:uid="{4E7BD72F-64F1-4161-94B3-40F3EAD4DF8D}"/>
    <hyperlink ref="G783" r:id="rId787" xr:uid="{42CE2B8A-4445-4D38-A19B-27E617E5355F}"/>
    <hyperlink ref="G782" r:id="rId788" xr:uid="{77672107-1074-4CC5-B773-C90D586B98DC}"/>
    <hyperlink ref="G781" r:id="rId789" xr:uid="{B8BBF23F-600D-4EA8-8F9E-4C020A484596}"/>
    <hyperlink ref="G785" r:id="rId790" xr:uid="{DF5118FE-DD0A-43D5-A04A-F1BB5EC966CB}"/>
    <hyperlink ref="G786" r:id="rId791" xr:uid="{80154DBC-66DF-4433-A9D0-087580B052BE}"/>
    <hyperlink ref="G784" r:id="rId792" xr:uid="{DA9F6E43-F97B-474A-85EE-108BF5C95D67}"/>
    <hyperlink ref="G778" r:id="rId793" xr:uid="{AD697AE6-4666-4389-B2B4-38726DB31C7C}"/>
    <hyperlink ref="G779" r:id="rId794" xr:uid="{436AFDD6-523C-43FE-9A08-ED579E166D7F}"/>
    <hyperlink ref="G777" r:id="rId795" xr:uid="{D71CB4A7-6A12-475B-B09C-97A19E5BF7E7}"/>
    <hyperlink ref="G780" r:id="rId796" xr:uid="{86BB9DC2-49BD-4EA6-88AF-16451F0EF0F2}"/>
    <hyperlink ref="G768" r:id="rId797" xr:uid="{FF4ED1A0-310A-4193-BF64-B647931B2430}"/>
    <hyperlink ref="G776" r:id="rId798" xr:uid="{5C6636C1-94D3-4505-AC39-65A67FE4CB32}"/>
    <hyperlink ref="G772" r:id="rId799" xr:uid="{BB7CE327-230E-48A5-8741-25B18189C503}"/>
    <hyperlink ref="G773" r:id="rId800" xr:uid="{DD89C437-E14C-48AB-B80E-F8AF986B6A7D}"/>
    <hyperlink ref="G774" r:id="rId801" xr:uid="{5E6E094E-D08D-41A9-9AD4-AB96C0D2D0E5}"/>
    <hyperlink ref="G775" r:id="rId802" xr:uid="{738BBA94-39E1-4EAD-85E3-D6FD30B5D2A2}"/>
    <hyperlink ref="G771" r:id="rId803" xr:uid="{366A0727-3127-49A7-8A3D-1CF9FEDBA2C5}"/>
    <hyperlink ref="G769" r:id="rId804" xr:uid="{36071FA3-ED9D-4C49-BBE1-80EA68977EF9}"/>
    <hyperlink ref="G770" r:id="rId805" xr:uid="{6E08855B-C243-4269-AE79-8EAC47FB9816}"/>
    <hyperlink ref="G766" r:id="rId806" xr:uid="{3F757C3A-AABB-46B0-A376-7F8782AED0B7}"/>
    <hyperlink ref="G814" r:id="rId807" xr:uid="{E6EBA1DA-3AD1-419D-8F5E-43BB39D94529}"/>
    <hyperlink ref="G767" r:id="rId808" xr:uid="{713D8C42-321D-4476-9086-F7A96074829F}"/>
    <hyperlink ref="G825" r:id="rId809" xr:uid="{C7E0C9F1-1B82-42AF-BD02-CB6701562797}"/>
    <hyperlink ref="G824" r:id="rId810" xr:uid="{C0FAEEAC-68E5-4E84-8EFB-8E0C90520D3D}"/>
    <hyperlink ref="G832" r:id="rId811" xr:uid="{F5EC6EE1-E791-4255-A36A-ED2CB561FB90}"/>
    <hyperlink ref="G855" r:id="rId812" xr:uid="{2EC810D0-75E4-423B-8D0E-A5542D605551}"/>
    <hyperlink ref="G886" r:id="rId813" display="../../../../../../:b:/r/teams/CTM-OTGentStad/Shared Documents/General/EAF/CSI(nieuwe sharepoint) 2025/10. Oktober/EAF 5265 Gent 30102025.pdf?csf=1&amp;web=1&amp;e=NaWAmZ" xr:uid="{6175BD97-45D3-4C4B-89F5-1EBC00B4F100}"/>
    <hyperlink ref="G902" r:id="rId814" xr:uid="{7FC56684-76EF-413B-A479-630E352B6909}"/>
    <hyperlink ref="G935" r:id="rId815" xr:uid="{50122D17-431D-43AA-9ABC-AEFAB9EA17E3}"/>
    <hyperlink ref="G984" r:id="rId816" xr:uid="{36164D36-2CC1-4D35-98EA-C1FBAF0FF8EE}"/>
    <hyperlink ref="G980" r:id="rId817" display="../../../../../../:b:/r/teams/CTM-OTGentStad/Shared Documents/General/EAF/CSI(nieuwe sharepoint) 2025/11. November/EAF 6366 Gent 23112025.pdf?csf=1&amp;web=1&amp;e=cvlkvp" xr:uid="{0030A170-31C4-4842-A461-482572E7A865}"/>
    <hyperlink ref="G995" r:id="rId818" xr:uid="{3F387062-C57E-41FF-BB5B-7B5F0B4FF2FC}"/>
    <hyperlink ref="G1010" r:id="rId819" xr:uid="{908321A8-97E3-471D-83F8-820946C779B6}"/>
    <hyperlink ref="G1007" r:id="rId820" xr:uid="{B0521AE7-9C0F-43E0-A3E5-AA73352093C6}"/>
    <hyperlink ref="G611" r:id="rId821" display="../../../../../../:b:/r/teams/CTM-OTGentStad/Shared Documents/General/EAF/CSI(nieuwe sharepoint) 2025/2. Februari/EAF 6320 Gent Zonnestraat 27022025 El-Mohamed Mohamed.pdf?csf=1&amp;web=1&amp;e=HDfU0X" xr:uid="{7A76C30E-074A-4C0C-9C1A-515B00820D14}"/>
    <hyperlink ref="G1012" r:id="rId822" display="../../../../../../:b:/r/teams/CTM-OTGentStad/Shared Documents/General/EAF/CSI(nieuwe sharepoint) 2025/12. December/EAF 2546 09122025 Gent 41918.pdf?csf=1&amp;web=1&amp;e=IKXhet" xr:uid="{6AA12E8E-B6FD-4B54-BC64-098DB401CF1D}"/>
    <hyperlink ref="G1031" r:id="rId823" xr:uid="{6FE9969A-B54A-4615-A7B8-C87943DC1E26}"/>
    <hyperlink ref="G1038" r:id="rId824" display="../../../../../../:b:/r/teams/CTM-OTGentStad/Shared Documents/General/EAF/CSI(nieuwe sharepoint) 2025/12. December/EAF 5265 Gent 30122025 31731.pdf?csf=1&amp;web=1&amp;e=KLK8Br" xr:uid="{57E80E49-19B2-4994-AC12-B2A654DD7592}"/>
    <hyperlink ref="G1041" r:id="rId825" xr:uid="{AD9694C1-D914-45EC-B1CE-644F01E37076}"/>
    <hyperlink ref="G1043" r:id="rId826" xr:uid="{A9523180-CBDF-47D5-BFD9-C395AD729C30}"/>
    <hyperlink ref="G1042" r:id="rId827" xr:uid="{C9D92904-F73A-44AD-90C2-57362A319F36}"/>
    <hyperlink ref="G1045" r:id="rId828" xr:uid="{E392B108-C08D-4BB9-8B67-AE837242D74F}"/>
    <hyperlink ref="G542" r:id="rId829" xr:uid="{6FEC4E55-6E81-4D52-BE06-E2ABA69CF0ED}"/>
  </hyperlinks>
  <pageMargins left="0.7" right="0.7" top="0.75" bottom="0.75" header="0.3" footer="0.3"/>
  <pageSetup paperSize="9" orientation="portrait" r:id="rId830"/>
  <drawing r:id="rId831"/>
  <tableParts count="1">
    <tablePart r:id="rId8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EC30-F499-477F-A730-3418843A8D38}">
  <dimension ref="A1:C218"/>
  <sheetViews>
    <sheetView topLeftCell="A204" workbookViewId="0">
      <selection activeCell="A219" sqref="A219"/>
    </sheetView>
  </sheetViews>
  <sheetFormatPr defaultRowHeight="15" x14ac:dyDescent="0.25"/>
  <cols>
    <col min="1" max="1" width="18.140625" customWidth="1"/>
    <col min="2" max="2" width="10.140625" bestFit="1" customWidth="1"/>
  </cols>
  <sheetData>
    <row r="1" spans="1:3" x14ac:dyDescent="0.25">
      <c r="A1" t="s">
        <v>1309</v>
      </c>
    </row>
    <row r="2" spans="1:3" x14ac:dyDescent="0.25">
      <c r="A2" t="s">
        <v>1310</v>
      </c>
      <c r="B2" t="s">
        <v>1311</v>
      </c>
      <c r="C2" t="s">
        <v>1312</v>
      </c>
    </row>
    <row r="3" spans="1:3" x14ac:dyDescent="0.25">
      <c r="A3">
        <v>5360</v>
      </c>
      <c r="B3" t="s">
        <v>1313</v>
      </c>
      <c r="C3" t="s">
        <v>213</v>
      </c>
    </row>
    <row r="4" spans="1:3" x14ac:dyDescent="0.25">
      <c r="A4">
        <v>5367</v>
      </c>
      <c r="B4" t="s">
        <v>1313</v>
      </c>
      <c r="C4" t="s">
        <v>213</v>
      </c>
    </row>
    <row r="5" spans="1:3" x14ac:dyDescent="0.25">
      <c r="A5">
        <v>5369</v>
      </c>
      <c r="B5" t="s">
        <v>1313</v>
      </c>
      <c r="C5" t="s">
        <v>213</v>
      </c>
    </row>
    <row r="6" spans="1:3" x14ac:dyDescent="0.25">
      <c r="A6">
        <v>4665</v>
      </c>
      <c r="B6" t="s">
        <v>1314</v>
      </c>
      <c r="C6" t="s">
        <v>213</v>
      </c>
    </row>
    <row r="7" spans="1:3" x14ac:dyDescent="0.25">
      <c r="A7">
        <v>4666</v>
      </c>
      <c r="B7" t="s">
        <v>1314</v>
      </c>
      <c r="C7" t="s">
        <v>213</v>
      </c>
    </row>
    <row r="8" spans="1:3" x14ac:dyDescent="0.25">
      <c r="A8">
        <v>4667</v>
      </c>
      <c r="B8" t="s">
        <v>1314</v>
      </c>
      <c r="C8" t="s">
        <v>213</v>
      </c>
    </row>
    <row r="9" spans="1:3" x14ac:dyDescent="0.25">
      <c r="A9">
        <v>4670</v>
      </c>
      <c r="B9" t="s">
        <v>1314</v>
      </c>
      <c r="C9" t="s">
        <v>213</v>
      </c>
    </row>
    <row r="10" spans="1:3" x14ac:dyDescent="0.25">
      <c r="A10">
        <v>4672</v>
      </c>
      <c r="B10" t="s">
        <v>1314</v>
      </c>
      <c r="C10" t="s">
        <v>213</v>
      </c>
    </row>
    <row r="11" spans="1:3" x14ac:dyDescent="0.25">
      <c r="A11">
        <v>4676</v>
      </c>
      <c r="B11" t="s">
        <v>1314</v>
      </c>
      <c r="C11" t="s">
        <v>213</v>
      </c>
    </row>
    <row r="12" spans="1:3" x14ac:dyDescent="0.25">
      <c r="A12">
        <v>4678</v>
      </c>
      <c r="B12" t="s">
        <v>1314</v>
      </c>
      <c r="C12" t="s">
        <v>213</v>
      </c>
    </row>
    <row r="13" spans="1:3" x14ac:dyDescent="0.25">
      <c r="A13">
        <v>5790</v>
      </c>
      <c r="B13" t="s">
        <v>5</v>
      </c>
      <c r="C13" t="s">
        <v>213</v>
      </c>
    </row>
    <row r="14" spans="1:3" x14ac:dyDescent="0.25">
      <c r="A14">
        <v>5795</v>
      </c>
      <c r="B14" t="s">
        <v>5</v>
      </c>
      <c r="C14" t="s">
        <v>213</v>
      </c>
    </row>
    <row r="15" spans="1:3" x14ac:dyDescent="0.25">
      <c r="A15">
        <v>5221</v>
      </c>
      <c r="B15" t="s">
        <v>1313</v>
      </c>
      <c r="C15" t="s">
        <v>213</v>
      </c>
    </row>
    <row r="16" spans="1:3" x14ac:dyDescent="0.25">
      <c r="A16">
        <v>5225</v>
      </c>
      <c r="B16" t="s">
        <v>1313</v>
      </c>
      <c r="C16" t="s">
        <v>213</v>
      </c>
    </row>
    <row r="17" spans="1:3" x14ac:dyDescent="0.25">
      <c r="A17">
        <v>5229</v>
      </c>
      <c r="B17" t="s">
        <v>1313</v>
      </c>
      <c r="C17" t="s">
        <v>213</v>
      </c>
    </row>
    <row r="18" spans="1:3" x14ac:dyDescent="0.25">
      <c r="A18">
        <v>5230</v>
      </c>
      <c r="B18" t="s">
        <v>1313</v>
      </c>
      <c r="C18" t="s">
        <v>213</v>
      </c>
    </row>
    <row r="19" spans="1:3" x14ac:dyDescent="0.25">
      <c r="A19">
        <v>5231</v>
      </c>
      <c r="B19" t="s">
        <v>1313</v>
      </c>
      <c r="C19" t="s">
        <v>213</v>
      </c>
    </row>
    <row r="20" spans="1:3" x14ac:dyDescent="0.25">
      <c r="A20">
        <v>5232</v>
      </c>
      <c r="B20" t="s">
        <v>1313</v>
      </c>
      <c r="C20" t="s">
        <v>213</v>
      </c>
    </row>
    <row r="21" spans="1:3" x14ac:dyDescent="0.25">
      <c r="A21">
        <v>5233</v>
      </c>
      <c r="B21" t="s">
        <v>1313</v>
      </c>
      <c r="C21" t="s">
        <v>213</v>
      </c>
    </row>
    <row r="22" spans="1:3" x14ac:dyDescent="0.25">
      <c r="A22">
        <v>5234</v>
      </c>
      <c r="B22" t="s">
        <v>1313</v>
      </c>
      <c r="C22" t="s">
        <v>213</v>
      </c>
    </row>
    <row r="23" spans="1:3" x14ac:dyDescent="0.25">
      <c r="A23">
        <v>5235</v>
      </c>
      <c r="B23" t="s">
        <v>1313</v>
      </c>
      <c r="C23" t="s">
        <v>213</v>
      </c>
    </row>
    <row r="24" spans="1:3" x14ac:dyDescent="0.25">
      <c r="A24">
        <v>5237</v>
      </c>
      <c r="B24" t="s">
        <v>1313</v>
      </c>
      <c r="C24" t="s">
        <v>213</v>
      </c>
    </row>
    <row r="25" spans="1:3" x14ac:dyDescent="0.25">
      <c r="A25">
        <v>5238</v>
      </c>
      <c r="B25" t="s">
        <v>1313</v>
      </c>
      <c r="C25" t="s">
        <v>213</v>
      </c>
    </row>
    <row r="26" spans="1:3" x14ac:dyDescent="0.25">
      <c r="A26">
        <v>5239</v>
      </c>
      <c r="B26" t="s">
        <v>1313</v>
      </c>
      <c r="C26" t="s">
        <v>213</v>
      </c>
    </row>
    <row r="27" spans="1:3" x14ac:dyDescent="0.25">
      <c r="A27">
        <v>5240</v>
      </c>
      <c r="B27" t="s">
        <v>1313</v>
      </c>
      <c r="C27" t="s">
        <v>213</v>
      </c>
    </row>
    <row r="28" spans="1:3" x14ac:dyDescent="0.25">
      <c r="A28">
        <v>5241</v>
      </c>
      <c r="B28" t="s">
        <v>1313</v>
      </c>
      <c r="C28" t="s">
        <v>213</v>
      </c>
    </row>
    <row r="29" spans="1:3" x14ac:dyDescent="0.25">
      <c r="A29">
        <v>5259</v>
      </c>
      <c r="B29" t="s">
        <v>1313</v>
      </c>
      <c r="C29" t="s">
        <v>213</v>
      </c>
    </row>
    <row r="30" spans="1:3" x14ac:dyDescent="0.25">
      <c r="A30">
        <v>5260</v>
      </c>
      <c r="B30" t="s">
        <v>1313</v>
      </c>
      <c r="C30" t="s">
        <v>213</v>
      </c>
    </row>
    <row r="31" spans="1:3" x14ac:dyDescent="0.25">
      <c r="A31">
        <v>5261</v>
      </c>
      <c r="B31" t="s">
        <v>1313</v>
      </c>
      <c r="C31" t="s">
        <v>213</v>
      </c>
    </row>
    <row r="32" spans="1:3" x14ac:dyDescent="0.25">
      <c r="A32">
        <v>5262</v>
      </c>
      <c r="B32" t="s">
        <v>1313</v>
      </c>
      <c r="C32" t="s">
        <v>213</v>
      </c>
    </row>
    <row r="33" spans="1:3" x14ac:dyDescent="0.25">
      <c r="A33">
        <v>5263</v>
      </c>
      <c r="B33" t="s">
        <v>1313</v>
      </c>
      <c r="C33" t="s">
        <v>213</v>
      </c>
    </row>
    <row r="34" spans="1:3" x14ac:dyDescent="0.25">
      <c r="A34">
        <v>5264</v>
      </c>
      <c r="B34" t="s">
        <v>1313</v>
      </c>
      <c r="C34" t="s">
        <v>213</v>
      </c>
    </row>
    <row r="35" spans="1:3" x14ac:dyDescent="0.25">
      <c r="A35">
        <v>5265</v>
      </c>
      <c r="B35" t="s">
        <v>1313</v>
      </c>
      <c r="C35" t="s">
        <v>213</v>
      </c>
    </row>
    <row r="36" spans="1:3" x14ac:dyDescent="0.25">
      <c r="A36">
        <v>5266</v>
      </c>
      <c r="B36" t="s">
        <v>1313</v>
      </c>
      <c r="C36" t="s">
        <v>213</v>
      </c>
    </row>
    <row r="37" spans="1:3" x14ac:dyDescent="0.25">
      <c r="A37">
        <v>5267</v>
      </c>
      <c r="B37" t="s">
        <v>1313</v>
      </c>
      <c r="C37" t="s">
        <v>213</v>
      </c>
    </row>
    <row r="38" spans="1:3" x14ac:dyDescent="0.25">
      <c r="A38">
        <v>5271</v>
      </c>
      <c r="B38" t="s">
        <v>1313</v>
      </c>
      <c r="C38" t="s">
        <v>213</v>
      </c>
    </row>
    <row r="39" spans="1:3" x14ac:dyDescent="0.25">
      <c r="A39">
        <v>5272</v>
      </c>
      <c r="B39" t="s">
        <v>1313</v>
      </c>
      <c r="C39" t="s">
        <v>213</v>
      </c>
    </row>
    <row r="40" spans="1:3" x14ac:dyDescent="0.25">
      <c r="A40">
        <v>5273</v>
      </c>
      <c r="B40" t="s">
        <v>1313</v>
      </c>
      <c r="C40" t="s">
        <v>213</v>
      </c>
    </row>
    <row r="41" spans="1:3" x14ac:dyDescent="0.25">
      <c r="A41">
        <v>5039</v>
      </c>
      <c r="B41" t="s">
        <v>1313</v>
      </c>
      <c r="C41" t="s">
        <v>213</v>
      </c>
    </row>
    <row r="42" spans="1:3" x14ac:dyDescent="0.25">
      <c r="A42">
        <v>5040</v>
      </c>
      <c r="B42" t="s">
        <v>1313</v>
      </c>
      <c r="C42" t="s">
        <v>213</v>
      </c>
    </row>
    <row r="43" spans="1:3" x14ac:dyDescent="0.25">
      <c r="A43">
        <v>5041</v>
      </c>
      <c r="B43" t="s">
        <v>1313</v>
      </c>
      <c r="C43" t="s">
        <v>213</v>
      </c>
    </row>
    <row r="44" spans="1:3" x14ac:dyDescent="0.25">
      <c r="A44">
        <v>5042</v>
      </c>
      <c r="B44" t="s">
        <v>1313</v>
      </c>
      <c r="C44" t="s">
        <v>213</v>
      </c>
    </row>
    <row r="45" spans="1:3" x14ac:dyDescent="0.25">
      <c r="A45">
        <v>5043</v>
      </c>
      <c r="B45" t="s">
        <v>1313</v>
      </c>
      <c r="C45" t="s">
        <v>213</v>
      </c>
    </row>
    <row r="46" spans="1:3" x14ac:dyDescent="0.25">
      <c r="A46">
        <v>5044</v>
      </c>
      <c r="B46" t="s">
        <v>1313</v>
      </c>
      <c r="C46" t="s">
        <v>213</v>
      </c>
    </row>
    <row r="47" spans="1:3" x14ac:dyDescent="0.25">
      <c r="A47">
        <v>5045</v>
      </c>
      <c r="B47" t="s">
        <v>1313</v>
      </c>
      <c r="C47" t="s">
        <v>213</v>
      </c>
    </row>
    <row r="48" spans="1:3" x14ac:dyDescent="0.25">
      <c r="A48">
        <v>5046</v>
      </c>
      <c r="B48" t="s">
        <v>1313</v>
      </c>
      <c r="C48" t="s">
        <v>213</v>
      </c>
    </row>
    <row r="49" spans="1:3" x14ac:dyDescent="0.25">
      <c r="A49">
        <v>5047</v>
      </c>
      <c r="B49" t="s">
        <v>1313</v>
      </c>
      <c r="C49" t="s">
        <v>213</v>
      </c>
    </row>
    <row r="50" spans="1:3" x14ac:dyDescent="0.25">
      <c r="A50">
        <v>5048</v>
      </c>
      <c r="B50" t="s">
        <v>1313</v>
      </c>
      <c r="C50" t="s">
        <v>213</v>
      </c>
    </row>
    <row r="51" spans="1:3" x14ac:dyDescent="0.25">
      <c r="A51">
        <v>5049</v>
      </c>
      <c r="B51" t="s">
        <v>1313</v>
      </c>
      <c r="C51" t="s">
        <v>213</v>
      </c>
    </row>
    <row r="52" spans="1:3" x14ac:dyDescent="0.25">
      <c r="A52">
        <v>5050</v>
      </c>
      <c r="B52" t="s">
        <v>1313</v>
      </c>
      <c r="C52" t="s">
        <v>213</v>
      </c>
    </row>
    <row r="53" spans="1:3" x14ac:dyDescent="0.25">
      <c r="A53">
        <v>5051</v>
      </c>
      <c r="B53" t="s">
        <v>1313</v>
      </c>
      <c r="C53" t="s">
        <v>213</v>
      </c>
    </row>
    <row r="54" spans="1:3" x14ac:dyDescent="0.25">
      <c r="A54">
        <v>5052</v>
      </c>
      <c r="B54" t="s">
        <v>1313</v>
      </c>
      <c r="C54" t="s">
        <v>213</v>
      </c>
    </row>
    <row r="55" spans="1:3" x14ac:dyDescent="0.25">
      <c r="A55">
        <v>5053</v>
      </c>
      <c r="B55" t="s">
        <v>1313</v>
      </c>
      <c r="C55" t="s">
        <v>213</v>
      </c>
    </row>
    <row r="56" spans="1:3" x14ac:dyDescent="0.25">
      <c r="A56">
        <v>5054</v>
      </c>
      <c r="B56" t="s">
        <v>1313</v>
      </c>
      <c r="C56" t="s">
        <v>213</v>
      </c>
    </row>
    <row r="57" spans="1:3" x14ac:dyDescent="0.25">
      <c r="A57">
        <v>2189</v>
      </c>
      <c r="B57" t="s">
        <v>1313</v>
      </c>
      <c r="C57" t="s">
        <v>213</v>
      </c>
    </row>
    <row r="58" spans="1:3" x14ac:dyDescent="0.25">
      <c r="A58">
        <v>2190</v>
      </c>
      <c r="B58" t="s">
        <v>1313</v>
      </c>
      <c r="C58" t="s">
        <v>213</v>
      </c>
    </row>
    <row r="59" spans="1:3" x14ac:dyDescent="0.25">
      <c r="A59">
        <v>2191</v>
      </c>
      <c r="B59" t="s">
        <v>1313</v>
      </c>
      <c r="C59" t="s">
        <v>213</v>
      </c>
    </row>
    <row r="60" spans="1:3" x14ac:dyDescent="0.25">
      <c r="A60">
        <v>2192</v>
      </c>
      <c r="B60" t="s">
        <v>1313</v>
      </c>
      <c r="C60" t="s">
        <v>213</v>
      </c>
    </row>
    <row r="61" spans="1:3" x14ac:dyDescent="0.25">
      <c r="A61">
        <v>2193</v>
      </c>
      <c r="B61" t="s">
        <v>1313</v>
      </c>
      <c r="C61" t="s">
        <v>213</v>
      </c>
    </row>
    <row r="62" spans="1:3" x14ac:dyDescent="0.25">
      <c r="A62">
        <v>2194</v>
      </c>
      <c r="B62" t="s">
        <v>1313</v>
      </c>
      <c r="C62" t="s">
        <v>213</v>
      </c>
    </row>
    <row r="63" spans="1:3" x14ac:dyDescent="0.25">
      <c r="A63">
        <v>2195</v>
      </c>
      <c r="B63" t="s">
        <v>1313</v>
      </c>
      <c r="C63" t="s">
        <v>213</v>
      </c>
    </row>
    <row r="64" spans="1:3" x14ac:dyDescent="0.25">
      <c r="A64">
        <v>2196</v>
      </c>
      <c r="B64" t="s">
        <v>1313</v>
      </c>
      <c r="C64" t="s">
        <v>213</v>
      </c>
    </row>
    <row r="65" spans="1:3" x14ac:dyDescent="0.25">
      <c r="A65">
        <v>2197</v>
      </c>
      <c r="B65" t="s">
        <v>1313</v>
      </c>
      <c r="C65" t="s">
        <v>213</v>
      </c>
    </row>
    <row r="66" spans="1:3" x14ac:dyDescent="0.25">
      <c r="A66">
        <v>2198</v>
      </c>
      <c r="B66" t="s">
        <v>1313</v>
      </c>
      <c r="C66" t="s">
        <v>213</v>
      </c>
    </row>
    <row r="67" spans="1:3" x14ac:dyDescent="0.25">
      <c r="A67">
        <v>2199</v>
      </c>
      <c r="B67" t="s">
        <v>1313</v>
      </c>
      <c r="C67" t="s">
        <v>213</v>
      </c>
    </row>
    <row r="68" spans="1:3" x14ac:dyDescent="0.25">
      <c r="A68">
        <v>2200</v>
      </c>
      <c r="B68" t="s">
        <v>1313</v>
      </c>
      <c r="C68" t="s">
        <v>213</v>
      </c>
    </row>
    <row r="69" spans="1:3" x14ac:dyDescent="0.25">
      <c r="A69">
        <v>2201</v>
      </c>
      <c r="B69" t="s">
        <v>1313</v>
      </c>
      <c r="C69" t="s">
        <v>213</v>
      </c>
    </row>
    <row r="70" spans="1:3" x14ac:dyDescent="0.25">
      <c r="A70">
        <v>2202</v>
      </c>
      <c r="B70" t="s">
        <v>1313</v>
      </c>
      <c r="C70" t="s">
        <v>213</v>
      </c>
    </row>
    <row r="71" spans="1:3" x14ac:dyDescent="0.25">
      <c r="A71">
        <v>2203</v>
      </c>
      <c r="B71" t="s">
        <v>1313</v>
      </c>
      <c r="C71" t="s">
        <v>213</v>
      </c>
    </row>
    <row r="72" spans="1:3" x14ac:dyDescent="0.25">
      <c r="A72">
        <v>2204</v>
      </c>
      <c r="B72" t="s">
        <v>1313</v>
      </c>
      <c r="C72" t="s">
        <v>213</v>
      </c>
    </row>
    <row r="73" spans="1:3" x14ac:dyDescent="0.25">
      <c r="A73">
        <v>2205</v>
      </c>
      <c r="B73" t="s">
        <v>1313</v>
      </c>
      <c r="C73" t="s">
        <v>213</v>
      </c>
    </row>
    <row r="74" spans="1:3" x14ac:dyDescent="0.25">
      <c r="A74">
        <v>2206</v>
      </c>
      <c r="B74" t="s">
        <v>1313</v>
      </c>
      <c r="C74" t="s">
        <v>213</v>
      </c>
    </row>
    <row r="75" spans="1:3" x14ac:dyDescent="0.25">
      <c r="A75">
        <v>2207</v>
      </c>
      <c r="B75" t="s">
        <v>1313</v>
      </c>
      <c r="C75" t="s">
        <v>213</v>
      </c>
    </row>
    <row r="76" spans="1:3" x14ac:dyDescent="0.25">
      <c r="A76">
        <v>2208</v>
      </c>
      <c r="B76" t="s">
        <v>1313</v>
      </c>
      <c r="C76" t="s">
        <v>213</v>
      </c>
    </row>
    <row r="77" spans="1:3" x14ac:dyDescent="0.25">
      <c r="A77">
        <v>5324</v>
      </c>
      <c r="B77" t="s">
        <v>1313</v>
      </c>
      <c r="C77" t="s">
        <v>213</v>
      </c>
    </row>
    <row r="78" spans="1:3" x14ac:dyDescent="0.25">
      <c r="A78">
        <v>5325</v>
      </c>
      <c r="B78" t="s">
        <v>1313</v>
      </c>
      <c r="C78" t="s">
        <v>213</v>
      </c>
    </row>
    <row r="79" spans="1:3" x14ac:dyDescent="0.25">
      <c r="A79">
        <v>5326</v>
      </c>
      <c r="B79" t="s">
        <v>1313</v>
      </c>
      <c r="C79" t="s">
        <v>213</v>
      </c>
    </row>
    <row r="80" spans="1:3" x14ac:dyDescent="0.25">
      <c r="A80">
        <v>5327</v>
      </c>
      <c r="B80" t="s">
        <v>1313</v>
      </c>
      <c r="C80" t="s">
        <v>213</v>
      </c>
    </row>
    <row r="81" spans="1:3" x14ac:dyDescent="0.25">
      <c r="A81">
        <v>5328</v>
      </c>
      <c r="B81" t="s">
        <v>1313</v>
      </c>
      <c r="C81" t="s">
        <v>213</v>
      </c>
    </row>
    <row r="82" spans="1:3" x14ac:dyDescent="0.25">
      <c r="A82">
        <v>2546</v>
      </c>
      <c r="B82" t="s">
        <v>1315</v>
      </c>
      <c r="C82" t="s">
        <v>213</v>
      </c>
    </row>
    <row r="83" spans="1:3" x14ac:dyDescent="0.25">
      <c r="A83">
        <v>2548</v>
      </c>
      <c r="B83" t="s">
        <v>1315</v>
      </c>
      <c r="C83" t="s">
        <v>213</v>
      </c>
    </row>
    <row r="84" spans="1:3" x14ac:dyDescent="0.25">
      <c r="A84">
        <v>2549</v>
      </c>
      <c r="B84" t="s">
        <v>1315</v>
      </c>
      <c r="C84" t="s">
        <v>213</v>
      </c>
    </row>
    <row r="85" spans="1:3" x14ac:dyDescent="0.25">
      <c r="A85">
        <v>5763</v>
      </c>
      <c r="B85" t="s">
        <v>5</v>
      </c>
      <c r="C85" t="s">
        <v>213</v>
      </c>
    </row>
    <row r="86" spans="1:3" x14ac:dyDescent="0.25">
      <c r="A86">
        <v>5764</v>
      </c>
      <c r="B86" t="s">
        <v>5</v>
      </c>
      <c r="C86" t="s">
        <v>213</v>
      </c>
    </row>
    <row r="87" spans="1:3" x14ac:dyDescent="0.25">
      <c r="A87">
        <v>5765</v>
      </c>
      <c r="B87" t="s">
        <v>5</v>
      </c>
      <c r="C87" t="s">
        <v>213</v>
      </c>
    </row>
    <row r="88" spans="1:3" x14ac:dyDescent="0.25">
      <c r="A88">
        <v>5766</v>
      </c>
      <c r="B88" t="s">
        <v>5</v>
      </c>
      <c r="C88" t="s">
        <v>213</v>
      </c>
    </row>
    <row r="89" spans="1:3" x14ac:dyDescent="0.25">
      <c r="A89">
        <v>5767</v>
      </c>
      <c r="B89" t="s">
        <v>5</v>
      </c>
      <c r="C89" t="s">
        <v>213</v>
      </c>
    </row>
    <row r="90" spans="1:3" x14ac:dyDescent="0.25">
      <c r="A90">
        <v>5768</v>
      </c>
      <c r="B90" t="s">
        <v>5</v>
      </c>
      <c r="C90" t="s">
        <v>213</v>
      </c>
    </row>
    <row r="91" spans="1:3" x14ac:dyDescent="0.25">
      <c r="A91">
        <v>5769</v>
      </c>
      <c r="B91" t="s">
        <v>5</v>
      </c>
      <c r="C91" t="s">
        <v>213</v>
      </c>
    </row>
    <row r="92" spans="1:3" x14ac:dyDescent="0.25">
      <c r="A92">
        <v>5770</v>
      </c>
      <c r="B92" t="s">
        <v>5</v>
      </c>
      <c r="C92" t="s">
        <v>213</v>
      </c>
    </row>
    <row r="93" spans="1:3" x14ac:dyDescent="0.25">
      <c r="A93">
        <v>5771</v>
      </c>
      <c r="B93" t="s">
        <v>5</v>
      </c>
      <c r="C93" t="s">
        <v>213</v>
      </c>
    </row>
    <row r="94" spans="1:3" x14ac:dyDescent="0.25">
      <c r="A94">
        <v>5772</v>
      </c>
      <c r="B94" t="s">
        <v>5</v>
      </c>
      <c r="C94" t="s">
        <v>213</v>
      </c>
    </row>
    <row r="95" spans="1:3" x14ac:dyDescent="0.25">
      <c r="A95">
        <v>5773</v>
      </c>
      <c r="B95" t="s">
        <v>5</v>
      </c>
      <c r="C95" t="s">
        <v>213</v>
      </c>
    </row>
    <row r="96" spans="1:3" x14ac:dyDescent="0.25">
      <c r="A96">
        <v>5774</v>
      </c>
      <c r="B96" t="s">
        <v>5</v>
      </c>
      <c r="C96" t="s">
        <v>213</v>
      </c>
    </row>
    <row r="97" spans="1:3" x14ac:dyDescent="0.25">
      <c r="A97">
        <v>5909</v>
      </c>
      <c r="B97" t="s">
        <v>5</v>
      </c>
      <c r="C97" t="s">
        <v>213</v>
      </c>
    </row>
    <row r="98" spans="1:3" x14ac:dyDescent="0.25">
      <c r="A98">
        <v>5910</v>
      </c>
      <c r="B98" t="s">
        <v>5</v>
      </c>
      <c r="C98" t="s">
        <v>213</v>
      </c>
    </row>
    <row r="99" spans="1:3" x14ac:dyDescent="0.25">
      <c r="A99">
        <v>5911</v>
      </c>
      <c r="B99" t="s">
        <v>5</v>
      </c>
      <c r="C99" t="s">
        <v>213</v>
      </c>
    </row>
    <row r="100" spans="1:3" x14ac:dyDescent="0.25">
      <c r="A100">
        <v>5912</v>
      </c>
      <c r="B100" t="s">
        <v>5</v>
      </c>
      <c r="C100" t="s">
        <v>213</v>
      </c>
    </row>
    <row r="101" spans="1:3" x14ac:dyDescent="0.25">
      <c r="A101">
        <v>5913</v>
      </c>
      <c r="B101" t="s">
        <v>5</v>
      </c>
      <c r="C101" t="s">
        <v>213</v>
      </c>
    </row>
    <row r="102" spans="1:3" x14ac:dyDescent="0.25">
      <c r="A102">
        <v>5914</v>
      </c>
      <c r="B102" t="s">
        <v>5</v>
      </c>
      <c r="C102" t="s">
        <v>213</v>
      </c>
    </row>
    <row r="103" spans="1:3" x14ac:dyDescent="0.25">
      <c r="A103">
        <v>5915</v>
      </c>
      <c r="B103" t="s">
        <v>5</v>
      </c>
      <c r="C103" t="s">
        <v>213</v>
      </c>
    </row>
    <row r="104" spans="1:3" x14ac:dyDescent="0.25">
      <c r="A104">
        <v>5916</v>
      </c>
      <c r="B104" t="s">
        <v>5</v>
      </c>
      <c r="C104" t="s">
        <v>213</v>
      </c>
    </row>
    <row r="105" spans="1:3" x14ac:dyDescent="0.25">
      <c r="A105">
        <v>5917</v>
      </c>
      <c r="B105" t="s">
        <v>5</v>
      </c>
      <c r="C105" t="s">
        <v>213</v>
      </c>
    </row>
    <row r="106" spans="1:3" x14ac:dyDescent="0.25">
      <c r="A106">
        <v>5918</v>
      </c>
      <c r="B106" t="s">
        <v>5</v>
      </c>
      <c r="C106" t="s">
        <v>213</v>
      </c>
    </row>
    <row r="107" spans="1:3" x14ac:dyDescent="0.25">
      <c r="A107">
        <v>5484</v>
      </c>
      <c r="B107" t="s">
        <v>5</v>
      </c>
      <c r="C107" t="s">
        <v>213</v>
      </c>
    </row>
    <row r="108" spans="1:3" x14ac:dyDescent="0.25">
      <c r="A108">
        <v>5485</v>
      </c>
      <c r="B108" t="s">
        <v>5</v>
      </c>
      <c r="C108" t="s">
        <v>213</v>
      </c>
    </row>
    <row r="109" spans="1:3" x14ac:dyDescent="0.25">
      <c r="A109">
        <v>5486</v>
      </c>
      <c r="B109" t="s">
        <v>5</v>
      </c>
      <c r="C109" t="s">
        <v>213</v>
      </c>
    </row>
    <row r="110" spans="1:3" x14ac:dyDescent="0.25">
      <c r="A110">
        <v>5487</v>
      </c>
      <c r="B110" t="s">
        <v>5</v>
      </c>
      <c r="C110" t="s">
        <v>213</v>
      </c>
    </row>
    <row r="111" spans="1:3" x14ac:dyDescent="0.25">
      <c r="A111">
        <v>5488</v>
      </c>
      <c r="B111" t="s">
        <v>5</v>
      </c>
      <c r="C111" t="s">
        <v>213</v>
      </c>
    </row>
    <row r="112" spans="1:3" x14ac:dyDescent="0.25">
      <c r="A112">
        <v>5919</v>
      </c>
      <c r="B112" t="s">
        <v>5</v>
      </c>
      <c r="C112" t="s">
        <v>213</v>
      </c>
    </row>
    <row r="113" spans="1:3" x14ac:dyDescent="0.25">
      <c r="A113">
        <v>5920</v>
      </c>
      <c r="B113" t="s">
        <v>5</v>
      </c>
      <c r="C113" t="s">
        <v>213</v>
      </c>
    </row>
    <row r="114" spans="1:3" x14ac:dyDescent="0.25">
      <c r="A114">
        <v>5921</v>
      </c>
      <c r="B114" t="s">
        <v>5</v>
      </c>
      <c r="C114" t="s">
        <v>213</v>
      </c>
    </row>
    <row r="115" spans="1:3" x14ac:dyDescent="0.25">
      <c r="A115">
        <v>5922</v>
      </c>
      <c r="B115" t="s">
        <v>5</v>
      </c>
      <c r="C115" t="s">
        <v>213</v>
      </c>
    </row>
    <row r="116" spans="1:3" x14ac:dyDescent="0.25">
      <c r="A116">
        <v>5923</v>
      </c>
      <c r="B116" t="s">
        <v>5</v>
      </c>
      <c r="C116" t="s">
        <v>213</v>
      </c>
    </row>
    <row r="117" spans="1:3" x14ac:dyDescent="0.25">
      <c r="A117">
        <v>5924</v>
      </c>
      <c r="B117" t="s">
        <v>5</v>
      </c>
      <c r="C117" t="s">
        <v>213</v>
      </c>
    </row>
    <row r="118" spans="1:3" x14ac:dyDescent="0.25">
      <c r="A118">
        <v>5925</v>
      </c>
      <c r="B118" t="s">
        <v>5</v>
      </c>
      <c r="C118" t="s">
        <v>213</v>
      </c>
    </row>
    <row r="119" spans="1:3" x14ac:dyDescent="0.25">
      <c r="A119">
        <v>5926</v>
      </c>
      <c r="B119" t="s">
        <v>5</v>
      </c>
      <c r="C119" t="s">
        <v>213</v>
      </c>
    </row>
    <row r="120" spans="1:3" x14ac:dyDescent="0.25">
      <c r="A120">
        <v>5927</v>
      </c>
      <c r="B120" t="s">
        <v>5</v>
      </c>
      <c r="C120" t="s">
        <v>213</v>
      </c>
    </row>
    <row r="121" spans="1:3" x14ac:dyDescent="0.25">
      <c r="A121">
        <v>5928</v>
      </c>
      <c r="B121" t="s">
        <v>5</v>
      </c>
      <c r="C121" t="s">
        <v>213</v>
      </c>
    </row>
    <row r="122" spans="1:3" x14ac:dyDescent="0.25">
      <c r="A122">
        <v>5929</v>
      </c>
      <c r="B122" t="s">
        <v>5</v>
      </c>
      <c r="C122" t="s">
        <v>213</v>
      </c>
    </row>
    <row r="123" spans="1:3" x14ac:dyDescent="0.25">
      <c r="A123">
        <v>5930</v>
      </c>
      <c r="B123" t="s">
        <v>5</v>
      </c>
      <c r="C123" t="s">
        <v>213</v>
      </c>
    </row>
    <row r="124" spans="1:3" x14ac:dyDescent="0.25">
      <c r="A124">
        <v>5931</v>
      </c>
      <c r="B124" t="s">
        <v>5</v>
      </c>
      <c r="C124" t="s">
        <v>213</v>
      </c>
    </row>
    <row r="125" spans="1:3" x14ac:dyDescent="0.25">
      <c r="A125">
        <v>5932</v>
      </c>
      <c r="B125" t="s">
        <v>5</v>
      </c>
      <c r="C125" t="s">
        <v>213</v>
      </c>
    </row>
    <row r="126" spans="1:3" x14ac:dyDescent="0.25">
      <c r="A126">
        <v>5933</v>
      </c>
      <c r="B126" t="s">
        <v>5</v>
      </c>
      <c r="C126" t="s">
        <v>213</v>
      </c>
    </row>
    <row r="127" spans="1:3" x14ac:dyDescent="0.25">
      <c r="A127">
        <v>5934</v>
      </c>
      <c r="B127" t="s">
        <v>5</v>
      </c>
      <c r="C127" t="s">
        <v>213</v>
      </c>
    </row>
    <row r="128" spans="1:3" x14ac:dyDescent="0.25">
      <c r="A128">
        <v>5935</v>
      </c>
      <c r="B128" t="s">
        <v>5</v>
      </c>
      <c r="C128" t="s">
        <v>213</v>
      </c>
    </row>
    <row r="129" spans="1:3" x14ac:dyDescent="0.25">
      <c r="A129">
        <v>5936</v>
      </c>
      <c r="B129" t="s">
        <v>5</v>
      </c>
      <c r="C129" t="s">
        <v>213</v>
      </c>
    </row>
    <row r="130" spans="1:3" x14ac:dyDescent="0.25">
      <c r="A130">
        <v>5937</v>
      </c>
      <c r="B130" t="s">
        <v>5</v>
      </c>
      <c r="C130" t="s">
        <v>213</v>
      </c>
    </row>
    <row r="131" spans="1:3" x14ac:dyDescent="0.25">
      <c r="A131">
        <v>5938</v>
      </c>
      <c r="B131" t="s">
        <v>5</v>
      </c>
      <c r="C131" t="s">
        <v>213</v>
      </c>
    </row>
    <row r="132" spans="1:3" x14ac:dyDescent="0.25">
      <c r="A132">
        <v>550821</v>
      </c>
      <c r="B132" t="s">
        <v>1316</v>
      </c>
      <c r="C132" t="s">
        <v>213</v>
      </c>
    </row>
    <row r="133" spans="1:3" x14ac:dyDescent="0.25">
      <c r="A133">
        <v>550822</v>
      </c>
      <c r="B133" t="s">
        <v>1316</v>
      </c>
      <c r="C133" t="s">
        <v>213</v>
      </c>
    </row>
    <row r="134" spans="1:3" x14ac:dyDescent="0.25">
      <c r="A134">
        <v>613025</v>
      </c>
      <c r="B134" t="s">
        <v>1316</v>
      </c>
      <c r="C134" t="s">
        <v>213</v>
      </c>
    </row>
    <row r="135" spans="1:3" x14ac:dyDescent="0.25">
      <c r="A135">
        <v>221323</v>
      </c>
      <c r="B135" t="s">
        <v>1316</v>
      </c>
      <c r="C135" t="s">
        <v>213</v>
      </c>
    </row>
    <row r="136" spans="1:3" x14ac:dyDescent="0.25">
      <c r="A136">
        <v>104023</v>
      </c>
      <c r="B136" t="s">
        <v>1316</v>
      </c>
      <c r="C136" t="s">
        <v>213</v>
      </c>
    </row>
    <row r="137" spans="1:3" x14ac:dyDescent="0.25">
      <c r="A137" t="s">
        <v>220</v>
      </c>
      <c r="B137" t="s">
        <v>220</v>
      </c>
    </row>
    <row r="138" spans="1:3" x14ac:dyDescent="0.25">
      <c r="A138">
        <v>6309</v>
      </c>
      <c r="B138" t="s">
        <v>3</v>
      </c>
      <c r="C138" t="s">
        <v>214</v>
      </c>
    </row>
    <row r="139" spans="1:3" x14ac:dyDescent="0.25">
      <c r="A139">
        <v>6310</v>
      </c>
      <c r="B139" t="s">
        <v>3</v>
      </c>
      <c r="C139" t="s">
        <v>214</v>
      </c>
    </row>
    <row r="140" spans="1:3" x14ac:dyDescent="0.25">
      <c r="A140">
        <v>6311</v>
      </c>
      <c r="B140" t="s">
        <v>3</v>
      </c>
      <c r="C140" t="s">
        <v>214</v>
      </c>
    </row>
    <row r="141" spans="1:3" x14ac:dyDescent="0.25">
      <c r="A141">
        <v>6312</v>
      </c>
      <c r="B141" t="s">
        <v>3</v>
      </c>
      <c r="C141" t="s">
        <v>214</v>
      </c>
    </row>
    <row r="142" spans="1:3" x14ac:dyDescent="0.25">
      <c r="A142">
        <v>6313</v>
      </c>
      <c r="B142" t="s">
        <v>3</v>
      </c>
      <c r="C142" t="s">
        <v>214</v>
      </c>
    </row>
    <row r="143" spans="1:3" x14ac:dyDescent="0.25">
      <c r="A143">
        <v>6314</v>
      </c>
      <c r="B143" t="s">
        <v>3</v>
      </c>
      <c r="C143" t="s">
        <v>214</v>
      </c>
    </row>
    <row r="144" spans="1:3" x14ac:dyDescent="0.25">
      <c r="A144">
        <v>6315</v>
      </c>
      <c r="B144" t="s">
        <v>3</v>
      </c>
      <c r="C144" t="s">
        <v>214</v>
      </c>
    </row>
    <row r="145" spans="1:3" x14ac:dyDescent="0.25">
      <c r="A145">
        <v>6316</v>
      </c>
      <c r="B145" t="s">
        <v>3</v>
      </c>
      <c r="C145" t="s">
        <v>214</v>
      </c>
    </row>
    <row r="146" spans="1:3" x14ac:dyDescent="0.25">
      <c r="A146">
        <v>6317</v>
      </c>
      <c r="B146" t="s">
        <v>3</v>
      </c>
      <c r="C146" t="s">
        <v>214</v>
      </c>
    </row>
    <row r="147" spans="1:3" x14ac:dyDescent="0.25">
      <c r="A147">
        <v>6318</v>
      </c>
      <c r="B147" t="s">
        <v>3</v>
      </c>
      <c r="C147" t="s">
        <v>214</v>
      </c>
    </row>
    <row r="148" spans="1:3" x14ac:dyDescent="0.25">
      <c r="A148">
        <v>6319</v>
      </c>
      <c r="B148" t="s">
        <v>3</v>
      </c>
      <c r="C148" t="s">
        <v>214</v>
      </c>
    </row>
    <row r="149" spans="1:3" x14ac:dyDescent="0.25">
      <c r="A149">
        <v>6320</v>
      </c>
      <c r="B149" t="s">
        <v>3</v>
      </c>
      <c r="C149" t="s">
        <v>214</v>
      </c>
    </row>
    <row r="150" spans="1:3" x14ac:dyDescent="0.25">
      <c r="A150">
        <v>2209</v>
      </c>
      <c r="B150" t="s">
        <v>1313</v>
      </c>
      <c r="C150" t="s">
        <v>213</v>
      </c>
    </row>
    <row r="151" spans="1:3" x14ac:dyDescent="0.25">
      <c r="A151">
        <v>5969</v>
      </c>
      <c r="B151" t="s">
        <v>5</v>
      </c>
      <c r="C151" t="s">
        <v>213</v>
      </c>
    </row>
    <row r="152" spans="1:3" x14ac:dyDescent="0.25">
      <c r="A152">
        <v>5489</v>
      </c>
      <c r="B152" t="s">
        <v>5</v>
      </c>
      <c r="C152" t="s">
        <v>213</v>
      </c>
    </row>
    <row r="153" spans="1:3" x14ac:dyDescent="0.25">
      <c r="A153">
        <v>6303</v>
      </c>
      <c r="B153" t="s">
        <v>3</v>
      </c>
      <c r="C153" t="s">
        <v>214</v>
      </c>
    </row>
    <row r="154" spans="1:3" x14ac:dyDescent="0.25">
      <c r="A154">
        <v>6304</v>
      </c>
      <c r="B154" t="s">
        <v>3</v>
      </c>
      <c r="C154" t="s">
        <v>214</v>
      </c>
    </row>
    <row r="155" spans="1:3" x14ac:dyDescent="0.25">
      <c r="A155">
        <v>6305</v>
      </c>
      <c r="B155" t="s">
        <v>3</v>
      </c>
      <c r="C155" t="s">
        <v>214</v>
      </c>
    </row>
    <row r="156" spans="1:3" x14ac:dyDescent="0.25">
      <c r="A156">
        <v>6306</v>
      </c>
      <c r="B156" t="s">
        <v>3</v>
      </c>
      <c r="C156" t="s">
        <v>214</v>
      </c>
    </row>
    <row r="157" spans="1:3" x14ac:dyDescent="0.25">
      <c r="A157">
        <v>6307</v>
      </c>
      <c r="B157" t="s">
        <v>3</v>
      </c>
      <c r="C157" t="s">
        <v>214</v>
      </c>
    </row>
    <row r="158" spans="1:3" x14ac:dyDescent="0.25">
      <c r="A158">
        <v>6308</v>
      </c>
      <c r="B158" t="s">
        <v>3</v>
      </c>
      <c r="C158" t="s">
        <v>214</v>
      </c>
    </row>
    <row r="159" spans="1:3" x14ac:dyDescent="0.25">
      <c r="A159">
        <v>6321</v>
      </c>
      <c r="B159" t="s">
        <v>3</v>
      </c>
      <c r="C159" t="s">
        <v>214</v>
      </c>
    </row>
    <row r="160" spans="1:3" x14ac:dyDescent="0.25">
      <c r="A160">
        <v>6322</v>
      </c>
      <c r="B160" t="s">
        <v>3</v>
      </c>
      <c r="C160" t="s">
        <v>214</v>
      </c>
    </row>
    <row r="161" spans="1:3" x14ac:dyDescent="0.25">
      <c r="A161">
        <v>6323</v>
      </c>
      <c r="B161" t="s">
        <v>3</v>
      </c>
      <c r="C161" t="s">
        <v>214</v>
      </c>
    </row>
    <row r="162" spans="1:3" x14ac:dyDescent="0.25">
      <c r="A162">
        <v>6324</v>
      </c>
      <c r="B162" t="s">
        <v>3</v>
      </c>
      <c r="C162" t="s">
        <v>214</v>
      </c>
    </row>
    <row r="163" spans="1:3" x14ac:dyDescent="0.25">
      <c r="A163">
        <v>6325</v>
      </c>
      <c r="B163" t="s">
        <v>3</v>
      </c>
      <c r="C163" t="s">
        <v>214</v>
      </c>
    </row>
    <row r="164" spans="1:3" x14ac:dyDescent="0.25">
      <c r="A164">
        <v>6326</v>
      </c>
      <c r="B164" t="s">
        <v>3</v>
      </c>
      <c r="C164" t="s">
        <v>214</v>
      </c>
    </row>
    <row r="165" spans="1:3" x14ac:dyDescent="0.25">
      <c r="A165">
        <v>6327</v>
      </c>
      <c r="B165" t="s">
        <v>3</v>
      </c>
      <c r="C165" t="s">
        <v>214</v>
      </c>
    </row>
    <row r="166" spans="1:3" x14ac:dyDescent="0.25">
      <c r="A166">
        <v>6328</v>
      </c>
      <c r="B166" t="s">
        <v>3</v>
      </c>
      <c r="C166" t="s">
        <v>214</v>
      </c>
    </row>
    <row r="167" spans="1:3" x14ac:dyDescent="0.25">
      <c r="A167">
        <v>6329</v>
      </c>
      <c r="B167" t="s">
        <v>3</v>
      </c>
      <c r="C167" t="s">
        <v>214</v>
      </c>
    </row>
    <row r="168" spans="1:3" x14ac:dyDescent="0.25">
      <c r="A168">
        <v>6331</v>
      </c>
      <c r="B168" t="s">
        <v>3</v>
      </c>
      <c r="C168" t="s">
        <v>214</v>
      </c>
    </row>
    <row r="169" spans="1:3" x14ac:dyDescent="0.25">
      <c r="A169">
        <v>6332</v>
      </c>
      <c r="B169" t="s">
        <v>3</v>
      </c>
      <c r="C169" t="s">
        <v>214</v>
      </c>
    </row>
    <row r="170" spans="1:3" x14ac:dyDescent="0.25">
      <c r="A170">
        <v>6333</v>
      </c>
      <c r="B170" t="s">
        <v>3</v>
      </c>
      <c r="C170" t="s">
        <v>214</v>
      </c>
    </row>
    <row r="171" spans="1:3" x14ac:dyDescent="0.25">
      <c r="A171">
        <v>6334</v>
      </c>
      <c r="B171" t="s">
        <v>3</v>
      </c>
      <c r="C171" t="s">
        <v>214</v>
      </c>
    </row>
    <row r="172" spans="1:3" x14ac:dyDescent="0.25">
      <c r="A172">
        <v>6335</v>
      </c>
      <c r="B172" t="s">
        <v>3</v>
      </c>
      <c r="C172" t="s">
        <v>214</v>
      </c>
    </row>
    <row r="173" spans="1:3" x14ac:dyDescent="0.25">
      <c r="A173">
        <v>6337</v>
      </c>
      <c r="B173" t="s">
        <v>3</v>
      </c>
      <c r="C173" t="s">
        <v>214</v>
      </c>
    </row>
    <row r="174" spans="1:3" x14ac:dyDescent="0.25">
      <c r="A174">
        <v>6339</v>
      </c>
      <c r="B174" t="s">
        <v>3</v>
      </c>
      <c r="C174" t="s">
        <v>214</v>
      </c>
    </row>
    <row r="175" spans="1:3" x14ac:dyDescent="0.25">
      <c r="A175">
        <v>6355</v>
      </c>
      <c r="B175" t="s">
        <v>2</v>
      </c>
      <c r="C175" t="s">
        <v>214</v>
      </c>
    </row>
    <row r="176" spans="1:3" x14ac:dyDescent="0.25">
      <c r="A176">
        <v>6356</v>
      </c>
      <c r="B176" t="s">
        <v>2</v>
      </c>
      <c r="C176" t="s">
        <v>214</v>
      </c>
    </row>
    <row r="177" spans="1:3" x14ac:dyDescent="0.25">
      <c r="A177">
        <v>6357</v>
      </c>
      <c r="B177" t="s">
        <v>2</v>
      </c>
      <c r="C177" t="s">
        <v>214</v>
      </c>
    </row>
    <row r="178" spans="1:3" x14ac:dyDescent="0.25">
      <c r="A178">
        <v>6358</v>
      </c>
      <c r="B178" t="s">
        <v>2</v>
      </c>
      <c r="C178" t="s">
        <v>214</v>
      </c>
    </row>
    <row r="179" spans="1:3" x14ac:dyDescent="0.25">
      <c r="A179">
        <v>6359</v>
      </c>
      <c r="B179" t="s">
        <v>2</v>
      </c>
      <c r="C179" t="s">
        <v>214</v>
      </c>
    </row>
    <row r="180" spans="1:3" x14ac:dyDescent="0.25">
      <c r="A180">
        <v>550310</v>
      </c>
      <c r="B180" t="s">
        <v>1316</v>
      </c>
      <c r="C180" t="s">
        <v>213</v>
      </c>
    </row>
    <row r="181" spans="1:3" x14ac:dyDescent="0.25">
      <c r="A181">
        <v>6359</v>
      </c>
      <c r="B181" t="s">
        <v>2</v>
      </c>
      <c r="C181" t="s">
        <v>214</v>
      </c>
    </row>
    <row r="182" spans="1:3" x14ac:dyDescent="0.25">
      <c r="A182">
        <v>6330</v>
      </c>
      <c r="B182" t="s">
        <v>3</v>
      </c>
      <c r="C182" t="s">
        <v>214</v>
      </c>
    </row>
    <row r="183" spans="1:3" x14ac:dyDescent="0.25">
      <c r="A183">
        <v>8137</v>
      </c>
      <c r="B183" t="s">
        <v>1317</v>
      </c>
      <c r="C183" t="s">
        <v>1317</v>
      </c>
    </row>
    <row r="184" spans="1:3" x14ac:dyDescent="0.25">
      <c r="A184">
        <v>8138</v>
      </c>
      <c r="B184" t="s">
        <v>1317</v>
      </c>
      <c r="C184" t="s">
        <v>1317</v>
      </c>
    </row>
    <row r="185" spans="1:3" x14ac:dyDescent="0.25">
      <c r="A185">
        <v>8232</v>
      </c>
      <c r="B185" t="s">
        <v>1317</v>
      </c>
      <c r="C185" t="s">
        <v>1317</v>
      </c>
    </row>
    <row r="186" spans="1:3" x14ac:dyDescent="0.25">
      <c r="A186">
        <v>550311</v>
      </c>
      <c r="B186" t="s">
        <v>1316</v>
      </c>
      <c r="C186" t="s">
        <v>213</v>
      </c>
    </row>
    <row r="187" spans="1:3" x14ac:dyDescent="0.25">
      <c r="A187">
        <v>7897</v>
      </c>
      <c r="B187" t="s">
        <v>1317</v>
      </c>
      <c r="C187" t="s">
        <v>1317</v>
      </c>
    </row>
    <row r="188" spans="1:3" x14ac:dyDescent="0.25">
      <c r="A188">
        <v>6375</v>
      </c>
      <c r="B188" t="s">
        <v>2</v>
      </c>
      <c r="C188" t="s">
        <v>214</v>
      </c>
    </row>
    <row r="189" spans="1:3" x14ac:dyDescent="0.25">
      <c r="A189">
        <v>6374</v>
      </c>
      <c r="B189" t="s">
        <v>2</v>
      </c>
      <c r="C189" t="s">
        <v>214</v>
      </c>
    </row>
    <row r="190" spans="1:3" x14ac:dyDescent="0.25">
      <c r="A190">
        <v>6375</v>
      </c>
      <c r="B190" t="s">
        <v>2</v>
      </c>
      <c r="C190" t="s">
        <v>214</v>
      </c>
    </row>
    <row r="191" spans="1:3" x14ac:dyDescent="0.25">
      <c r="A191">
        <v>6376</v>
      </c>
      <c r="B191" t="s">
        <v>2</v>
      </c>
      <c r="C191" t="s">
        <v>214</v>
      </c>
    </row>
    <row r="192" spans="1:3" x14ac:dyDescent="0.25">
      <c r="A192">
        <v>6377</v>
      </c>
      <c r="B192" t="s">
        <v>2</v>
      </c>
      <c r="C192" t="s">
        <v>214</v>
      </c>
    </row>
    <row r="193" spans="1:3" x14ac:dyDescent="0.25">
      <c r="A193">
        <v>6378</v>
      </c>
      <c r="B193" t="s">
        <v>2</v>
      </c>
      <c r="C193" t="s">
        <v>214</v>
      </c>
    </row>
    <row r="194" spans="1:3" x14ac:dyDescent="0.25">
      <c r="A194">
        <v>6379</v>
      </c>
      <c r="B194" t="s">
        <v>2</v>
      </c>
      <c r="C194" t="s">
        <v>214</v>
      </c>
    </row>
    <row r="195" spans="1:3" x14ac:dyDescent="0.25">
      <c r="A195">
        <v>6373</v>
      </c>
      <c r="B195" t="s">
        <v>2</v>
      </c>
      <c r="C195" t="s">
        <v>214</v>
      </c>
    </row>
    <row r="196" spans="1:3" x14ac:dyDescent="0.25">
      <c r="A196">
        <v>6370</v>
      </c>
      <c r="B196" t="s">
        <v>2</v>
      </c>
      <c r="C196" t="s">
        <v>214</v>
      </c>
    </row>
    <row r="197" spans="1:3" x14ac:dyDescent="0.25">
      <c r="A197">
        <v>6372</v>
      </c>
      <c r="B197" t="s">
        <v>2</v>
      </c>
      <c r="C197" t="s">
        <v>214</v>
      </c>
    </row>
    <row r="198" spans="1:3" x14ac:dyDescent="0.25">
      <c r="A198">
        <v>6368</v>
      </c>
      <c r="B198" t="s">
        <v>2</v>
      </c>
      <c r="C198" t="s">
        <v>214</v>
      </c>
    </row>
    <row r="199" spans="1:3" x14ac:dyDescent="0.25">
      <c r="A199">
        <v>6369</v>
      </c>
      <c r="B199" t="s">
        <v>2</v>
      </c>
      <c r="C199" t="s">
        <v>214</v>
      </c>
    </row>
    <row r="200" spans="1:3" x14ac:dyDescent="0.25">
      <c r="A200">
        <v>6367</v>
      </c>
      <c r="B200" t="s">
        <v>2</v>
      </c>
      <c r="C200" t="s">
        <v>214</v>
      </c>
    </row>
    <row r="201" spans="1:3" x14ac:dyDescent="0.25">
      <c r="A201">
        <v>6364</v>
      </c>
      <c r="B201" t="s">
        <v>2</v>
      </c>
      <c r="C201" t="s">
        <v>214</v>
      </c>
    </row>
    <row r="202" spans="1:3" x14ac:dyDescent="0.25">
      <c r="A202">
        <v>6365</v>
      </c>
      <c r="B202" t="s">
        <v>2</v>
      </c>
      <c r="C202" t="s">
        <v>214</v>
      </c>
    </row>
    <row r="203" spans="1:3" x14ac:dyDescent="0.25">
      <c r="A203">
        <v>6366</v>
      </c>
      <c r="B203" t="s">
        <v>2</v>
      </c>
      <c r="C203" t="s">
        <v>214</v>
      </c>
    </row>
    <row r="204" spans="1:3" x14ac:dyDescent="0.25">
      <c r="A204">
        <v>6362</v>
      </c>
      <c r="B204" t="s">
        <v>2</v>
      </c>
      <c r="C204" t="s">
        <v>214</v>
      </c>
    </row>
    <row r="205" spans="1:3" x14ac:dyDescent="0.25">
      <c r="A205">
        <v>6363</v>
      </c>
      <c r="B205" t="s">
        <v>2</v>
      </c>
      <c r="C205" t="s">
        <v>214</v>
      </c>
    </row>
    <row r="206" spans="1:3" x14ac:dyDescent="0.25">
      <c r="A206">
        <v>6353</v>
      </c>
      <c r="B206" t="s">
        <v>2</v>
      </c>
      <c r="C206" t="s">
        <v>214</v>
      </c>
    </row>
    <row r="207" spans="1:3" x14ac:dyDescent="0.25">
      <c r="A207">
        <v>2047</v>
      </c>
      <c r="B207" t="s">
        <v>1317</v>
      </c>
      <c r="C207" t="s">
        <v>1317</v>
      </c>
    </row>
    <row r="208" spans="1:3" x14ac:dyDescent="0.25">
      <c r="A208">
        <v>2085</v>
      </c>
      <c r="B208" t="s">
        <v>1317</v>
      </c>
      <c r="C208" t="s">
        <v>1317</v>
      </c>
    </row>
    <row r="209" spans="1:3" x14ac:dyDescent="0.25">
      <c r="A209">
        <v>2269</v>
      </c>
      <c r="B209" t="s">
        <v>1317</v>
      </c>
      <c r="C209" t="s">
        <v>1317</v>
      </c>
    </row>
    <row r="210" spans="1:3" x14ac:dyDescent="0.25">
      <c r="A210">
        <v>2207</v>
      </c>
      <c r="B210" t="s">
        <v>1313</v>
      </c>
      <c r="C210" t="s">
        <v>213</v>
      </c>
    </row>
    <row r="211" spans="1:3" x14ac:dyDescent="0.25">
      <c r="A211">
        <v>4952</v>
      </c>
      <c r="B211" t="s">
        <v>1313</v>
      </c>
      <c r="C211" t="s">
        <v>213</v>
      </c>
    </row>
    <row r="212" spans="1:3" x14ac:dyDescent="0.25">
      <c r="A212">
        <v>5236</v>
      </c>
      <c r="B212" t="s">
        <v>1313</v>
      </c>
      <c r="C212" t="s">
        <v>213</v>
      </c>
    </row>
    <row r="213" spans="1:3" x14ac:dyDescent="0.25">
      <c r="A213">
        <v>5254</v>
      </c>
      <c r="B213" t="s">
        <v>1313</v>
      </c>
      <c r="C213" t="s">
        <v>213</v>
      </c>
    </row>
    <row r="214" spans="1:3" x14ac:dyDescent="0.25">
      <c r="A214">
        <v>5794</v>
      </c>
      <c r="B214" t="s">
        <v>5</v>
      </c>
      <c r="C214" t="s">
        <v>213</v>
      </c>
    </row>
    <row r="215" spans="1:3" x14ac:dyDescent="0.25">
      <c r="A215">
        <v>6361</v>
      </c>
      <c r="B215" t="s">
        <v>2</v>
      </c>
      <c r="C215" t="s">
        <v>214</v>
      </c>
    </row>
    <row r="216" spans="1:3" x14ac:dyDescent="0.25">
      <c r="A216">
        <v>6340</v>
      </c>
      <c r="B216" t="s">
        <v>3</v>
      </c>
      <c r="C216" t="s">
        <v>214</v>
      </c>
    </row>
    <row r="217" spans="1:3" x14ac:dyDescent="0.25">
      <c r="A217">
        <v>5791</v>
      </c>
      <c r="B217" t="s">
        <v>1313</v>
      </c>
      <c r="C217" t="s">
        <v>213</v>
      </c>
    </row>
    <row r="218" spans="1:3" x14ac:dyDescent="0.25">
      <c r="A218">
        <v>5966</v>
      </c>
      <c r="B218" t="s">
        <v>5</v>
      </c>
      <c r="C218" t="s">
        <v>213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I8" sqref="I8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1318</v>
      </c>
      <c r="B1" t="s">
        <v>1319</v>
      </c>
      <c r="C1" t="s">
        <v>1320</v>
      </c>
      <c r="D1" s="3" t="s">
        <v>1321</v>
      </c>
      <c r="E1" t="s">
        <v>1322</v>
      </c>
      <c r="F1" t="s">
        <v>1323</v>
      </c>
      <c r="G1" t="s">
        <v>1324</v>
      </c>
    </row>
    <row r="2" spans="1:10" x14ac:dyDescent="0.25">
      <c r="A2">
        <v>10150</v>
      </c>
      <c r="B2" t="s">
        <v>1325</v>
      </c>
      <c r="C2" t="s">
        <v>1326</v>
      </c>
      <c r="D2" s="3">
        <v>24256</v>
      </c>
      <c r="E2">
        <f>YEAR(D2)</f>
        <v>1966</v>
      </c>
      <c r="F2">
        <f ca="1">YEAR(TODAY())-E2</f>
        <v>60</v>
      </c>
      <c r="G2">
        <f>COUNTIF(BRON!A:A,'schades-leeftijd'!A2)</f>
        <v>1</v>
      </c>
      <c r="I2" s="1" t="s">
        <v>0</v>
      </c>
      <c r="J2" t="s">
        <v>1327</v>
      </c>
    </row>
    <row r="3" spans="1:10" x14ac:dyDescent="0.25">
      <c r="A3">
        <v>10324</v>
      </c>
      <c r="B3" t="s">
        <v>1328</v>
      </c>
      <c r="C3" t="s">
        <v>1329</v>
      </c>
      <c r="D3" s="3">
        <v>25268</v>
      </c>
      <c r="E3">
        <f t="shared" ref="E3:E66" si="0">YEAR(D3)</f>
        <v>1969</v>
      </c>
      <c r="F3">
        <f t="shared" ref="F3:F66" ca="1" si="1">YEAR(TODAY())-E3</f>
        <v>57</v>
      </c>
      <c r="G3">
        <f>COUNTIF(BRON!A:A,'schades-leeftijd'!A3)</f>
        <v>1</v>
      </c>
      <c r="I3" s="2" t="s">
        <v>2275</v>
      </c>
      <c r="J3" s="19">
        <v>1.95</v>
      </c>
    </row>
    <row r="4" spans="1:10" x14ac:dyDescent="0.25">
      <c r="A4">
        <v>10326</v>
      </c>
      <c r="B4" t="s">
        <v>1330</v>
      </c>
      <c r="C4" t="s">
        <v>1331</v>
      </c>
      <c r="D4" s="3">
        <v>28038</v>
      </c>
      <c r="E4">
        <f t="shared" si="0"/>
        <v>1976</v>
      </c>
      <c r="F4">
        <f t="shared" ca="1" si="1"/>
        <v>50</v>
      </c>
      <c r="G4">
        <f>COUNTIF(BRON!A:A,'schades-leeftijd'!A4)</f>
        <v>0</v>
      </c>
      <c r="I4" s="2" t="s">
        <v>2278</v>
      </c>
      <c r="J4" s="19">
        <v>2.0499999999999998</v>
      </c>
    </row>
    <row r="5" spans="1:10" x14ac:dyDescent="0.25">
      <c r="A5">
        <v>10782</v>
      </c>
      <c r="B5" t="s">
        <v>1332</v>
      </c>
      <c r="C5" t="s">
        <v>1333</v>
      </c>
      <c r="D5" s="3">
        <v>27384</v>
      </c>
      <c r="E5">
        <f t="shared" si="0"/>
        <v>1974</v>
      </c>
      <c r="F5">
        <f t="shared" ca="1" si="1"/>
        <v>52</v>
      </c>
      <c r="G5">
        <f>COUNTIF(BRON!A:A,'schades-leeftijd'!A5)</f>
        <v>1</v>
      </c>
      <c r="I5" s="2" t="s">
        <v>2280</v>
      </c>
      <c r="J5" s="19">
        <v>2</v>
      </c>
    </row>
    <row r="6" spans="1:10" x14ac:dyDescent="0.25">
      <c r="A6">
        <v>11021</v>
      </c>
      <c r="B6" t="s">
        <v>1334</v>
      </c>
      <c r="C6" t="s">
        <v>1335</v>
      </c>
      <c r="D6" s="3">
        <v>23986</v>
      </c>
      <c r="E6">
        <f t="shared" si="0"/>
        <v>1965</v>
      </c>
      <c r="F6">
        <f t="shared" ca="1" si="1"/>
        <v>61</v>
      </c>
      <c r="G6">
        <f>COUNTIF(BRON!A:A,'schades-leeftijd'!A6)</f>
        <v>1</v>
      </c>
      <c r="I6" s="2" t="s">
        <v>2282</v>
      </c>
      <c r="J6" s="19">
        <v>1.7592592592592593</v>
      </c>
    </row>
    <row r="7" spans="1:10" x14ac:dyDescent="0.25">
      <c r="A7">
        <v>11023</v>
      </c>
      <c r="B7" t="s">
        <v>1336</v>
      </c>
      <c r="C7" t="s">
        <v>1337</v>
      </c>
      <c r="D7" s="3">
        <v>27316</v>
      </c>
      <c r="E7">
        <f t="shared" si="0"/>
        <v>1974</v>
      </c>
      <c r="F7">
        <f t="shared" ca="1" si="1"/>
        <v>52</v>
      </c>
      <c r="G7">
        <f>COUNTIF(BRON!A:A,'schades-leeftijd'!A7)</f>
        <v>1</v>
      </c>
      <c r="I7" s="2" t="s">
        <v>2284</v>
      </c>
      <c r="J7" s="19">
        <v>1.8513513513513513</v>
      </c>
    </row>
    <row r="8" spans="1:10" x14ac:dyDescent="0.25">
      <c r="A8">
        <v>11120</v>
      </c>
      <c r="B8" t="s">
        <v>1338</v>
      </c>
      <c r="C8" t="s">
        <v>1339</v>
      </c>
      <c r="D8" s="3">
        <v>24187</v>
      </c>
      <c r="E8">
        <f t="shared" si="0"/>
        <v>1966</v>
      </c>
      <c r="F8">
        <f t="shared" ca="1" si="1"/>
        <v>60</v>
      </c>
      <c r="G8">
        <f>COUNTIF(BRON!A:A,'schades-leeftijd'!A8)</f>
        <v>1</v>
      </c>
      <c r="I8" s="2" t="s">
        <v>3324</v>
      </c>
      <c r="J8" s="19">
        <v>1.382716049382716</v>
      </c>
    </row>
    <row r="9" spans="1:10" x14ac:dyDescent="0.25">
      <c r="A9">
        <v>11213</v>
      </c>
      <c r="B9" t="s">
        <v>1340</v>
      </c>
      <c r="C9" t="s">
        <v>1341</v>
      </c>
      <c r="D9" s="3">
        <v>27019</v>
      </c>
      <c r="E9">
        <f t="shared" si="0"/>
        <v>1973</v>
      </c>
      <c r="F9">
        <f t="shared" ca="1" si="1"/>
        <v>53</v>
      </c>
      <c r="G9">
        <f>COUNTIF(BRON!A:A,'schades-leeftijd'!A9)</f>
        <v>1</v>
      </c>
      <c r="I9" s="2" t="s">
        <v>3325</v>
      </c>
      <c r="J9" s="19">
        <v>1.2727272727272727</v>
      </c>
    </row>
    <row r="10" spans="1:10" x14ac:dyDescent="0.25">
      <c r="A10">
        <v>11236</v>
      </c>
      <c r="B10" t="s">
        <v>1342</v>
      </c>
      <c r="C10" t="s">
        <v>1343</v>
      </c>
      <c r="D10" s="3">
        <v>23283</v>
      </c>
      <c r="E10">
        <f t="shared" si="0"/>
        <v>1963</v>
      </c>
      <c r="F10">
        <f t="shared" ca="1" si="1"/>
        <v>63</v>
      </c>
      <c r="G10">
        <f>COUNTIF(BRON!A:A,'schades-leeftijd'!A10)</f>
        <v>4</v>
      </c>
      <c r="I10" s="2" t="s">
        <v>3326</v>
      </c>
      <c r="J10" s="19">
        <v>1.1304347826086956</v>
      </c>
    </row>
    <row r="11" spans="1:10" x14ac:dyDescent="0.25">
      <c r="A11">
        <v>11508</v>
      </c>
      <c r="B11" t="s">
        <v>1344</v>
      </c>
      <c r="C11" t="s">
        <v>1345</v>
      </c>
      <c r="D11" s="3">
        <v>27991</v>
      </c>
      <c r="E11">
        <f t="shared" si="0"/>
        <v>1976</v>
      </c>
      <c r="F11">
        <f t="shared" ca="1" si="1"/>
        <v>50</v>
      </c>
      <c r="G11">
        <f>COUNTIF(BRON!A:A,'schades-leeftijd'!A11)</f>
        <v>1</v>
      </c>
      <c r="I11" s="2" t="s">
        <v>3327</v>
      </c>
      <c r="J11" s="19">
        <v>1.476923076923077</v>
      </c>
    </row>
    <row r="12" spans="1:10" x14ac:dyDescent="0.25">
      <c r="A12">
        <v>11866</v>
      </c>
      <c r="B12" t="s">
        <v>1346</v>
      </c>
      <c r="C12" t="s">
        <v>1347</v>
      </c>
      <c r="D12" s="3">
        <v>25467</v>
      </c>
      <c r="E12">
        <f t="shared" si="0"/>
        <v>1969</v>
      </c>
      <c r="F12">
        <f t="shared" ca="1" si="1"/>
        <v>57</v>
      </c>
      <c r="G12">
        <f>COUNTIF(BRON!A:A,'schades-leeftijd'!A12)</f>
        <v>1</v>
      </c>
      <c r="I12" s="2" t="s">
        <v>3328</v>
      </c>
      <c r="J12" s="19">
        <v>0.81818181818181823</v>
      </c>
    </row>
    <row r="13" spans="1:10" x14ac:dyDescent="0.25">
      <c r="A13">
        <v>12024</v>
      </c>
      <c r="B13" t="s">
        <v>1348</v>
      </c>
      <c r="C13" t="s">
        <v>1349</v>
      </c>
      <c r="D13" s="3">
        <v>23853</v>
      </c>
      <c r="E13">
        <f t="shared" si="0"/>
        <v>1965</v>
      </c>
      <c r="F13">
        <f t="shared" ca="1" si="1"/>
        <v>61</v>
      </c>
      <c r="G13">
        <f>COUNTIF(BRON!A:A,'schades-leeftijd'!A13)</f>
        <v>1</v>
      </c>
      <c r="I13" s="2" t="s">
        <v>3329</v>
      </c>
      <c r="J13" s="19">
        <v>0.5</v>
      </c>
    </row>
    <row r="14" spans="1:10" x14ac:dyDescent="0.25">
      <c r="A14">
        <v>12124</v>
      </c>
      <c r="B14" t="s">
        <v>1350</v>
      </c>
      <c r="C14" t="s">
        <v>1351</v>
      </c>
      <c r="D14" s="3">
        <v>28780</v>
      </c>
      <c r="E14">
        <f t="shared" si="0"/>
        <v>1978</v>
      </c>
      <c r="F14">
        <f t="shared" ca="1" si="1"/>
        <v>48</v>
      </c>
      <c r="G14">
        <f>COUNTIF(BRON!A:A,'schades-leeftijd'!A14)</f>
        <v>5</v>
      </c>
      <c r="I14" s="2" t="s">
        <v>3330</v>
      </c>
      <c r="J14" s="19">
        <v>0</v>
      </c>
    </row>
    <row r="15" spans="1:10" x14ac:dyDescent="0.25">
      <c r="A15">
        <v>12173</v>
      </c>
      <c r="B15" t="s">
        <v>1352</v>
      </c>
      <c r="C15" t="s">
        <v>1353</v>
      </c>
      <c r="D15" s="3">
        <v>25839</v>
      </c>
      <c r="E15">
        <f t="shared" si="0"/>
        <v>1970</v>
      </c>
      <c r="F15">
        <f t="shared" ca="1" si="1"/>
        <v>56</v>
      </c>
      <c r="G15">
        <f>COUNTIF(BRON!A:A,'schades-leeftijd'!A15)</f>
        <v>1</v>
      </c>
      <c r="I15" s="2" t="s">
        <v>6</v>
      </c>
      <c r="J15">
        <v>1.5557432432432432</v>
      </c>
    </row>
    <row r="16" spans="1:10" x14ac:dyDescent="0.25">
      <c r="A16">
        <v>12514</v>
      </c>
      <c r="B16" t="s">
        <v>1354</v>
      </c>
      <c r="C16" t="s">
        <v>1355</v>
      </c>
      <c r="D16" s="3">
        <v>28745</v>
      </c>
      <c r="E16">
        <f t="shared" si="0"/>
        <v>1978</v>
      </c>
      <c r="F16">
        <f t="shared" ca="1" si="1"/>
        <v>48</v>
      </c>
      <c r="G16">
        <f>COUNTIF(BRON!A:A,'schades-leeftijd'!A16)</f>
        <v>1</v>
      </c>
    </row>
    <row r="17" spans="1:7" x14ac:dyDescent="0.25">
      <c r="A17">
        <v>12684</v>
      </c>
      <c r="B17" t="s">
        <v>1356</v>
      </c>
      <c r="C17" t="s">
        <v>1357</v>
      </c>
      <c r="D17" s="3">
        <v>23480</v>
      </c>
      <c r="E17">
        <f t="shared" si="0"/>
        <v>1964</v>
      </c>
      <c r="F17">
        <f t="shared" ca="1" si="1"/>
        <v>62</v>
      </c>
      <c r="G17">
        <f>COUNTIF(BRON!A:A,'schades-leeftijd'!A17)</f>
        <v>3</v>
      </c>
    </row>
    <row r="18" spans="1:7" x14ac:dyDescent="0.25">
      <c r="A18">
        <v>12819</v>
      </c>
      <c r="B18" t="s">
        <v>1358</v>
      </c>
      <c r="C18" t="s">
        <v>1353</v>
      </c>
      <c r="D18" s="3">
        <v>27540</v>
      </c>
      <c r="E18">
        <f t="shared" si="0"/>
        <v>1975</v>
      </c>
      <c r="F18">
        <f t="shared" ca="1" si="1"/>
        <v>51</v>
      </c>
      <c r="G18">
        <f>COUNTIF(BRON!A:A,'schades-leeftijd'!A18)</f>
        <v>1</v>
      </c>
    </row>
    <row r="19" spans="1:7" x14ac:dyDescent="0.25">
      <c r="A19">
        <v>13017</v>
      </c>
      <c r="B19" t="s">
        <v>1359</v>
      </c>
      <c r="C19" t="s">
        <v>393</v>
      </c>
      <c r="D19" s="3">
        <v>28294</v>
      </c>
      <c r="E19">
        <f t="shared" si="0"/>
        <v>1977</v>
      </c>
      <c r="F19">
        <f t="shared" ca="1" si="1"/>
        <v>49</v>
      </c>
      <c r="G19">
        <f>COUNTIF(BRON!A:A,'schades-leeftijd'!A19)</f>
        <v>0</v>
      </c>
    </row>
    <row r="20" spans="1:7" x14ac:dyDescent="0.25">
      <c r="A20">
        <v>13088</v>
      </c>
      <c r="B20" t="s">
        <v>1360</v>
      </c>
      <c r="C20" t="s">
        <v>1361</v>
      </c>
      <c r="D20" s="3">
        <v>25548</v>
      </c>
      <c r="E20">
        <f t="shared" si="0"/>
        <v>1969</v>
      </c>
      <c r="F20">
        <f t="shared" ca="1" si="1"/>
        <v>57</v>
      </c>
      <c r="G20">
        <f>COUNTIF(BRON!A:A,'schades-leeftijd'!A20)</f>
        <v>2</v>
      </c>
    </row>
    <row r="21" spans="1:7" x14ac:dyDescent="0.25">
      <c r="A21">
        <v>13089</v>
      </c>
      <c r="B21" t="s">
        <v>1362</v>
      </c>
      <c r="C21" t="s">
        <v>1363</v>
      </c>
      <c r="D21" s="3">
        <v>29008</v>
      </c>
      <c r="E21">
        <f t="shared" si="0"/>
        <v>1979</v>
      </c>
      <c r="F21">
        <f t="shared" ca="1" si="1"/>
        <v>47</v>
      </c>
      <c r="G21">
        <f>COUNTIF(BRON!A:A,'schades-leeftijd'!A21)</f>
        <v>1</v>
      </c>
    </row>
    <row r="22" spans="1:7" x14ac:dyDescent="0.25">
      <c r="A22">
        <v>13257</v>
      </c>
      <c r="B22" t="s">
        <v>1364</v>
      </c>
      <c r="C22" t="s">
        <v>1365</v>
      </c>
      <c r="D22" s="3">
        <v>26636</v>
      </c>
      <c r="E22">
        <f t="shared" si="0"/>
        <v>1972</v>
      </c>
      <c r="F22">
        <f t="shared" ca="1" si="1"/>
        <v>54</v>
      </c>
      <c r="G22">
        <f>COUNTIF(BRON!A:A,'schades-leeftijd'!A22)</f>
        <v>0</v>
      </c>
    </row>
    <row r="23" spans="1:7" x14ac:dyDescent="0.25">
      <c r="A23">
        <v>13345</v>
      </c>
      <c r="B23" t="s">
        <v>1366</v>
      </c>
      <c r="C23" t="s">
        <v>1367</v>
      </c>
      <c r="D23" s="3">
        <v>25829</v>
      </c>
      <c r="E23">
        <f t="shared" si="0"/>
        <v>1970</v>
      </c>
      <c r="F23">
        <f t="shared" ca="1" si="1"/>
        <v>56</v>
      </c>
      <c r="G23">
        <f>COUNTIF(BRON!A:A,'schades-leeftijd'!A23)</f>
        <v>1</v>
      </c>
    </row>
    <row r="24" spans="1:7" x14ac:dyDescent="0.25">
      <c r="A24">
        <v>13398</v>
      </c>
      <c r="B24" t="s">
        <v>1368</v>
      </c>
      <c r="C24" t="s">
        <v>1070</v>
      </c>
      <c r="D24" s="3">
        <v>28371</v>
      </c>
      <c r="E24">
        <f t="shared" si="0"/>
        <v>1977</v>
      </c>
      <c r="F24">
        <f t="shared" ca="1" si="1"/>
        <v>49</v>
      </c>
      <c r="G24">
        <f>COUNTIF(BRON!A:A,'schades-leeftijd'!A24)</f>
        <v>1</v>
      </c>
    </row>
    <row r="25" spans="1:7" x14ac:dyDescent="0.25">
      <c r="A25">
        <v>14021</v>
      </c>
      <c r="B25" t="s">
        <v>1369</v>
      </c>
      <c r="C25" t="s">
        <v>1370</v>
      </c>
      <c r="D25" s="3">
        <v>29626</v>
      </c>
      <c r="E25">
        <f t="shared" si="0"/>
        <v>1981</v>
      </c>
      <c r="F25">
        <f t="shared" ca="1" si="1"/>
        <v>45</v>
      </c>
      <c r="G25">
        <f>COUNTIF(BRON!A:A,'schades-leeftijd'!A25)</f>
        <v>0</v>
      </c>
    </row>
    <row r="26" spans="1:7" x14ac:dyDescent="0.25">
      <c r="A26">
        <v>14070</v>
      </c>
      <c r="B26" t="s">
        <v>1371</v>
      </c>
      <c r="C26" t="s">
        <v>1372</v>
      </c>
      <c r="D26" s="3">
        <v>26839</v>
      </c>
      <c r="E26">
        <f t="shared" si="0"/>
        <v>1973</v>
      </c>
      <c r="F26">
        <f t="shared" ca="1" si="1"/>
        <v>53</v>
      </c>
      <c r="G26">
        <f>COUNTIF(BRON!A:A,'schades-leeftijd'!A26)</f>
        <v>0</v>
      </c>
    </row>
    <row r="27" spans="1:7" x14ac:dyDescent="0.25">
      <c r="A27">
        <v>14072</v>
      </c>
      <c r="B27" t="s">
        <v>1373</v>
      </c>
      <c r="C27" t="s">
        <v>1374</v>
      </c>
      <c r="D27" s="3">
        <v>28506</v>
      </c>
      <c r="E27">
        <f t="shared" si="0"/>
        <v>1978</v>
      </c>
      <c r="F27">
        <f t="shared" ca="1" si="1"/>
        <v>48</v>
      </c>
      <c r="G27">
        <f>COUNTIF(BRON!A:A,'schades-leeftijd'!A27)</f>
        <v>1</v>
      </c>
    </row>
    <row r="28" spans="1:7" x14ac:dyDescent="0.25">
      <c r="A28">
        <v>14261</v>
      </c>
      <c r="B28" t="s">
        <v>1375</v>
      </c>
      <c r="C28" t="s">
        <v>1376</v>
      </c>
      <c r="D28" s="3">
        <v>26466</v>
      </c>
      <c r="E28">
        <f t="shared" si="0"/>
        <v>1972</v>
      </c>
      <c r="F28">
        <f t="shared" ca="1" si="1"/>
        <v>54</v>
      </c>
      <c r="G28">
        <f>COUNTIF(BRON!A:A,'schades-leeftijd'!A28)</f>
        <v>2</v>
      </c>
    </row>
    <row r="29" spans="1:7" x14ac:dyDescent="0.25">
      <c r="A29">
        <v>14425</v>
      </c>
      <c r="B29" t="s">
        <v>1375</v>
      </c>
      <c r="C29" t="s">
        <v>1377</v>
      </c>
      <c r="D29" s="3">
        <v>27851</v>
      </c>
      <c r="E29">
        <f t="shared" si="0"/>
        <v>1976</v>
      </c>
      <c r="F29">
        <f t="shared" ca="1" si="1"/>
        <v>50</v>
      </c>
      <c r="G29">
        <f>COUNTIF(BRON!A:A,'schades-leeftijd'!A29)</f>
        <v>0</v>
      </c>
    </row>
    <row r="30" spans="1:7" x14ac:dyDescent="0.25">
      <c r="A30">
        <v>14625</v>
      </c>
      <c r="B30" t="s">
        <v>1378</v>
      </c>
      <c r="C30" t="s">
        <v>1379</v>
      </c>
      <c r="D30" s="3">
        <v>23621</v>
      </c>
      <c r="E30">
        <f t="shared" si="0"/>
        <v>1964</v>
      </c>
      <c r="F30">
        <f t="shared" ca="1" si="1"/>
        <v>62</v>
      </c>
      <c r="G30">
        <f>COUNTIF(BRON!A:A,'schades-leeftijd'!A30)</f>
        <v>1</v>
      </c>
    </row>
    <row r="31" spans="1:7" x14ac:dyDescent="0.25">
      <c r="A31">
        <v>14665</v>
      </c>
      <c r="B31" t="s">
        <v>1380</v>
      </c>
      <c r="C31" t="s">
        <v>1381</v>
      </c>
      <c r="D31" s="3">
        <v>29490</v>
      </c>
      <c r="E31">
        <f t="shared" si="0"/>
        <v>1980</v>
      </c>
      <c r="F31">
        <f t="shared" ca="1" si="1"/>
        <v>46</v>
      </c>
      <c r="G31">
        <f>COUNTIF(BRON!A:A,'schades-leeftijd'!A31)</f>
        <v>2</v>
      </c>
    </row>
    <row r="32" spans="1:7" x14ac:dyDescent="0.25">
      <c r="A32">
        <v>14667</v>
      </c>
      <c r="B32" t="s">
        <v>1382</v>
      </c>
      <c r="C32" t="s">
        <v>1383</v>
      </c>
      <c r="D32" s="3">
        <v>26648</v>
      </c>
      <c r="E32">
        <f t="shared" si="0"/>
        <v>1972</v>
      </c>
      <c r="F32">
        <f t="shared" ca="1" si="1"/>
        <v>54</v>
      </c>
      <c r="G32">
        <f>COUNTIF(BRON!A:A,'schades-leeftijd'!A32)</f>
        <v>0</v>
      </c>
    </row>
    <row r="33" spans="1:7" x14ac:dyDescent="0.25">
      <c r="A33">
        <v>15088</v>
      </c>
      <c r="B33" t="s">
        <v>1384</v>
      </c>
      <c r="C33" t="s">
        <v>1385</v>
      </c>
      <c r="D33" s="3">
        <v>24300</v>
      </c>
      <c r="E33">
        <f t="shared" si="0"/>
        <v>1966</v>
      </c>
      <c r="F33">
        <f t="shared" ca="1" si="1"/>
        <v>60</v>
      </c>
      <c r="G33">
        <f>COUNTIF(BRON!A:A,'schades-leeftijd'!A33)</f>
        <v>2</v>
      </c>
    </row>
    <row r="34" spans="1:7" x14ac:dyDescent="0.25">
      <c r="A34">
        <v>15218</v>
      </c>
      <c r="B34" t="s">
        <v>1386</v>
      </c>
      <c r="C34" t="s">
        <v>1387</v>
      </c>
      <c r="D34" s="3">
        <v>25192</v>
      </c>
      <c r="E34">
        <f t="shared" si="0"/>
        <v>1968</v>
      </c>
      <c r="F34">
        <f t="shared" ca="1" si="1"/>
        <v>58</v>
      </c>
      <c r="G34">
        <f>COUNTIF(BRON!A:A,'schades-leeftijd'!A34)</f>
        <v>0</v>
      </c>
    </row>
    <row r="35" spans="1:7" x14ac:dyDescent="0.25">
      <c r="A35">
        <v>15219</v>
      </c>
      <c r="B35" t="s">
        <v>1388</v>
      </c>
      <c r="C35" t="s">
        <v>1389</v>
      </c>
      <c r="D35" s="3">
        <v>29607</v>
      </c>
      <c r="E35">
        <f t="shared" si="0"/>
        <v>1981</v>
      </c>
      <c r="F35">
        <f t="shared" ca="1" si="1"/>
        <v>45</v>
      </c>
      <c r="G35">
        <f>COUNTIF(BRON!A:A,'schades-leeftijd'!A35)</f>
        <v>1</v>
      </c>
    </row>
    <row r="36" spans="1:7" x14ac:dyDescent="0.25">
      <c r="A36">
        <v>15220</v>
      </c>
      <c r="B36" t="s">
        <v>1390</v>
      </c>
      <c r="C36" t="s">
        <v>1391</v>
      </c>
      <c r="D36" s="3">
        <v>26171</v>
      </c>
      <c r="E36">
        <f t="shared" si="0"/>
        <v>1971</v>
      </c>
      <c r="F36">
        <f t="shared" ca="1" si="1"/>
        <v>55</v>
      </c>
      <c r="G36">
        <f>COUNTIF(BRON!A:A,'schades-leeftijd'!A36)</f>
        <v>1</v>
      </c>
    </row>
    <row r="37" spans="1:7" x14ac:dyDescent="0.25">
      <c r="A37">
        <v>15282</v>
      </c>
      <c r="B37" t="s">
        <v>1392</v>
      </c>
      <c r="C37" t="s">
        <v>1393</v>
      </c>
      <c r="D37" s="3">
        <v>26952</v>
      </c>
      <c r="E37">
        <f t="shared" si="0"/>
        <v>1973</v>
      </c>
      <c r="F37">
        <f t="shared" ca="1" si="1"/>
        <v>53</v>
      </c>
      <c r="G37">
        <f>COUNTIF(BRON!A:A,'schades-leeftijd'!A37)</f>
        <v>2</v>
      </c>
    </row>
    <row r="38" spans="1:7" x14ac:dyDescent="0.25">
      <c r="A38">
        <v>15320</v>
      </c>
      <c r="B38" t="s">
        <v>1394</v>
      </c>
      <c r="C38" t="s">
        <v>1395</v>
      </c>
      <c r="D38" s="3">
        <v>28129</v>
      </c>
      <c r="E38">
        <f t="shared" si="0"/>
        <v>1977</v>
      </c>
      <c r="F38">
        <f t="shared" ca="1" si="1"/>
        <v>49</v>
      </c>
      <c r="G38">
        <f>COUNTIF(BRON!A:A,'schades-leeftijd'!A38)</f>
        <v>2</v>
      </c>
    </row>
    <row r="39" spans="1:7" x14ac:dyDescent="0.25">
      <c r="A39">
        <v>15412</v>
      </c>
      <c r="B39" t="s">
        <v>1396</v>
      </c>
      <c r="C39" t="s">
        <v>1397</v>
      </c>
      <c r="D39" s="3">
        <v>24476</v>
      </c>
      <c r="E39">
        <f t="shared" si="0"/>
        <v>1967</v>
      </c>
      <c r="F39">
        <f t="shared" ca="1" si="1"/>
        <v>59</v>
      </c>
      <c r="G39">
        <f>COUNTIF(BRON!A:A,'schades-leeftijd'!A39)</f>
        <v>2</v>
      </c>
    </row>
    <row r="40" spans="1:7" x14ac:dyDescent="0.25">
      <c r="A40">
        <v>15626</v>
      </c>
      <c r="B40" t="s">
        <v>1398</v>
      </c>
      <c r="C40" t="s">
        <v>1399</v>
      </c>
      <c r="D40" s="3">
        <v>29917</v>
      </c>
      <c r="E40">
        <f t="shared" si="0"/>
        <v>1981</v>
      </c>
      <c r="F40">
        <f t="shared" ca="1" si="1"/>
        <v>45</v>
      </c>
      <c r="G40">
        <f>COUNTIF(BRON!A:A,'schades-leeftijd'!A40)</f>
        <v>0</v>
      </c>
    </row>
    <row r="41" spans="1:7" x14ac:dyDescent="0.25">
      <c r="A41">
        <v>15628</v>
      </c>
      <c r="B41" t="s">
        <v>1400</v>
      </c>
      <c r="C41" t="s">
        <v>1401</v>
      </c>
      <c r="D41" s="3">
        <v>26166</v>
      </c>
      <c r="E41">
        <f t="shared" si="0"/>
        <v>1971</v>
      </c>
      <c r="F41">
        <f t="shared" ca="1" si="1"/>
        <v>55</v>
      </c>
      <c r="G41">
        <f>COUNTIF(BRON!A:A,'schades-leeftijd'!A41)</f>
        <v>3</v>
      </c>
    </row>
    <row r="42" spans="1:7" x14ac:dyDescent="0.25">
      <c r="A42">
        <v>15676</v>
      </c>
      <c r="B42" t="s">
        <v>1402</v>
      </c>
      <c r="C42" t="s">
        <v>1326</v>
      </c>
      <c r="D42" s="3">
        <v>28338</v>
      </c>
      <c r="E42">
        <f t="shared" si="0"/>
        <v>1977</v>
      </c>
      <c r="F42">
        <f t="shared" ca="1" si="1"/>
        <v>49</v>
      </c>
      <c r="G42">
        <f>COUNTIF(BRON!A:A,'schades-leeftijd'!A42)</f>
        <v>1</v>
      </c>
    </row>
    <row r="43" spans="1:7" x14ac:dyDescent="0.25">
      <c r="A43">
        <v>15726</v>
      </c>
      <c r="B43" t="s">
        <v>1403</v>
      </c>
      <c r="C43" t="s">
        <v>1404</v>
      </c>
      <c r="D43" s="3">
        <v>29405</v>
      </c>
      <c r="E43">
        <f t="shared" si="0"/>
        <v>1980</v>
      </c>
      <c r="F43">
        <f t="shared" ca="1" si="1"/>
        <v>46</v>
      </c>
      <c r="G43">
        <f>COUNTIF(BRON!A:A,'schades-leeftijd'!A43)</f>
        <v>0</v>
      </c>
    </row>
    <row r="44" spans="1:7" x14ac:dyDescent="0.25">
      <c r="A44">
        <v>15852</v>
      </c>
      <c r="B44" t="s">
        <v>1405</v>
      </c>
      <c r="C44" t="s">
        <v>1406</v>
      </c>
      <c r="D44" s="3">
        <v>29948</v>
      </c>
      <c r="E44">
        <f t="shared" si="0"/>
        <v>1981</v>
      </c>
      <c r="F44">
        <f t="shared" ca="1" si="1"/>
        <v>45</v>
      </c>
      <c r="G44">
        <f>COUNTIF(BRON!A:A,'schades-leeftijd'!A44)</f>
        <v>1</v>
      </c>
    </row>
    <row r="45" spans="1:7" x14ac:dyDescent="0.25">
      <c r="A45">
        <v>16094</v>
      </c>
      <c r="B45" t="s">
        <v>1407</v>
      </c>
      <c r="C45" t="s">
        <v>1389</v>
      </c>
      <c r="D45" s="3">
        <v>24895</v>
      </c>
      <c r="E45">
        <f t="shared" si="0"/>
        <v>1968</v>
      </c>
      <c r="F45">
        <f t="shared" ca="1" si="1"/>
        <v>58</v>
      </c>
      <c r="G45">
        <f>COUNTIF(BRON!A:A,'schades-leeftijd'!A45)</f>
        <v>0</v>
      </c>
    </row>
    <row r="46" spans="1:7" x14ac:dyDescent="0.25">
      <c r="A46">
        <v>16095</v>
      </c>
      <c r="B46" t="s">
        <v>1408</v>
      </c>
      <c r="C46" t="s">
        <v>1409</v>
      </c>
      <c r="D46" s="3">
        <v>27290</v>
      </c>
      <c r="E46">
        <f t="shared" si="0"/>
        <v>1974</v>
      </c>
      <c r="F46">
        <f t="shared" ca="1" si="1"/>
        <v>52</v>
      </c>
      <c r="G46">
        <f>COUNTIF(BRON!A:A,'schades-leeftijd'!A46)</f>
        <v>0</v>
      </c>
    </row>
    <row r="47" spans="1:7" x14ac:dyDescent="0.25">
      <c r="A47">
        <v>16098</v>
      </c>
      <c r="B47" t="s">
        <v>1410</v>
      </c>
      <c r="C47" t="s">
        <v>1411</v>
      </c>
      <c r="D47" s="3">
        <v>22597</v>
      </c>
      <c r="E47">
        <f t="shared" si="0"/>
        <v>1961</v>
      </c>
      <c r="F47">
        <f t="shared" ca="1" si="1"/>
        <v>65</v>
      </c>
      <c r="G47">
        <f>COUNTIF(BRON!A:A,'schades-leeftijd'!A47)</f>
        <v>0</v>
      </c>
    </row>
    <row r="48" spans="1:7" x14ac:dyDescent="0.25">
      <c r="A48">
        <v>16275</v>
      </c>
      <c r="B48" t="s">
        <v>1412</v>
      </c>
      <c r="C48" t="s">
        <v>1404</v>
      </c>
      <c r="D48" s="3">
        <v>25880</v>
      </c>
      <c r="E48">
        <f t="shared" si="0"/>
        <v>1970</v>
      </c>
      <c r="F48">
        <f t="shared" ca="1" si="1"/>
        <v>56</v>
      </c>
      <c r="G48">
        <f>COUNTIF(BRON!A:A,'schades-leeftijd'!A48)</f>
        <v>1</v>
      </c>
    </row>
    <row r="49" spans="1:7" x14ac:dyDescent="0.25">
      <c r="A49">
        <v>16279</v>
      </c>
      <c r="B49" t="s">
        <v>1413</v>
      </c>
      <c r="C49" t="s">
        <v>1414</v>
      </c>
      <c r="D49" s="3">
        <v>28331</v>
      </c>
      <c r="E49">
        <f t="shared" si="0"/>
        <v>1977</v>
      </c>
      <c r="F49">
        <f t="shared" ca="1" si="1"/>
        <v>49</v>
      </c>
      <c r="G49">
        <f>COUNTIF(BRON!A:A,'schades-leeftijd'!A49)</f>
        <v>0</v>
      </c>
    </row>
    <row r="50" spans="1:7" x14ac:dyDescent="0.25">
      <c r="A50">
        <v>16280</v>
      </c>
      <c r="B50" t="s">
        <v>1415</v>
      </c>
      <c r="C50" t="s">
        <v>1416</v>
      </c>
      <c r="D50" s="3">
        <v>27842</v>
      </c>
      <c r="E50">
        <f t="shared" si="0"/>
        <v>1976</v>
      </c>
      <c r="F50">
        <f t="shared" ca="1" si="1"/>
        <v>50</v>
      </c>
      <c r="G50">
        <f>COUNTIF(BRON!A:A,'schades-leeftijd'!A50)</f>
        <v>1</v>
      </c>
    </row>
    <row r="51" spans="1:7" x14ac:dyDescent="0.25">
      <c r="A51">
        <v>16282</v>
      </c>
      <c r="B51" t="s">
        <v>1417</v>
      </c>
      <c r="C51" t="s">
        <v>1418</v>
      </c>
      <c r="D51" s="3">
        <v>26137</v>
      </c>
      <c r="E51">
        <f t="shared" si="0"/>
        <v>1971</v>
      </c>
      <c r="F51">
        <f t="shared" ca="1" si="1"/>
        <v>55</v>
      </c>
      <c r="G51">
        <f>COUNTIF(BRON!A:A,'schades-leeftijd'!A51)</f>
        <v>1</v>
      </c>
    </row>
    <row r="52" spans="1:7" x14ac:dyDescent="0.25">
      <c r="A52">
        <v>16545</v>
      </c>
      <c r="B52" t="s">
        <v>1419</v>
      </c>
      <c r="C52" t="s">
        <v>1420</v>
      </c>
      <c r="D52" s="3">
        <v>24848</v>
      </c>
      <c r="E52">
        <f t="shared" si="0"/>
        <v>1968</v>
      </c>
      <c r="F52">
        <f t="shared" ca="1" si="1"/>
        <v>58</v>
      </c>
      <c r="G52">
        <f>COUNTIF(BRON!A:A,'schades-leeftijd'!A52)</f>
        <v>2</v>
      </c>
    </row>
    <row r="53" spans="1:7" x14ac:dyDescent="0.25">
      <c r="A53">
        <v>16546</v>
      </c>
      <c r="B53" t="s">
        <v>1342</v>
      </c>
      <c r="C53" t="s">
        <v>1421</v>
      </c>
      <c r="D53" s="3">
        <v>24253</v>
      </c>
      <c r="E53">
        <f t="shared" si="0"/>
        <v>1966</v>
      </c>
      <c r="F53">
        <f t="shared" ca="1" si="1"/>
        <v>60</v>
      </c>
      <c r="G53">
        <f>COUNTIF(BRON!A:A,'schades-leeftijd'!A53)</f>
        <v>2</v>
      </c>
    </row>
    <row r="54" spans="1:7" x14ac:dyDescent="0.25">
      <c r="A54">
        <v>16623</v>
      </c>
      <c r="B54" t="s">
        <v>1422</v>
      </c>
      <c r="C54" t="s">
        <v>1423</v>
      </c>
      <c r="D54" s="3">
        <v>25363</v>
      </c>
      <c r="E54">
        <f t="shared" si="0"/>
        <v>1969</v>
      </c>
      <c r="F54">
        <f t="shared" ca="1" si="1"/>
        <v>57</v>
      </c>
      <c r="G54">
        <f>COUNTIF(BRON!A:A,'schades-leeftijd'!A54)</f>
        <v>0</v>
      </c>
    </row>
    <row r="55" spans="1:7" x14ac:dyDescent="0.25">
      <c r="A55">
        <v>16895</v>
      </c>
      <c r="B55" t="s">
        <v>1424</v>
      </c>
      <c r="C55" t="s">
        <v>1343</v>
      </c>
      <c r="D55" s="3">
        <v>24194</v>
      </c>
      <c r="E55">
        <f t="shared" si="0"/>
        <v>1966</v>
      </c>
      <c r="F55">
        <f t="shared" ca="1" si="1"/>
        <v>60</v>
      </c>
      <c r="G55">
        <f>COUNTIF(BRON!A:A,'schades-leeftijd'!A55)</f>
        <v>6</v>
      </c>
    </row>
    <row r="56" spans="1:7" x14ac:dyDescent="0.25">
      <c r="A56">
        <v>16897</v>
      </c>
      <c r="B56" t="s">
        <v>1425</v>
      </c>
      <c r="C56" t="s">
        <v>1426</v>
      </c>
      <c r="D56" s="3">
        <v>30395</v>
      </c>
      <c r="E56">
        <f t="shared" si="0"/>
        <v>1983</v>
      </c>
      <c r="F56">
        <f t="shared" ca="1" si="1"/>
        <v>43</v>
      </c>
      <c r="G56">
        <f>COUNTIF(BRON!A:A,'schades-leeftijd'!A56)</f>
        <v>2</v>
      </c>
    </row>
    <row r="57" spans="1:7" x14ac:dyDescent="0.25">
      <c r="A57">
        <v>16899</v>
      </c>
      <c r="B57" t="s">
        <v>1427</v>
      </c>
      <c r="C57" t="s">
        <v>1428</v>
      </c>
      <c r="D57" s="3">
        <v>23057</v>
      </c>
      <c r="E57">
        <f t="shared" si="0"/>
        <v>1963</v>
      </c>
      <c r="F57">
        <f t="shared" ca="1" si="1"/>
        <v>63</v>
      </c>
      <c r="G57">
        <f>COUNTIF(BRON!A:A,'schades-leeftijd'!A57)</f>
        <v>0</v>
      </c>
    </row>
    <row r="58" spans="1:7" x14ac:dyDescent="0.25">
      <c r="A58">
        <v>16970</v>
      </c>
      <c r="B58" t="s">
        <v>1429</v>
      </c>
      <c r="C58" t="s">
        <v>1430</v>
      </c>
      <c r="D58" s="3">
        <v>29646</v>
      </c>
      <c r="E58">
        <f t="shared" si="0"/>
        <v>1981</v>
      </c>
      <c r="F58">
        <f t="shared" ca="1" si="1"/>
        <v>45</v>
      </c>
      <c r="G58">
        <f>COUNTIF(BRON!A:A,'schades-leeftijd'!A58)</f>
        <v>0</v>
      </c>
    </row>
    <row r="59" spans="1:7" x14ac:dyDescent="0.25">
      <c r="A59">
        <v>16971</v>
      </c>
      <c r="B59" t="s">
        <v>1431</v>
      </c>
      <c r="C59" t="s">
        <v>1432</v>
      </c>
      <c r="D59" s="3">
        <v>26011</v>
      </c>
      <c r="E59">
        <f t="shared" si="0"/>
        <v>1971</v>
      </c>
      <c r="F59">
        <f t="shared" ca="1" si="1"/>
        <v>55</v>
      </c>
      <c r="G59">
        <f>COUNTIF(BRON!A:A,'schades-leeftijd'!A59)</f>
        <v>0</v>
      </c>
    </row>
    <row r="60" spans="1:7" x14ac:dyDescent="0.25">
      <c r="A60">
        <v>17555</v>
      </c>
      <c r="B60" t="s">
        <v>1433</v>
      </c>
      <c r="C60" t="s">
        <v>1434</v>
      </c>
      <c r="D60" s="3">
        <v>29308</v>
      </c>
      <c r="E60">
        <f t="shared" si="0"/>
        <v>1980</v>
      </c>
      <c r="F60">
        <f t="shared" ca="1" si="1"/>
        <v>46</v>
      </c>
      <c r="G60">
        <f>COUNTIF(BRON!A:A,'schades-leeftijd'!A60)</f>
        <v>1</v>
      </c>
    </row>
    <row r="61" spans="1:7" x14ac:dyDescent="0.25">
      <c r="A61">
        <v>17566</v>
      </c>
      <c r="B61" t="s">
        <v>1435</v>
      </c>
      <c r="C61" t="s">
        <v>1436</v>
      </c>
      <c r="D61" s="3">
        <v>22889</v>
      </c>
      <c r="E61">
        <f t="shared" si="0"/>
        <v>1962</v>
      </c>
      <c r="F61">
        <f t="shared" ca="1" si="1"/>
        <v>64</v>
      </c>
      <c r="G61">
        <f>COUNTIF(BRON!A:A,'schades-leeftijd'!A61)</f>
        <v>2</v>
      </c>
    </row>
    <row r="62" spans="1:7" x14ac:dyDescent="0.25">
      <c r="A62">
        <v>17931</v>
      </c>
      <c r="B62" t="s">
        <v>1437</v>
      </c>
      <c r="C62" t="s">
        <v>1438</v>
      </c>
      <c r="D62" s="3">
        <v>25055</v>
      </c>
      <c r="E62">
        <f t="shared" si="0"/>
        <v>1968</v>
      </c>
      <c r="F62">
        <f t="shared" ca="1" si="1"/>
        <v>58</v>
      </c>
      <c r="G62">
        <f>COUNTIF(BRON!A:A,'schades-leeftijd'!A62)</f>
        <v>2</v>
      </c>
    </row>
    <row r="63" spans="1:7" x14ac:dyDescent="0.25">
      <c r="A63">
        <v>17951</v>
      </c>
      <c r="B63" t="s">
        <v>1439</v>
      </c>
      <c r="C63" t="s">
        <v>1440</v>
      </c>
      <c r="D63" s="3">
        <v>22267</v>
      </c>
      <c r="E63">
        <f t="shared" si="0"/>
        <v>1960</v>
      </c>
      <c r="F63">
        <f t="shared" ca="1" si="1"/>
        <v>66</v>
      </c>
      <c r="G63">
        <f>COUNTIF(BRON!A:A,'schades-leeftijd'!A63)</f>
        <v>1</v>
      </c>
    </row>
    <row r="64" spans="1:7" x14ac:dyDescent="0.25">
      <c r="A64">
        <v>17954</v>
      </c>
      <c r="B64" t="s">
        <v>1441</v>
      </c>
      <c r="C64" t="s">
        <v>1442</v>
      </c>
      <c r="D64" s="3">
        <v>24694</v>
      </c>
      <c r="E64">
        <f t="shared" si="0"/>
        <v>1967</v>
      </c>
      <c r="F64">
        <f t="shared" ca="1" si="1"/>
        <v>59</v>
      </c>
      <c r="G64">
        <f>COUNTIF(BRON!A:A,'schades-leeftijd'!A64)</f>
        <v>1</v>
      </c>
    </row>
    <row r="65" spans="1:7" x14ac:dyDescent="0.25">
      <c r="A65">
        <v>18051</v>
      </c>
      <c r="B65" t="s">
        <v>1443</v>
      </c>
      <c r="C65" t="s">
        <v>1395</v>
      </c>
      <c r="D65" s="3">
        <v>24058</v>
      </c>
      <c r="E65">
        <f t="shared" si="0"/>
        <v>1965</v>
      </c>
      <c r="F65">
        <f t="shared" ca="1" si="1"/>
        <v>61</v>
      </c>
      <c r="G65">
        <f>COUNTIF(BRON!A:A,'schades-leeftijd'!A65)</f>
        <v>3</v>
      </c>
    </row>
    <row r="66" spans="1:7" x14ac:dyDescent="0.25">
      <c r="A66">
        <v>18139</v>
      </c>
      <c r="B66" t="s">
        <v>1353</v>
      </c>
      <c r="C66" t="s">
        <v>1349</v>
      </c>
      <c r="D66" s="3">
        <v>24575</v>
      </c>
      <c r="E66">
        <f t="shared" si="0"/>
        <v>1967</v>
      </c>
      <c r="F66">
        <f t="shared" ca="1" si="1"/>
        <v>59</v>
      </c>
      <c r="G66">
        <f>COUNTIF(BRON!A:A,'schades-leeftijd'!A66)</f>
        <v>0</v>
      </c>
    </row>
    <row r="67" spans="1:7" x14ac:dyDescent="0.25">
      <c r="A67">
        <v>18141</v>
      </c>
      <c r="B67" t="s">
        <v>1444</v>
      </c>
      <c r="C67" t="s">
        <v>1445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59</v>
      </c>
      <c r="G67">
        <f>COUNTIF(BRON!A:A,'schades-leeftijd'!A67)</f>
        <v>0</v>
      </c>
    </row>
    <row r="68" spans="1:7" x14ac:dyDescent="0.25">
      <c r="A68">
        <v>18173</v>
      </c>
      <c r="B68" t="s">
        <v>1446</v>
      </c>
      <c r="C68" t="s">
        <v>1447</v>
      </c>
      <c r="D68" s="3">
        <v>29127</v>
      </c>
      <c r="E68">
        <f t="shared" si="2"/>
        <v>1979</v>
      </c>
      <c r="F68">
        <f t="shared" ca="1" si="3"/>
        <v>47</v>
      </c>
      <c r="G68">
        <f>COUNTIF(BRON!A:A,'schades-leeftijd'!A68)</f>
        <v>1</v>
      </c>
    </row>
    <row r="69" spans="1:7" x14ac:dyDescent="0.25">
      <c r="A69">
        <v>18624</v>
      </c>
      <c r="B69" t="s">
        <v>1448</v>
      </c>
      <c r="C69" t="s">
        <v>1449</v>
      </c>
      <c r="D69" s="3">
        <v>22884</v>
      </c>
      <c r="E69">
        <f t="shared" si="2"/>
        <v>1962</v>
      </c>
      <c r="F69">
        <f t="shared" ca="1" si="3"/>
        <v>64</v>
      </c>
      <c r="G69">
        <f>COUNTIF(BRON!A:A,'schades-leeftijd'!A69)</f>
        <v>0</v>
      </c>
    </row>
    <row r="70" spans="1:7" x14ac:dyDescent="0.25">
      <c r="A70">
        <v>19016</v>
      </c>
      <c r="B70" t="s">
        <v>1450</v>
      </c>
      <c r="C70" t="s">
        <v>1451</v>
      </c>
      <c r="D70" s="3">
        <v>25538</v>
      </c>
      <c r="E70">
        <f t="shared" si="2"/>
        <v>1969</v>
      </c>
      <c r="F70">
        <f t="shared" ca="1" si="3"/>
        <v>57</v>
      </c>
      <c r="G70">
        <f>COUNTIF(BRON!A:A,'schades-leeftijd'!A70)</f>
        <v>0</v>
      </c>
    </row>
    <row r="71" spans="1:7" x14ac:dyDescent="0.25">
      <c r="A71">
        <v>19086</v>
      </c>
      <c r="B71" t="s">
        <v>1452</v>
      </c>
      <c r="C71" t="s">
        <v>1453</v>
      </c>
      <c r="D71" s="3">
        <v>29513</v>
      </c>
      <c r="E71">
        <f t="shared" si="2"/>
        <v>1980</v>
      </c>
      <c r="F71">
        <f t="shared" ca="1" si="3"/>
        <v>46</v>
      </c>
      <c r="G71">
        <f>COUNTIF(BRON!A:A,'schades-leeftijd'!A71)</f>
        <v>0</v>
      </c>
    </row>
    <row r="72" spans="1:7" x14ac:dyDescent="0.25">
      <c r="A72">
        <v>19087</v>
      </c>
      <c r="B72" t="s">
        <v>1454</v>
      </c>
      <c r="C72" t="s">
        <v>1389</v>
      </c>
      <c r="D72" s="3">
        <v>29547</v>
      </c>
      <c r="E72">
        <f t="shared" si="2"/>
        <v>1980</v>
      </c>
      <c r="F72">
        <f t="shared" ca="1" si="3"/>
        <v>46</v>
      </c>
      <c r="G72">
        <f>COUNTIF(BRON!A:A,'schades-leeftijd'!A72)</f>
        <v>1</v>
      </c>
    </row>
    <row r="73" spans="1:7" x14ac:dyDescent="0.25">
      <c r="A73">
        <v>19088</v>
      </c>
      <c r="B73" t="s">
        <v>1455</v>
      </c>
      <c r="C73" t="s">
        <v>1353</v>
      </c>
      <c r="D73" s="3">
        <v>27422</v>
      </c>
      <c r="E73">
        <f t="shared" si="2"/>
        <v>1975</v>
      </c>
      <c r="F73">
        <f t="shared" ca="1" si="3"/>
        <v>51</v>
      </c>
      <c r="G73">
        <f>COUNTIF(BRON!A:A,'schades-leeftijd'!A73)</f>
        <v>1</v>
      </c>
    </row>
    <row r="74" spans="1:7" x14ac:dyDescent="0.25">
      <c r="A74">
        <v>19127</v>
      </c>
      <c r="B74" t="s">
        <v>1456</v>
      </c>
      <c r="C74" t="s">
        <v>1434</v>
      </c>
      <c r="D74" s="3">
        <v>26900</v>
      </c>
      <c r="E74">
        <f t="shared" si="2"/>
        <v>1973</v>
      </c>
      <c r="F74">
        <f t="shared" ca="1" si="3"/>
        <v>53</v>
      </c>
      <c r="G74">
        <f>COUNTIF(BRON!A:A,'schades-leeftijd'!A74)</f>
        <v>0</v>
      </c>
    </row>
    <row r="75" spans="1:7" x14ac:dyDescent="0.25">
      <c r="A75">
        <v>19219</v>
      </c>
      <c r="B75" t="s">
        <v>1457</v>
      </c>
      <c r="C75" t="s">
        <v>1458</v>
      </c>
      <c r="D75" s="3">
        <v>23793</v>
      </c>
      <c r="E75">
        <f t="shared" si="2"/>
        <v>1965</v>
      </c>
      <c r="F75">
        <f t="shared" ca="1" si="3"/>
        <v>61</v>
      </c>
      <c r="G75">
        <f>COUNTIF(BRON!A:A,'schades-leeftijd'!A75)</f>
        <v>1</v>
      </c>
    </row>
    <row r="76" spans="1:7" x14ac:dyDescent="0.25">
      <c r="A76">
        <v>19249</v>
      </c>
      <c r="B76" t="s">
        <v>1459</v>
      </c>
      <c r="C76" t="s">
        <v>1460</v>
      </c>
      <c r="D76" s="3">
        <v>30809</v>
      </c>
      <c r="E76">
        <f t="shared" si="2"/>
        <v>1984</v>
      </c>
      <c r="F76">
        <f t="shared" ca="1" si="3"/>
        <v>42</v>
      </c>
      <c r="G76">
        <f>COUNTIF(BRON!A:A,'schades-leeftijd'!A76)</f>
        <v>4</v>
      </c>
    </row>
    <row r="77" spans="1:7" x14ac:dyDescent="0.25">
      <c r="A77">
        <v>19251</v>
      </c>
      <c r="B77" t="s">
        <v>1461</v>
      </c>
      <c r="C77" t="s">
        <v>1462</v>
      </c>
      <c r="D77" s="3">
        <v>24261</v>
      </c>
      <c r="E77">
        <f t="shared" si="2"/>
        <v>1966</v>
      </c>
      <c r="F77">
        <f t="shared" ca="1" si="3"/>
        <v>60</v>
      </c>
      <c r="G77">
        <f>COUNTIF(BRON!A:A,'schades-leeftijd'!A77)</f>
        <v>0</v>
      </c>
    </row>
    <row r="78" spans="1:7" x14ac:dyDescent="0.25">
      <c r="A78">
        <v>19520</v>
      </c>
      <c r="B78" t="s">
        <v>1463</v>
      </c>
      <c r="C78" t="s">
        <v>1464</v>
      </c>
      <c r="D78" s="3">
        <v>29721</v>
      </c>
      <c r="E78">
        <f t="shared" si="2"/>
        <v>1981</v>
      </c>
      <c r="F78">
        <f t="shared" ca="1" si="3"/>
        <v>45</v>
      </c>
      <c r="G78">
        <f>COUNTIF(BRON!A:A,'schades-leeftijd'!A78)</f>
        <v>1</v>
      </c>
    </row>
    <row r="79" spans="1:7" x14ac:dyDescent="0.25">
      <c r="A79">
        <v>19675</v>
      </c>
      <c r="B79" t="s">
        <v>1465</v>
      </c>
      <c r="C79" t="s">
        <v>1466</v>
      </c>
      <c r="D79" s="3">
        <v>25000</v>
      </c>
      <c r="E79">
        <f t="shared" si="2"/>
        <v>1968</v>
      </c>
      <c r="F79">
        <f t="shared" ca="1" si="3"/>
        <v>58</v>
      </c>
      <c r="G79">
        <f>COUNTIF(BRON!A:A,'schades-leeftijd'!A79)</f>
        <v>0</v>
      </c>
    </row>
    <row r="80" spans="1:7" x14ac:dyDescent="0.25">
      <c r="A80">
        <v>19676</v>
      </c>
      <c r="B80" t="s">
        <v>1467</v>
      </c>
      <c r="C80" t="s">
        <v>1468</v>
      </c>
      <c r="D80" s="3">
        <v>30660</v>
      </c>
      <c r="E80">
        <f t="shared" si="2"/>
        <v>1983</v>
      </c>
      <c r="F80">
        <f t="shared" ca="1" si="3"/>
        <v>43</v>
      </c>
      <c r="G80">
        <f>COUNTIF(BRON!A:A,'schades-leeftijd'!A80)</f>
        <v>0</v>
      </c>
    </row>
    <row r="81" spans="1:7" x14ac:dyDescent="0.25">
      <c r="A81">
        <v>19691</v>
      </c>
      <c r="B81" t="s">
        <v>1469</v>
      </c>
      <c r="C81" t="s">
        <v>1470</v>
      </c>
      <c r="D81" s="3">
        <v>23974</v>
      </c>
      <c r="E81">
        <f t="shared" si="2"/>
        <v>1965</v>
      </c>
      <c r="F81">
        <f t="shared" ca="1" si="3"/>
        <v>61</v>
      </c>
      <c r="G81">
        <f>COUNTIF(BRON!A:A,'schades-leeftijd'!A81)</f>
        <v>0</v>
      </c>
    </row>
    <row r="82" spans="1:7" x14ac:dyDescent="0.25">
      <c r="A82">
        <v>19766</v>
      </c>
      <c r="B82" t="s">
        <v>1471</v>
      </c>
      <c r="C82" t="s">
        <v>1472</v>
      </c>
      <c r="D82" s="3">
        <v>22649</v>
      </c>
      <c r="E82">
        <f t="shared" si="2"/>
        <v>1962</v>
      </c>
      <c r="F82">
        <f t="shared" ca="1" si="3"/>
        <v>64</v>
      </c>
      <c r="G82">
        <f>COUNTIF(BRON!A:A,'schades-leeftijd'!A82)</f>
        <v>0</v>
      </c>
    </row>
    <row r="83" spans="1:7" x14ac:dyDescent="0.25">
      <c r="A83">
        <v>19810</v>
      </c>
      <c r="B83" t="s">
        <v>1473</v>
      </c>
      <c r="C83" t="s">
        <v>1474</v>
      </c>
      <c r="D83" s="3">
        <v>26051</v>
      </c>
      <c r="E83">
        <f t="shared" si="2"/>
        <v>1971</v>
      </c>
      <c r="F83">
        <f t="shared" ca="1" si="3"/>
        <v>55</v>
      </c>
      <c r="G83">
        <f>COUNTIF(BRON!A:A,'schades-leeftijd'!A83)</f>
        <v>0</v>
      </c>
    </row>
    <row r="84" spans="1:7" x14ac:dyDescent="0.25">
      <c r="A84">
        <v>19848</v>
      </c>
      <c r="B84" t="s">
        <v>1475</v>
      </c>
      <c r="C84" t="s">
        <v>1404</v>
      </c>
      <c r="D84" s="3">
        <v>22573</v>
      </c>
      <c r="E84">
        <f t="shared" si="2"/>
        <v>1961</v>
      </c>
      <c r="F84">
        <f t="shared" ca="1" si="3"/>
        <v>65</v>
      </c>
      <c r="G84">
        <f>COUNTIF(BRON!A:A,'schades-leeftijd'!A84)</f>
        <v>1</v>
      </c>
    </row>
    <row r="85" spans="1:7" x14ac:dyDescent="0.25">
      <c r="A85">
        <v>19917</v>
      </c>
      <c r="B85" t="s">
        <v>1476</v>
      </c>
      <c r="C85" t="s">
        <v>1397</v>
      </c>
      <c r="D85" s="3">
        <v>24135</v>
      </c>
      <c r="E85">
        <f t="shared" si="2"/>
        <v>1966</v>
      </c>
      <c r="F85">
        <f t="shared" ca="1" si="3"/>
        <v>60</v>
      </c>
      <c r="G85">
        <f>COUNTIF(BRON!A:A,'schades-leeftijd'!A85)</f>
        <v>10</v>
      </c>
    </row>
    <row r="86" spans="1:7" x14ac:dyDescent="0.25">
      <c r="A86">
        <v>20375</v>
      </c>
      <c r="B86" t="s">
        <v>1477</v>
      </c>
      <c r="C86" t="s">
        <v>1478</v>
      </c>
      <c r="D86" s="3">
        <v>27391</v>
      </c>
      <c r="E86">
        <f t="shared" si="2"/>
        <v>1974</v>
      </c>
      <c r="F86">
        <f t="shared" ca="1" si="3"/>
        <v>52</v>
      </c>
      <c r="G86">
        <f>COUNTIF(BRON!A:A,'schades-leeftijd'!A86)</f>
        <v>1</v>
      </c>
    </row>
    <row r="87" spans="1:7" x14ac:dyDescent="0.25">
      <c r="A87">
        <v>20376</v>
      </c>
      <c r="B87" t="s">
        <v>1479</v>
      </c>
      <c r="C87" t="s">
        <v>1480</v>
      </c>
      <c r="D87" s="3">
        <v>26892</v>
      </c>
      <c r="E87">
        <f t="shared" si="2"/>
        <v>1973</v>
      </c>
      <c r="F87">
        <f t="shared" ca="1" si="3"/>
        <v>53</v>
      </c>
      <c r="G87">
        <f>COUNTIF(BRON!A:A,'schades-leeftijd'!A87)</f>
        <v>0</v>
      </c>
    </row>
    <row r="88" spans="1:7" x14ac:dyDescent="0.25">
      <c r="A88">
        <v>20400</v>
      </c>
      <c r="B88" t="s">
        <v>1481</v>
      </c>
      <c r="C88" t="s">
        <v>1355</v>
      </c>
      <c r="D88" s="3">
        <v>23779</v>
      </c>
      <c r="E88">
        <f t="shared" si="2"/>
        <v>1965</v>
      </c>
      <c r="F88">
        <f t="shared" ca="1" si="3"/>
        <v>61</v>
      </c>
      <c r="G88">
        <f>COUNTIF(BRON!A:A,'schades-leeftijd'!A88)</f>
        <v>1</v>
      </c>
    </row>
    <row r="89" spans="1:7" x14ac:dyDescent="0.25">
      <c r="A89">
        <v>20402</v>
      </c>
      <c r="B89" t="s">
        <v>1482</v>
      </c>
      <c r="C89" t="s">
        <v>1349</v>
      </c>
      <c r="D89" s="3">
        <v>23889</v>
      </c>
      <c r="E89">
        <f t="shared" si="2"/>
        <v>1965</v>
      </c>
      <c r="F89">
        <f t="shared" ca="1" si="3"/>
        <v>61</v>
      </c>
      <c r="G89">
        <f>COUNTIF(BRON!A:A,'schades-leeftijd'!A89)</f>
        <v>0</v>
      </c>
    </row>
    <row r="90" spans="1:7" x14ac:dyDescent="0.25">
      <c r="A90">
        <v>20404</v>
      </c>
      <c r="B90" t="s">
        <v>1483</v>
      </c>
      <c r="C90" t="s">
        <v>1355</v>
      </c>
      <c r="D90" s="3">
        <v>26247</v>
      </c>
      <c r="E90">
        <f t="shared" si="2"/>
        <v>1971</v>
      </c>
      <c r="F90">
        <f t="shared" ca="1" si="3"/>
        <v>55</v>
      </c>
      <c r="G90">
        <f>COUNTIF(BRON!A:A,'schades-leeftijd'!A90)</f>
        <v>2</v>
      </c>
    </row>
    <row r="91" spans="1:7" x14ac:dyDescent="0.25">
      <c r="A91">
        <v>20476</v>
      </c>
      <c r="B91" t="s">
        <v>1484</v>
      </c>
      <c r="C91" t="s">
        <v>1485</v>
      </c>
      <c r="D91" s="3">
        <v>30153</v>
      </c>
      <c r="E91">
        <f t="shared" si="2"/>
        <v>1982</v>
      </c>
      <c r="F91">
        <f t="shared" ca="1" si="3"/>
        <v>44</v>
      </c>
      <c r="G91">
        <f>COUNTIF(BRON!A:A,'schades-leeftijd'!A91)</f>
        <v>0</v>
      </c>
    </row>
    <row r="92" spans="1:7" x14ac:dyDescent="0.25">
      <c r="A92">
        <v>20542</v>
      </c>
      <c r="B92" t="s">
        <v>1486</v>
      </c>
      <c r="C92" t="s">
        <v>1487</v>
      </c>
      <c r="D92" s="3">
        <v>31215</v>
      </c>
      <c r="E92">
        <f t="shared" si="2"/>
        <v>1985</v>
      </c>
      <c r="F92">
        <f t="shared" ca="1" si="3"/>
        <v>41</v>
      </c>
      <c r="G92">
        <f>COUNTIF(BRON!A:A,'schades-leeftijd'!A92)</f>
        <v>1</v>
      </c>
    </row>
    <row r="93" spans="1:7" x14ac:dyDescent="0.25">
      <c r="A93">
        <v>20543</v>
      </c>
      <c r="B93" t="s">
        <v>1488</v>
      </c>
      <c r="C93" t="s">
        <v>1489</v>
      </c>
      <c r="D93" s="3">
        <v>24788</v>
      </c>
      <c r="E93">
        <f t="shared" si="2"/>
        <v>1967</v>
      </c>
      <c r="F93">
        <f t="shared" ca="1" si="3"/>
        <v>59</v>
      </c>
      <c r="G93">
        <f>COUNTIF(BRON!A:A,'schades-leeftijd'!A93)</f>
        <v>1</v>
      </c>
    </row>
    <row r="94" spans="1:7" x14ac:dyDescent="0.25">
      <c r="A94">
        <v>20610</v>
      </c>
      <c r="B94" t="s">
        <v>1490</v>
      </c>
      <c r="C94" t="s">
        <v>1491</v>
      </c>
      <c r="D94" s="3">
        <v>27176</v>
      </c>
      <c r="E94">
        <f t="shared" si="2"/>
        <v>1974</v>
      </c>
      <c r="F94">
        <f t="shared" ca="1" si="3"/>
        <v>52</v>
      </c>
      <c r="G94">
        <f>COUNTIF(BRON!A:A,'schades-leeftijd'!A94)</f>
        <v>0</v>
      </c>
    </row>
    <row r="95" spans="1:7" x14ac:dyDescent="0.25">
      <c r="A95">
        <v>20612</v>
      </c>
      <c r="B95" t="s">
        <v>1492</v>
      </c>
      <c r="C95" t="s">
        <v>1493</v>
      </c>
      <c r="D95" s="3">
        <v>26097</v>
      </c>
      <c r="E95">
        <f t="shared" si="2"/>
        <v>1971</v>
      </c>
      <c r="F95">
        <f t="shared" ca="1" si="3"/>
        <v>55</v>
      </c>
      <c r="G95">
        <f>COUNTIF(BRON!A:A,'schades-leeftijd'!A95)</f>
        <v>0</v>
      </c>
    </row>
    <row r="96" spans="1:7" x14ac:dyDescent="0.25">
      <c r="A96">
        <v>20653</v>
      </c>
      <c r="B96" t="s">
        <v>1494</v>
      </c>
      <c r="C96" t="s">
        <v>1495</v>
      </c>
      <c r="D96" s="3">
        <v>29923</v>
      </c>
      <c r="E96">
        <f t="shared" si="2"/>
        <v>1981</v>
      </c>
      <c r="F96">
        <f t="shared" ca="1" si="3"/>
        <v>45</v>
      </c>
      <c r="G96">
        <f>COUNTIF(BRON!A:A,'schades-leeftijd'!A96)</f>
        <v>3</v>
      </c>
    </row>
    <row r="97" spans="1:7" x14ac:dyDescent="0.25">
      <c r="A97">
        <v>20655</v>
      </c>
      <c r="B97" t="s">
        <v>1496</v>
      </c>
      <c r="C97" t="s">
        <v>1426</v>
      </c>
      <c r="D97" s="3">
        <v>30082</v>
      </c>
      <c r="E97">
        <f t="shared" si="2"/>
        <v>1982</v>
      </c>
      <c r="F97">
        <f t="shared" ca="1" si="3"/>
        <v>44</v>
      </c>
      <c r="G97">
        <f>COUNTIF(BRON!A:A,'schades-leeftijd'!A97)</f>
        <v>0</v>
      </c>
    </row>
    <row r="98" spans="1:7" x14ac:dyDescent="0.25">
      <c r="A98">
        <v>20656</v>
      </c>
      <c r="B98" t="s">
        <v>1492</v>
      </c>
      <c r="C98" t="s">
        <v>1497</v>
      </c>
      <c r="D98" s="3">
        <v>25256</v>
      </c>
      <c r="E98">
        <f t="shared" si="2"/>
        <v>1969</v>
      </c>
      <c r="F98">
        <f t="shared" ca="1" si="3"/>
        <v>57</v>
      </c>
      <c r="G98">
        <f>COUNTIF(BRON!A:A,'schades-leeftijd'!A98)</f>
        <v>1</v>
      </c>
    </row>
    <row r="99" spans="1:7" x14ac:dyDescent="0.25">
      <c r="A99">
        <v>20705</v>
      </c>
      <c r="B99" t="s">
        <v>1498</v>
      </c>
      <c r="C99" t="s">
        <v>1499</v>
      </c>
      <c r="D99" s="3">
        <v>31394</v>
      </c>
      <c r="E99">
        <f t="shared" si="2"/>
        <v>1985</v>
      </c>
      <c r="F99">
        <f t="shared" ca="1" si="3"/>
        <v>41</v>
      </c>
      <c r="G99">
        <f>COUNTIF(BRON!A:A,'schades-leeftijd'!A99)</f>
        <v>0</v>
      </c>
    </row>
    <row r="100" spans="1:7" x14ac:dyDescent="0.25">
      <c r="A100">
        <v>20954</v>
      </c>
      <c r="B100" t="s">
        <v>1500</v>
      </c>
      <c r="C100" t="s">
        <v>1501</v>
      </c>
      <c r="D100" s="3">
        <v>28705</v>
      </c>
      <c r="E100">
        <f t="shared" si="2"/>
        <v>1978</v>
      </c>
      <c r="F100">
        <f t="shared" ca="1" si="3"/>
        <v>48</v>
      </c>
      <c r="G100">
        <f>COUNTIF(BRON!A:A,'schades-leeftijd'!A100)</f>
        <v>0</v>
      </c>
    </row>
    <row r="101" spans="1:7" x14ac:dyDescent="0.25">
      <c r="A101">
        <v>21121</v>
      </c>
      <c r="B101" t="s">
        <v>1502</v>
      </c>
      <c r="C101" t="s">
        <v>1503</v>
      </c>
      <c r="D101" s="3">
        <v>30571</v>
      </c>
      <c r="E101">
        <f t="shared" si="2"/>
        <v>1983</v>
      </c>
      <c r="F101">
        <f t="shared" ca="1" si="3"/>
        <v>43</v>
      </c>
      <c r="G101">
        <f>COUNTIF(BRON!A:A,'schades-leeftijd'!A101)</f>
        <v>2</v>
      </c>
    </row>
    <row r="102" spans="1:7" x14ac:dyDescent="0.25">
      <c r="A102">
        <v>21124</v>
      </c>
      <c r="B102" t="s">
        <v>1504</v>
      </c>
      <c r="C102" t="s">
        <v>1505</v>
      </c>
      <c r="D102" s="3">
        <v>28233</v>
      </c>
      <c r="E102">
        <f t="shared" si="2"/>
        <v>1977</v>
      </c>
      <c r="F102">
        <f t="shared" ca="1" si="3"/>
        <v>49</v>
      </c>
      <c r="G102">
        <f>COUNTIF(BRON!A:A,'schades-leeftijd'!A102)</f>
        <v>1</v>
      </c>
    </row>
    <row r="103" spans="1:7" x14ac:dyDescent="0.25">
      <c r="A103">
        <v>21160</v>
      </c>
      <c r="B103" t="s">
        <v>1506</v>
      </c>
      <c r="C103" t="s">
        <v>1507</v>
      </c>
      <c r="D103" s="3">
        <v>24630</v>
      </c>
      <c r="E103">
        <f t="shared" si="2"/>
        <v>1967</v>
      </c>
      <c r="F103">
        <f t="shared" ca="1" si="3"/>
        <v>59</v>
      </c>
      <c r="G103">
        <f>COUNTIF(BRON!A:A,'schades-leeftijd'!A103)</f>
        <v>0</v>
      </c>
    </row>
    <row r="104" spans="1:7" x14ac:dyDescent="0.25">
      <c r="A104">
        <v>21249</v>
      </c>
      <c r="B104" t="s">
        <v>1508</v>
      </c>
      <c r="C104" t="s">
        <v>1509</v>
      </c>
      <c r="D104" s="3">
        <v>30655</v>
      </c>
      <c r="E104">
        <f t="shared" si="2"/>
        <v>1983</v>
      </c>
      <c r="F104">
        <f t="shared" ca="1" si="3"/>
        <v>43</v>
      </c>
      <c r="G104">
        <f>COUNTIF(BRON!A:A,'schades-leeftijd'!A104)</f>
        <v>0</v>
      </c>
    </row>
    <row r="105" spans="1:7" x14ac:dyDescent="0.25">
      <c r="A105">
        <v>21382</v>
      </c>
      <c r="B105" t="s">
        <v>1510</v>
      </c>
      <c r="C105" t="s">
        <v>1511</v>
      </c>
      <c r="D105" s="3">
        <v>27768</v>
      </c>
      <c r="E105">
        <f t="shared" si="2"/>
        <v>1976</v>
      </c>
      <c r="F105">
        <f t="shared" ca="1" si="3"/>
        <v>50</v>
      </c>
      <c r="G105">
        <f>COUNTIF(BRON!A:A,'schades-leeftijd'!A105)</f>
        <v>1</v>
      </c>
    </row>
    <row r="106" spans="1:7" x14ac:dyDescent="0.25">
      <c r="A106">
        <v>21383</v>
      </c>
      <c r="B106" t="s">
        <v>1512</v>
      </c>
      <c r="C106" t="s">
        <v>1367</v>
      </c>
      <c r="D106" s="3">
        <v>26590</v>
      </c>
      <c r="E106">
        <f t="shared" si="2"/>
        <v>1972</v>
      </c>
      <c r="F106">
        <f t="shared" ca="1" si="3"/>
        <v>54</v>
      </c>
      <c r="G106">
        <f>COUNTIF(BRON!A:A,'schades-leeftijd'!A106)</f>
        <v>0</v>
      </c>
    </row>
    <row r="107" spans="1:7" x14ac:dyDescent="0.25">
      <c r="A107">
        <v>21424</v>
      </c>
      <c r="B107" t="s">
        <v>1513</v>
      </c>
      <c r="C107" t="s">
        <v>1514</v>
      </c>
      <c r="D107" s="3">
        <v>27407</v>
      </c>
      <c r="E107">
        <f t="shared" si="2"/>
        <v>1975</v>
      </c>
      <c r="F107">
        <f t="shared" ca="1" si="3"/>
        <v>51</v>
      </c>
      <c r="G107">
        <f>COUNTIF(BRON!A:A,'schades-leeftijd'!A107)</f>
        <v>2</v>
      </c>
    </row>
    <row r="108" spans="1:7" x14ac:dyDescent="0.25">
      <c r="A108">
        <v>21428</v>
      </c>
      <c r="B108" t="s">
        <v>1515</v>
      </c>
      <c r="C108" t="s">
        <v>1406</v>
      </c>
      <c r="D108" s="3">
        <v>25671</v>
      </c>
      <c r="E108">
        <f t="shared" si="2"/>
        <v>1970</v>
      </c>
      <c r="F108">
        <f t="shared" ca="1" si="3"/>
        <v>56</v>
      </c>
      <c r="G108">
        <f>COUNTIF(BRON!A:A,'schades-leeftijd'!A108)</f>
        <v>0</v>
      </c>
    </row>
    <row r="109" spans="1:7" x14ac:dyDescent="0.25">
      <c r="A109">
        <v>21429</v>
      </c>
      <c r="B109" t="s">
        <v>1516</v>
      </c>
      <c r="C109" t="s">
        <v>1517</v>
      </c>
      <c r="D109" s="3">
        <v>31632</v>
      </c>
      <c r="E109">
        <f t="shared" si="2"/>
        <v>1986</v>
      </c>
      <c r="F109">
        <f t="shared" ca="1" si="3"/>
        <v>40</v>
      </c>
      <c r="G109">
        <f>COUNTIF(BRON!A:A,'schades-leeftijd'!A109)</f>
        <v>0</v>
      </c>
    </row>
    <row r="110" spans="1:7" x14ac:dyDescent="0.25">
      <c r="A110">
        <v>21466</v>
      </c>
      <c r="B110" t="s">
        <v>1344</v>
      </c>
      <c r="C110" t="s">
        <v>1518</v>
      </c>
      <c r="D110" s="3">
        <v>25358</v>
      </c>
      <c r="E110">
        <f t="shared" si="2"/>
        <v>1969</v>
      </c>
      <c r="F110">
        <f t="shared" ca="1" si="3"/>
        <v>57</v>
      </c>
      <c r="G110">
        <f>COUNTIF(BRON!A:A,'schades-leeftijd'!A110)</f>
        <v>0</v>
      </c>
    </row>
    <row r="111" spans="1:7" x14ac:dyDescent="0.25">
      <c r="A111">
        <v>21506</v>
      </c>
      <c r="B111" t="s">
        <v>1519</v>
      </c>
      <c r="C111" t="s">
        <v>1404</v>
      </c>
      <c r="D111" s="3">
        <v>22969</v>
      </c>
      <c r="E111">
        <f t="shared" si="2"/>
        <v>1962</v>
      </c>
      <c r="F111">
        <f t="shared" ca="1" si="3"/>
        <v>64</v>
      </c>
      <c r="G111">
        <f>COUNTIF(BRON!A:A,'schades-leeftijd'!A111)</f>
        <v>0</v>
      </c>
    </row>
    <row r="112" spans="1:7" x14ac:dyDescent="0.25">
      <c r="A112">
        <v>21507</v>
      </c>
      <c r="B112" t="s">
        <v>1348</v>
      </c>
      <c r="C112" t="s">
        <v>1497</v>
      </c>
      <c r="D112" s="3">
        <v>29938</v>
      </c>
      <c r="E112">
        <f t="shared" si="2"/>
        <v>1981</v>
      </c>
      <c r="F112">
        <f t="shared" ca="1" si="3"/>
        <v>45</v>
      </c>
      <c r="G112">
        <f>COUNTIF(BRON!A:A,'schades-leeftijd'!A112)</f>
        <v>0</v>
      </c>
    </row>
    <row r="113" spans="1:7" x14ac:dyDescent="0.25">
      <c r="A113">
        <v>21509</v>
      </c>
      <c r="B113" t="s">
        <v>1520</v>
      </c>
      <c r="C113" t="s">
        <v>1464</v>
      </c>
      <c r="D113" s="3">
        <v>30190</v>
      </c>
      <c r="E113">
        <f t="shared" si="2"/>
        <v>1982</v>
      </c>
      <c r="F113">
        <f t="shared" ca="1" si="3"/>
        <v>44</v>
      </c>
      <c r="G113">
        <f>COUNTIF(BRON!A:A,'schades-leeftijd'!A113)</f>
        <v>6</v>
      </c>
    </row>
    <row r="114" spans="1:7" x14ac:dyDescent="0.25">
      <c r="A114">
        <v>21581</v>
      </c>
      <c r="B114" t="s">
        <v>1521</v>
      </c>
      <c r="C114" t="s">
        <v>1522</v>
      </c>
      <c r="D114" s="3">
        <v>26100</v>
      </c>
      <c r="E114">
        <f t="shared" si="2"/>
        <v>1971</v>
      </c>
      <c r="F114">
        <f t="shared" ca="1" si="3"/>
        <v>55</v>
      </c>
      <c r="G114">
        <f>COUNTIF(BRON!A:A,'schades-leeftijd'!A114)</f>
        <v>3</v>
      </c>
    </row>
    <row r="115" spans="1:7" x14ac:dyDescent="0.25">
      <c r="A115">
        <v>21662</v>
      </c>
      <c r="B115" t="s">
        <v>1523</v>
      </c>
      <c r="C115" t="s">
        <v>1524</v>
      </c>
      <c r="D115" s="3">
        <v>22761</v>
      </c>
      <c r="E115">
        <f t="shared" si="2"/>
        <v>1962</v>
      </c>
      <c r="F115">
        <f t="shared" ca="1" si="3"/>
        <v>64</v>
      </c>
      <c r="G115">
        <f>COUNTIF(BRON!A:A,'schades-leeftijd'!A115)</f>
        <v>0</v>
      </c>
    </row>
    <row r="116" spans="1:7" x14ac:dyDescent="0.25">
      <c r="A116">
        <v>21738</v>
      </c>
      <c r="B116" t="s">
        <v>1525</v>
      </c>
      <c r="C116" t="s">
        <v>1363</v>
      </c>
      <c r="D116" s="3">
        <v>30888</v>
      </c>
      <c r="E116">
        <f t="shared" si="2"/>
        <v>1984</v>
      </c>
      <c r="F116">
        <f t="shared" ca="1" si="3"/>
        <v>42</v>
      </c>
      <c r="G116">
        <f>COUNTIF(BRON!A:A,'schades-leeftijd'!A116)</f>
        <v>0</v>
      </c>
    </row>
    <row r="117" spans="1:7" x14ac:dyDescent="0.25">
      <c r="A117">
        <v>21809</v>
      </c>
      <c r="B117" t="s">
        <v>1390</v>
      </c>
      <c r="C117" t="s">
        <v>1526</v>
      </c>
      <c r="D117" s="3">
        <v>29830</v>
      </c>
      <c r="E117">
        <f t="shared" si="2"/>
        <v>1981</v>
      </c>
      <c r="F117">
        <f t="shared" ca="1" si="3"/>
        <v>45</v>
      </c>
      <c r="G117">
        <f>COUNTIF(BRON!A:A,'schades-leeftijd'!A117)</f>
        <v>1</v>
      </c>
    </row>
    <row r="118" spans="1:7" x14ac:dyDescent="0.25">
      <c r="A118">
        <v>21845</v>
      </c>
      <c r="B118" t="s">
        <v>1461</v>
      </c>
      <c r="C118" t="s">
        <v>1527</v>
      </c>
      <c r="D118" s="3">
        <v>28968</v>
      </c>
      <c r="E118">
        <f t="shared" si="2"/>
        <v>1979</v>
      </c>
      <c r="F118">
        <f t="shared" ca="1" si="3"/>
        <v>47</v>
      </c>
      <c r="G118">
        <f>COUNTIF(BRON!A:A,'schades-leeftijd'!A118)</f>
        <v>0</v>
      </c>
    </row>
    <row r="119" spans="1:7" x14ac:dyDescent="0.25">
      <c r="A119">
        <v>21892</v>
      </c>
      <c r="B119" t="s">
        <v>1528</v>
      </c>
      <c r="C119" t="s">
        <v>1365</v>
      </c>
      <c r="D119" s="3">
        <v>29470</v>
      </c>
      <c r="E119">
        <f t="shared" si="2"/>
        <v>1980</v>
      </c>
      <c r="F119">
        <f t="shared" ca="1" si="3"/>
        <v>46</v>
      </c>
      <c r="G119">
        <f>COUNTIF(BRON!A:A,'schades-leeftijd'!A119)</f>
        <v>2</v>
      </c>
    </row>
    <row r="120" spans="1:7" x14ac:dyDescent="0.25">
      <c r="A120">
        <v>22042</v>
      </c>
      <c r="B120" t="s">
        <v>1529</v>
      </c>
      <c r="C120" t="s">
        <v>1497</v>
      </c>
      <c r="D120" s="3">
        <v>31562</v>
      </c>
      <c r="E120">
        <f t="shared" si="2"/>
        <v>1986</v>
      </c>
      <c r="F120">
        <f t="shared" ca="1" si="3"/>
        <v>40</v>
      </c>
      <c r="G120">
        <f>COUNTIF(BRON!A:A,'schades-leeftijd'!A120)</f>
        <v>0</v>
      </c>
    </row>
    <row r="121" spans="1:7" x14ac:dyDescent="0.25">
      <c r="A121">
        <v>22052</v>
      </c>
      <c r="B121" t="s">
        <v>1530</v>
      </c>
      <c r="C121" t="s">
        <v>1389</v>
      </c>
      <c r="D121" s="3">
        <v>23387</v>
      </c>
      <c r="E121">
        <f t="shared" si="2"/>
        <v>1964</v>
      </c>
      <c r="F121">
        <f t="shared" ca="1" si="3"/>
        <v>62</v>
      </c>
      <c r="G121">
        <f>COUNTIF(BRON!A:A,'schades-leeftijd'!A121)</f>
        <v>1</v>
      </c>
    </row>
    <row r="122" spans="1:7" x14ac:dyDescent="0.25">
      <c r="A122">
        <v>22143</v>
      </c>
      <c r="B122" t="s">
        <v>1531</v>
      </c>
      <c r="C122" t="s">
        <v>1532</v>
      </c>
      <c r="D122" s="3">
        <v>29586</v>
      </c>
      <c r="E122">
        <f t="shared" si="2"/>
        <v>1980</v>
      </c>
      <c r="F122">
        <f t="shared" ca="1" si="3"/>
        <v>46</v>
      </c>
      <c r="G122">
        <f>COUNTIF(BRON!A:A,'schades-leeftijd'!A122)</f>
        <v>0</v>
      </c>
    </row>
    <row r="123" spans="1:7" x14ac:dyDescent="0.25">
      <c r="A123">
        <v>22202</v>
      </c>
      <c r="B123" t="s">
        <v>1533</v>
      </c>
      <c r="C123" t="s">
        <v>1347</v>
      </c>
      <c r="D123" s="3">
        <v>28068</v>
      </c>
      <c r="E123">
        <f t="shared" si="2"/>
        <v>1976</v>
      </c>
      <c r="F123">
        <f t="shared" ca="1" si="3"/>
        <v>50</v>
      </c>
      <c r="G123">
        <f>COUNTIF(BRON!A:A,'schades-leeftijd'!A123)</f>
        <v>1</v>
      </c>
    </row>
    <row r="124" spans="1:7" x14ac:dyDescent="0.25">
      <c r="A124">
        <v>22240</v>
      </c>
      <c r="B124" t="s">
        <v>1534</v>
      </c>
      <c r="C124" t="s">
        <v>1535</v>
      </c>
      <c r="D124" s="3">
        <v>26235</v>
      </c>
      <c r="E124">
        <f t="shared" si="2"/>
        <v>1971</v>
      </c>
      <c r="F124">
        <f t="shared" ca="1" si="3"/>
        <v>55</v>
      </c>
      <c r="G124">
        <f>COUNTIF(BRON!A:A,'schades-leeftijd'!A124)</f>
        <v>2</v>
      </c>
    </row>
    <row r="125" spans="1:7" x14ac:dyDescent="0.25">
      <c r="A125">
        <v>22244</v>
      </c>
      <c r="B125" t="s">
        <v>1368</v>
      </c>
      <c r="C125" t="s">
        <v>1536</v>
      </c>
      <c r="D125" s="3">
        <v>27824</v>
      </c>
      <c r="E125">
        <f t="shared" si="2"/>
        <v>1976</v>
      </c>
      <c r="F125">
        <f t="shared" ca="1" si="3"/>
        <v>50</v>
      </c>
      <c r="G125">
        <f>COUNTIF(BRON!A:A,'schades-leeftijd'!A125)</f>
        <v>2</v>
      </c>
    </row>
    <row r="126" spans="1:7" x14ac:dyDescent="0.25">
      <c r="A126">
        <v>22296</v>
      </c>
      <c r="B126" t="s">
        <v>1537</v>
      </c>
      <c r="C126" t="s">
        <v>1538</v>
      </c>
      <c r="D126" s="3">
        <v>29517</v>
      </c>
      <c r="E126">
        <f t="shared" si="2"/>
        <v>1980</v>
      </c>
      <c r="F126">
        <f t="shared" ca="1" si="3"/>
        <v>46</v>
      </c>
      <c r="G126">
        <f>COUNTIF(BRON!A:A,'schades-leeftijd'!A126)</f>
        <v>0</v>
      </c>
    </row>
    <row r="127" spans="1:7" x14ac:dyDescent="0.25">
      <c r="A127">
        <v>22416</v>
      </c>
      <c r="B127" t="s">
        <v>1539</v>
      </c>
      <c r="C127" t="s">
        <v>1540</v>
      </c>
      <c r="D127" s="3">
        <v>31696</v>
      </c>
      <c r="E127">
        <f t="shared" si="2"/>
        <v>1986</v>
      </c>
      <c r="F127">
        <f t="shared" ca="1" si="3"/>
        <v>40</v>
      </c>
      <c r="G127">
        <f>COUNTIF(BRON!A:A,'schades-leeftijd'!A127)</f>
        <v>1</v>
      </c>
    </row>
    <row r="128" spans="1:7" x14ac:dyDescent="0.25">
      <c r="A128">
        <v>22625</v>
      </c>
      <c r="B128" t="s">
        <v>1541</v>
      </c>
      <c r="C128" t="s">
        <v>1542</v>
      </c>
      <c r="D128" s="3">
        <v>28070</v>
      </c>
      <c r="E128">
        <f t="shared" si="2"/>
        <v>1976</v>
      </c>
      <c r="F128">
        <f t="shared" ca="1" si="3"/>
        <v>50</v>
      </c>
      <c r="G128">
        <f>COUNTIF(BRON!A:A,'schades-leeftijd'!A128)</f>
        <v>1</v>
      </c>
    </row>
    <row r="129" spans="1:7" x14ac:dyDescent="0.25">
      <c r="A129">
        <v>22767</v>
      </c>
      <c r="B129" t="s">
        <v>1543</v>
      </c>
      <c r="C129" t="s">
        <v>1544</v>
      </c>
      <c r="D129" s="3">
        <v>30532</v>
      </c>
      <c r="E129">
        <f t="shared" si="2"/>
        <v>1983</v>
      </c>
      <c r="F129">
        <f t="shared" ca="1" si="3"/>
        <v>43</v>
      </c>
      <c r="G129">
        <f>COUNTIF(BRON!A:A,'schades-leeftijd'!A129)</f>
        <v>2</v>
      </c>
    </row>
    <row r="130" spans="1:7" x14ac:dyDescent="0.25">
      <c r="A130">
        <v>22877</v>
      </c>
      <c r="B130" t="s">
        <v>1545</v>
      </c>
      <c r="C130" t="s">
        <v>1546</v>
      </c>
      <c r="D130" s="3">
        <v>25777</v>
      </c>
      <c r="E130">
        <f t="shared" si="2"/>
        <v>1970</v>
      </c>
      <c r="F130">
        <f t="shared" ca="1" si="3"/>
        <v>56</v>
      </c>
      <c r="G130">
        <f>COUNTIF(BRON!A:A,'schades-leeftijd'!A130)</f>
        <v>1</v>
      </c>
    </row>
    <row r="131" spans="1:7" x14ac:dyDescent="0.25">
      <c r="A131">
        <v>23326</v>
      </c>
      <c r="B131" t="s">
        <v>1547</v>
      </c>
      <c r="C131" t="s">
        <v>1548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49</v>
      </c>
      <c r="G131">
        <f>COUNTIF(BRON!A:A,'schades-leeftijd'!A131)</f>
        <v>0</v>
      </c>
    </row>
    <row r="132" spans="1:7" x14ac:dyDescent="0.25">
      <c r="A132">
        <v>23481</v>
      </c>
      <c r="B132" t="s">
        <v>1549</v>
      </c>
      <c r="C132" t="s">
        <v>1550</v>
      </c>
      <c r="D132" s="3">
        <v>29923</v>
      </c>
      <c r="E132">
        <f t="shared" si="4"/>
        <v>1981</v>
      </c>
      <c r="F132">
        <f t="shared" ca="1" si="5"/>
        <v>45</v>
      </c>
      <c r="G132">
        <f>COUNTIF(BRON!A:A,'schades-leeftijd'!A132)</f>
        <v>0</v>
      </c>
    </row>
    <row r="133" spans="1:7" x14ac:dyDescent="0.25">
      <c r="A133">
        <v>23543</v>
      </c>
      <c r="B133" t="s">
        <v>1551</v>
      </c>
      <c r="C133" t="s">
        <v>1552</v>
      </c>
      <c r="D133" s="3">
        <v>30706</v>
      </c>
      <c r="E133">
        <f t="shared" si="4"/>
        <v>1984</v>
      </c>
      <c r="F133">
        <f t="shared" ca="1" si="5"/>
        <v>42</v>
      </c>
      <c r="G133">
        <f>COUNTIF(BRON!A:A,'schades-leeftijd'!A133)</f>
        <v>0</v>
      </c>
    </row>
    <row r="134" spans="1:7" x14ac:dyDescent="0.25">
      <c r="A134">
        <v>23545</v>
      </c>
      <c r="B134" t="s">
        <v>1553</v>
      </c>
      <c r="C134" t="s">
        <v>1326</v>
      </c>
      <c r="D134" s="3">
        <v>24859</v>
      </c>
      <c r="E134">
        <f t="shared" si="4"/>
        <v>1968</v>
      </c>
      <c r="F134">
        <f t="shared" ca="1" si="5"/>
        <v>58</v>
      </c>
      <c r="G134">
        <f>COUNTIF(BRON!A:A,'schades-leeftijd'!A134)</f>
        <v>0</v>
      </c>
    </row>
    <row r="135" spans="1:7" x14ac:dyDescent="0.25">
      <c r="A135">
        <v>23700</v>
      </c>
      <c r="B135" t="s">
        <v>1554</v>
      </c>
      <c r="C135" t="s">
        <v>1555</v>
      </c>
      <c r="D135" s="3">
        <v>28357</v>
      </c>
      <c r="E135">
        <f t="shared" si="4"/>
        <v>1977</v>
      </c>
      <c r="F135">
        <f t="shared" ca="1" si="5"/>
        <v>49</v>
      </c>
      <c r="G135">
        <f>COUNTIF(BRON!A:A,'schades-leeftijd'!A135)</f>
        <v>3</v>
      </c>
    </row>
    <row r="136" spans="1:7" x14ac:dyDescent="0.25">
      <c r="A136">
        <v>23790</v>
      </c>
      <c r="B136" t="s">
        <v>1556</v>
      </c>
      <c r="C136" t="s">
        <v>1557</v>
      </c>
      <c r="D136" s="3">
        <v>26528</v>
      </c>
      <c r="E136">
        <f t="shared" si="4"/>
        <v>1972</v>
      </c>
      <c r="F136">
        <f t="shared" ca="1" si="5"/>
        <v>54</v>
      </c>
      <c r="G136">
        <f>COUNTIF(BRON!A:A,'schades-leeftijd'!A136)</f>
        <v>1</v>
      </c>
    </row>
    <row r="137" spans="1:7" x14ac:dyDescent="0.25">
      <c r="A137">
        <v>23791</v>
      </c>
      <c r="B137" t="s">
        <v>1558</v>
      </c>
      <c r="C137" t="s">
        <v>1559</v>
      </c>
      <c r="D137" s="3">
        <v>24373</v>
      </c>
      <c r="E137">
        <f t="shared" si="4"/>
        <v>1966</v>
      </c>
      <c r="F137">
        <f t="shared" ca="1" si="5"/>
        <v>60</v>
      </c>
      <c r="G137">
        <f>COUNTIF(BRON!A:A,'schades-leeftijd'!A137)</f>
        <v>0</v>
      </c>
    </row>
    <row r="138" spans="1:7" x14ac:dyDescent="0.25">
      <c r="A138">
        <v>23818</v>
      </c>
      <c r="B138" t="s">
        <v>1560</v>
      </c>
      <c r="C138" t="s">
        <v>1561</v>
      </c>
      <c r="D138" s="3">
        <v>26173</v>
      </c>
      <c r="E138">
        <f t="shared" si="4"/>
        <v>1971</v>
      </c>
      <c r="F138">
        <f t="shared" ca="1" si="5"/>
        <v>55</v>
      </c>
      <c r="G138">
        <f>COUNTIF(BRON!A:A,'schades-leeftijd'!A138)</f>
        <v>0</v>
      </c>
    </row>
    <row r="139" spans="1:7" x14ac:dyDescent="0.25">
      <c r="A139">
        <v>23880</v>
      </c>
      <c r="B139" t="s">
        <v>1562</v>
      </c>
      <c r="C139" t="s">
        <v>1563</v>
      </c>
      <c r="D139" s="3">
        <v>24328</v>
      </c>
      <c r="E139">
        <f t="shared" si="4"/>
        <v>1966</v>
      </c>
      <c r="F139">
        <f t="shared" ca="1" si="5"/>
        <v>60</v>
      </c>
      <c r="G139">
        <f>COUNTIF(BRON!A:A,'schades-leeftijd'!A139)</f>
        <v>1</v>
      </c>
    </row>
    <row r="140" spans="1:7" x14ac:dyDescent="0.25">
      <c r="A140">
        <v>23918</v>
      </c>
      <c r="B140" t="s">
        <v>1564</v>
      </c>
      <c r="C140" t="s">
        <v>1565</v>
      </c>
      <c r="D140" s="3">
        <v>26005</v>
      </c>
      <c r="E140">
        <f t="shared" si="4"/>
        <v>1971</v>
      </c>
      <c r="F140">
        <f t="shared" ca="1" si="5"/>
        <v>55</v>
      </c>
      <c r="G140">
        <f>COUNTIF(BRON!A:A,'schades-leeftijd'!A140)</f>
        <v>3</v>
      </c>
    </row>
    <row r="141" spans="1:7" x14ac:dyDescent="0.25">
      <c r="A141">
        <v>23924</v>
      </c>
      <c r="B141" t="s">
        <v>1566</v>
      </c>
      <c r="C141" t="s">
        <v>1567</v>
      </c>
      <c r="D141" s="3">
        <v>26572</v>
      </c>
      <c r="E141">
        <f t="shared" si="4"/>
        <v>1972</v>
      </c>
      <c r="F141">
        <f t="shared" ca="1" si="5"/>
        <v>54</v>
      </c>
      <c r="G141">
        <f>COUNTIF(BRON!A:A,'schades-leeftijd'!A141)</f>
        <v>1</v>
      </c>
    </row>
    <row r="142" spans="1:7" x14ac:dyDescent="0.25">
      <c r="A142">
        <v>24155</v>
      </c>
      <c r="B142" t="s">
        <v>1568</v>
      </c>
      <c r="C142" t="s">
        <v>1374</v>
      </c>
      <c r="D142" s="3">
        <v>26728</v>
      </c>
      <c r="E142">
        <f t="shared" si="4"/>
        <v>1973</v>
      </c>
      <c r="F142">
        <f t="shared" ca="1" si="5"/>
        <v>53</v>
      </c>
      <c r="G142">
        <f>COUNTIF(BRON!A:A,'schades-leeftijd'!A142)</f>
        <v>1</v>
      </c>
    </row>
    <row r="143" spans="1:7" x14ac:dyDescent="0.25">
      <c r="A143">
        <v>24156</v>
      </c>
      <c r="B143" t="s">
        <v>1569</v>
      </c>
      <c r="C143" t="s">
        <v>1570</v>
      </c>
      <c r="D143" s="3">
        <v>32241</v>
      </c>
      <c r="E143">
        <f t="shared" si="4"/>
        <v>1988</v>
      </c>
      <c r="F143">
        <f t="shared" ca="1" si="5"/>
        <v>38</v>
      </c>
      <c r="G143">
        <f>COUNTIF(BRON!A:A,'schades-leeftijd'!A143)</f>
        <v>0</v>
      </c>
    </row>
    <row r="144" spans="1:7" x14ac:dyDescent="0.25">
      <c r="A144">
        <v>24367</v>
      </c>
      <c r="B144" t="s">
        <v>1571</v>
      </c>
      <c r="C144" t="s">
        <v>1572</v>
      </c>
      <c r="D144" s="3">
        <v>26948</v>
      </c>
      <c r="E144">
        <f t="shared" si="4"/>
        <v>1973</v>
      </c>
      <c r="F144">
        <f t="shared" ca="1" si="5"/>
        <v>53</v>
      </c>
      <c r="G144">
        <f>COUNTIF(BRON!A:A,'schades-leeftijd'!A144)</f>
        <v>3</v>
      </c>
    </row>
    <row r="145" spans="1:7" x14ac:dyDescent="0.25">
      <c r="A145">
        <v>24472</v>
      </c>
      <c r="B145" t="s">
        <v>1573</v>
      </c>
      <c r="C145" t="s">
        <v>1574</v>
      </c>
      <c r="D145" s="3">
        <v>30762</v>
      </c>
      <c r="E145">
        <f t="shared" si="4"/>
        <v>1984</v>
      </c>
      <c r="F145">
        <f t="shared" ca="1" si="5"/>
        <v>42</v>
      </c>
      <c r="G145">
        <f>COUNTIF(BRON!A:A,'schades-leeftijd'!A145)</f>
        <v>1</v>
      </c>
    </row>
    <row r="146" spans="1:7" x14ac:dyDescent="0.25">
      <c r="A146">
        <v>25234</v>
      </c>
      <c r="B146" t="s">
        <v>1575</v>
      </c>
      <c r="C146" t="s">
        <v>1458</v>
      </c>
      <c r="D146" s="3">
        <v>23931</v>
      </c>
      <c r="E146">
        <f t="shared" si="4"/>
        <v>1965</v>
      </c>
      <c r="F146">
        <f t="shared" ca="1" si="5"/>
        <v>61</v>
      </c>
      <c r="G146">
        <f>COUNTIF(BRON!A:A,'schades-leeftijd'!A146)</f>
        <v>0</v>
      </c>
    </row>
    <row r="147" spans="1:7" x14ac:dyDescent="0.25">
      <c r="A147">
        <v>25486</v>
      </c>
      <c r="B147" t="s">
        <v>1336</v>
      </c>
      <c r="C147" t="s">
        <v>1497</v>
      </c>
      <c r="D147" s="3">
        <v>25942</v>
      </c>
      <c r="E147">
        <f t="shared" si="4"/>
        <v>1971</v>
      </c>
      <c r="F147">
        <f t="shared" ca="1" si="5"/>
        <v>55</v>
      </c>
      <c r="G147">
        <f>COUNTIF(BRON!A:A,'schades-leeftijd'!A147)</f>
        <v>1</v>
      </c>
    </row>
    <row r="148" spans="1:7" x14ac:dyDescent="0.25">
      <c r="A148">
        <v>25487</v>
      </c>
      <c r="B148" t="s">
        <v>1576</v>
      </c>
      <c r="C148" t="s">
        <v>1577</v>
      </c>
      <c r="D148" s="3">
        <v>24366</v>
      </c>
      <c r="E148">
        <f t="shared" si="4"/>
        <v>1966</v>
      </c>
      <c r="F148">
        <f t="shared" ca="1" si="5"/>
        <v>60</v>
      </c>
      <c r="G148">
        <f>COUNTIF(BRON!A:A,'schades-leeftijd'!A148)</f>
        <v>4</v>
      </c>
    </row>
    <row r="149" spans="1:7" x14ac:dyDescent="0.25">
      <c r="A149">
        <v>25679</v>
      </c>
      <c r="B149" t="s">
        <v>1578</v>
      </c>
      <c r="C149" t="s">
        <v>1579</v>
      </c>
      <c r="D149" s="3">
        <v>24380</v>
      </c>
      <c r="E149">
        <f t="shared" si="4"/>
        <v>1966</v>
      </c>
      <c r="F149">
        <f t="shared" ca="1" si="5"/>
        <v>60</v>
      </c>
      <c r="G149">
        <f>COUNTIF(BRON!A:A,'schades-leeftijd'!A149)</f>
        <v>2</v>
      </c>
    </row>
    <row r="150" spans="1:7" x14ac:dyDescent="0.25">
      <c r="A150">
        <v>25680</v>
      </c>
      <c r="B150" t="s">
        <v>1580</v>
      </c>
      <c r="C150" t="s">
        <v>1581</v>
      </c>
      <c r="D150" s="3">
        <v>29775</v>
      </c>
      <c r="E150">
        <f t="shared" si="4"/>
        <v>1981</v>
      </c>
      <c r="F150">
        <f t="shared" ca="1" si="5"/>
        <v>45</v>
      </c>
      <c r="G150">
        <f>COUNTIF(BRON!A:A,'schades-leeftijd'!A150)</f>
        <v>0</v>
      </c>
    </row>
    <row r="151" spans="1:7" x14ac:dyDescent="0.25">
      <c r="A151">
        <v>25733</v>
      </c>
      <c r="B151" t="s">
        <v>1582</v>
      </c>
      <c r="C151" t="s">
        <v>1583</v>
      </c>
      <c r="D151" s="3">
        <v>30480</v>
      </c>
      <c r="E151">
        <f t="shared" si="4"/>
        <v>1983</v>
      </c>
      <c r="F151">
        <f t="shared" ca="1" si="5"/>
        <v>43</v>
      </c>
      <c r="G151">
        <f>COUNTIF(BRON!A:A,'schades-leeftijd'!A151)</f>
        <v>2</v>
      </c>
    </row>
    <row r="152" spans="1:7" x14ac:dyDescent="0.25">
      <c r="A152">
        <v>25829</v>
      </c>
      <c r="B152" t="s">
        <v>1584</v>
      </c>
      <c r="C152" t="s">
        <v>1585</v>
      </c>
      <c r="D152" s="3">
        <v>28120</v>
      </c>
      <c r="E152">
        <f t="shared" si="4"/>
        <v>1976</v>
      </c>
      <c r="F152">
        <f t="shared" ca="1" si="5"/>
        <v>50</v>
      </c>
      <c r="G152">
        <f>COUNTIF(BRON!A:A,'schades-leeftijd'!A152)</f>
        <v>1</v>
      </c>
    </row>
    <row r="153" spans="1:7" x14ac:dyDescent="0.25">
      <c r="A153">
        <v>25871</v>
      </c>
      <c r="B153" t="s">
        <v>1586</v>
      </c>
      <c r="C153" t="s">
        <v>1587</v>
      </c>
      <c r="D153" s="3">
        <v>29751</v>
      </c>
      <c r="E153">
        <f t="shared" si="4"/>
        <v>1981</v>
      </c>
      <c r="F153">
        <f t="shared" ca="1" si="5"/>
        <v>45</v>
      </c>
      <c r="G153">
        <f>COUNTIF(BRON!A:A,'schades-leeftijd'!A153)</f>
        <v>0</v>
      </c>
    </row>
    <row r="154" spans="1:7" x14ac:dyDescent="0.25">
      <c r="A154">
        <v>25873</v>
      </c>
      <c r="B154" t="s">
        <v>1588</v>
      </c>
      <c r="C154" t="s">
        <v>1589</v>
      </c>
      <c r="D154" s="3">
        <v>29202</v>
      </c>
      <c r="E154">
        <f t="shared" si="4"/>
        <v>1979</v>
      </c>
      <c r="F154">
        <f t="shared" ca="1" si="5"/>
        <v>47</v>
      </c>
      <c r="G154">
        <f>COUNTIF(BRON!A:A,'schades-leeftijd'!A154)</f>
        <v>1</v>
      </c>
    </row>
    <row r="155" spans="1:7" x14ac:dyDescent="0.25">
      <c r="A155">
        <v>25993</v>
      </c>
      <c r="B155" t="s">
        <v>1590</v>
      </c>
      <c r="C155" t="s">
        <v>1591</v>
      </c>
      <c r="D155" s="3">
        <v>27364</v>
      </c>
      <c r="E155">
        <f t="shared" si="4"/>
        <v>1974</v>
      </c>
      <c r="F155">
        <f t="shared" ca="1" si="5"/>
        <v>52</v>
      </c>
      <c r="G155">
        <f>COUNTIF(BRON!A:A,'schades-leeftijd'!A155)</f>
        <v>1</v>
      </c>
    </row>
    <row r="156" spans="1:7" x14ac:dyDescent="0.25">
      <c r="A156">
        <v>25994</v>
      </c>
      <c r="B156" t="s">
        <v>1592</v>
      </c>
      <c r="C156" t="s">
        <v>1480</v>
      </c>
      <c r="D156" s="3">
        <v>27418</v>
      </c>
      <c r="E156">
        <f t="shared" si="4"/>
        <v>1975</v>
      </c>
      <c r="F156">
        <f t="shared" ca="1" si="5"/>
        <v>51</v>
      </c>
      <c r="G156">
        <f>COUNTIF(BRON!A:A,'schades-leeftijd'!A156)</f>
        <v>1</v>
      </c>
    </row>
    <row r="157" spans="1:7" x14ac:dyDescent="0.25">
      <c r="A157">
        <v>26102</v>
      </c>
      <c r="B157" t="s">
        <v>1593</v>
      </c>
      <c r="C157" t="s">
        <v>1594</v>
      </c>
      <c r="D157" s="3">
        <v>31566</v>
      </c>
      <c r="E157">
        <f t="shared" si="4"/>
        <v>1986</v>
      </c>
      <c r="F157">
        <f t="shared" ca="1" si="5"/>
        <v>40</v>
      </c>
      <c r="G157">
        <f>COUNTIF(BRON!A:A,'schades-leeftijd'!A157)</f>
        <v>1</v>
      </c>
    </row>
    <row r="158" spans="1:7" x14ac:dyDescent="0.25">
      <c r="A158">
        <v>26137</v>
      </c>
      <c r="B158" t="s">
        <v>1595</v>
      </c>
      <c r="C158" t="s">
        <v>1596</v>
      </c>
      <c r="D158" s="3">
        <v>22939</v>
      </c>
      <c r="E158">
        <f t="shared" si="4"/>
        <v>1962</v>
      </c>
      <c r="F158">
        <f t="shared" ca="1" si="5"/>
        <v>64</v>
      </c>
      <c r="G158">
        <f>COUNTIF(BRON!A:A,'schades-leeftijd'!A158)</f>
        <v>4</v>
      </c>
    </row>
    <row r="159" spans="1:7" x14ac:dyDescent="0.25">
      <c r="A159">
        <v>26197</v>
      </c>
      <c r="B159" t="s">
        <v>1597</v>
      </c>
      <c r="C159" t="s">
        <v>1598</v>
      </c>
      <c r="D159" s="3">
        <v>25815</v>
      </c>
      <c r="E159">
        <f t="shared" si="4"/>
        <v>1970</v>
      </c>
      <c r="F159">
        <f t="shared" ca="1" si="5"/>
        <v>56</v>
      </c>
      <c r="G159">
        <f>COUNTIF(BRON!A:A,'schades-leeftijd'!A159)</f>
        <v>0</v>
      </c>
    </row>
    <row r="160" spans="1:7" x14ac:dyDescent="0.25">
      <c r="A160">
        <v>26198</v>
      </c>
      <c r="B160" t="s">
        <v>1599</v>
      </c>
      <c r="C160" t="s">
        <v>1600</v>
      </c>
      <c r="D160" s="3">
        <v>28199</v>
      </c>
      <c r="E160">
        <f t="shared" si="4"/>
        <v>1977</v>
      </c>
      <c r="F160">
        <f t="shared" ca="1" si="5"/>
        <v>49</v>
      </c>
      <c r="G160">
        <f>COUNTIF(BRON!A:A,'schades-leeftijd'!A160)</f>
        <v>3</v>
      </c>
    </row>
    <row r="161" spans="1:7" x14ac:dyDescent="0.25">
      <c r="A161">
        <v>26199</v>
      </c>
      <c r="B161" t="s">
        <v>1601</v>
      </c>
      <c r="C161" t="s">
        <v>1522</v>
      </c>
      <c r="D161" s="3">
        <v>23749</v>
      </c>
      <c r="E161">
        <f t="shared" si="4"/>
        <v>1965</v>
      </c>
      <c r="F161">
        <f t="shared" ca="1" si="5"/>
        <v>61</v>
      </c>
      <c r="G161">
        <f>COUNTIF(BRON!A:A,'schades-leeftijd'!A161)</f>
        <v>1</v>
      </c>
    </row>
    <row r="162" spans="1:7" x14ac:dyDescent="0.25">
      <c r="A162">
        <v>26265</v>
      </c>
      <c r="B162" t="s">
        <v>1602</v>
      </c>
      <c r="C162" t="s">
        <v>1505</v>
      </c>
      <c r="D162" s="3">
        <v>24341</v>
      </c>
      <c r="E162">
        <f t="shared" si="4"/>
        <v>1966</v>
      </c>
      <c r="F162">
        <f t="shared" ca="1" si="5"/>
        <v>60</v>
      </c>
      <c r="G162">
        <f>COUNTIF(BRON!A:A,'schades-leeftijd'!A162)</f>
        <v>0</v>
      </c>
    </row>
    <row r="163" spans="1:7" x14ac:dyDescent="0.25">
      <c r="A163">
        <v>26266</v>
      </c>
      <c r="B163" t="s">
        <v>1573</v>
      </c>
      <c r="C163" t="s">
        <v>1501</v>
      </c>
      <c r="D163" s="3">
        <v>31706</v>
      </c>
      <c r="E163">
        <f t="shared" si="4"/>
        <v>1986</v>
      </c>
      <c r="F163">
        <f t="shared" ca="1" si="5"/>
        <v>40</v>
      </c>
      <c r="G163">
        <f>COUNTIF(BRON!A:A,'schades-leeftijd'!A163)</f>
        <v>1</v>
      </c>
    </row>
    <row r="164" spans="1:7" x14ac:dyDescent="0.25">
      <c r="A164">
        <v>26331</v>
      </c>
      <c r="B164" t="s">
        <v>1603</v>
      </c>
      <c r="C164" t="s">
        <v>1347</v>
      </c>
      <c r="D164" s="3">
        <v>23837</v>
      </c>
      <c r="E164">
        <f t="shared" si="4"/>
        <v>1965</v>
      </c>
      <c r="F164">
        <f t="shared" ca="1" si="5"/>
        <v>61</v>
      </c>
      <c r="G164">
        <f>COUNTIF(BRON!A:A,'schades-leeftijd'!A164)</f>
        <v>3</v>
      </c>
    </row>
    <row r="165" spans="1:7" x14ac:dyDescent="0.25">
      <c r="A165">
        <v>26334</v>
      </c>
      <c r="B165" t="s">
        <v>1604</v>
      </c>
      <c r="C165" t="s">
        <v>1428</v>
      </c>
      <c r="D165" s="3">
        <v>23313</v>
      </c>
      <c r="E165">
        <f t="shared" si="4"/>
        <v>1963</v>
      </c>
      <c r="F165">
        <f t="shared" ca="1" si="5"/>
        <v>63</v>
      </c>
      <c r="G165">
        <f>COUNTIF(BRON!A:A,'schades-leeftijd'!A165)</f>
        <v>0</v>
      </c>
    </row>
    <row r="166" spans="1:7" x14ac:dyDescent="0.25">
      <c r="A166">
        <v>26384</v>
      </c>
      <c r="B166" t="s">
        <v>1605</v>
      </c>
      <c r="C166" t="s">
        <v>1600</v>
      </c>
      <c r="D166" s="3">
        <v>28045</v>
      </c>
      <c r="E166">
        <f t="shared" si="4"/>
        <v>1976</v>
      </c>
      <c r="F166">
        <f t="shared" ca="1" si="5"/>
        <v>50</v>
      </c>
      <c r="G166">
        <f>COUNTIF(BRON!A:A,'schades-leeftijd'!A166)</f>
        <v>1</v>
      </c>
    </row>
    <row r="167" spans="1:7" x14ac:dyDescent="0.25">
      <c r="A167">
        <v>26521</v>
      </c>
      <c r="B167" t="s">
        <v>1606</v>
      </c>
      <c r="C167" t="s">
        <v>1607</v>
      </c>
      <c r="D167" s="3">
        <v>32073</v>
      </c>
      <c r="E167">
        <f t="shared" si="4"/>
        <v>1987</v>
      </c>
      <c r="F167">
        <f t="shared" ca="1" si="5"/>
        <v>39</v>
      </c>
      <c r="G167">
        <f>COUNTIF(BRON!A:A,'schades-leeftijd'!A167)</f>
        <v>1</v>
      </c>
    </row>
    <row r="168" spans="1:7" x14ac:dyDescent="0.25">
      <c r="A168">
        <v>26524</v>
      </c>
      <c r="B168" t="s">
        <v>1346</v>
      </c>
      <c r="C168" t="s">
        <v>1414</v>
      </c>
      <c r="D168" s="3">
        <v>32548</v>
      </c>
      <c r="E168">
        <f t="shared" si="4"/>
        <v>1989</v>
      </c>
      <c r="F168">
        <f t="shared" ca="1" si="5"/>
        <v>37</v>
      </c>
      <c r="G168">
        <f>COUNTIF(BRON!A:A,'schades-leeftijd'!A168)</f>
        <v>1</v>
      </c>
    </row>
    <row r="169" spans="1:7" x14ac:dyDescent="0.25">
      <c r="A169">
        <v>26638</v>
      </c>
      <c r="B169" t="s">
        <v>1608</v>
      </c>
      <c r="C169" t="s">
        <v>1458</v>
      </c>
      <c r="D169" s="3">
        <v>27001</v>
      </c>
      <c r="E169">
        <f t="shared" si="4"/>
        <v>1973</v>
      </c>
      <c r="F169">
        <f t="shared" ca="1" si="5"/>
        <v>53</v>
      </c>
      <c r="G169">
        <f>COUNTIF(BRON!A:A,'schades-leeftijd'!A169)</f>
        <v>0</v>
      </c>
    </row>
    <row r="170" spans="1:7" x14ac:dyDescent="0.25">
      <c r="A170">
        <v>26639</v>
      </c>
      <c r="B170" t="s">
        <v>1609</v>
      </c>
      <c r="C170" t="s">
        <v>1434</v>
      </c>
      <c r="D170" s="3">
        <v>26831</v>
      </c>
      <c r="E170">
        <f t="shared" si="4"/>
        <v>1973</v>
      </c>
      <c r="F170">
        <f t="shared" ca="1" si="5"/>
        <v>53</v>
      </c>
      <c r="G170">
        <f>COUNTIF(BRON!A:A,'schades-leeftijd'!A170)</f>
        <v>1</v>
      </c>
    </row>
    <row r="171" spans="1:7" x14ac:dyDescent="0.25">
      <c r="A171">
        <v>26695</v>
      </c>
      <c r="B171" t="s">
        <v>1610</v>
      </c>
      <c r="C171" t="s">
        <v>1611</v>
      </c>
      <c r="D171" s="3">
        <v>31035</v>
      </c>
      <c r="E171">
        <f t="shared" si="4"/>
        <v>1984</v>
      </c>
      <c r="F171">
        <f t="shared" ca="1" si="5"/>
        <v>42</v>
      </c>
      <c r="G171">
        <f>COUNTIF(BRON!A:A,'schades-leeftijd'!A171)</f>
        <v>2</v>
      </c>
    </row>
    <row r="172" spans="1:7" x14ac:dyDescent="0.25">
      <c r="A172">
        <v>26792</v>
      </c>
      <c r="B172" t="s">
        <v>1612</v>
      </c>
      <c r="C172" t="s">
        <v>1613</v>
      </c>
      <c r="D172" s="3">
        <v>24034</v>
      </c>
      <c r="E172">
        <f t="shared" si="4"/>
        <v>1965</v>
      </c>
      <c r="F172">
        <f t="shared" ca="1" si="5"/>
        <v>61</v>
      </c>
      <c r="G172">
        <f>COUNTIF(BRON!A:A,'schades-leeftijd'!A172)</f>
        <v>0</v>
      </c>
    </row>
    <row r="173" spans="1:7" x14ac:dyDescent="0.25">
      <c r="A173">
        <v>26847</v>
      </c>
      <c r="B173" t="s">
        <v>1614</v>
      </c>
      <c r="C173" t="s">
        <v>1353</v>
      </c>
      <c r="D173" s="3">
        <v>25315</v>
      </c>
      <c r="E173">
        <f t="shared" si="4"/>
        <v>1969</v>
      </c>
      <c r="F173">
        <f t="shared" ca="1" si="5"/>
        <v>57</v>
      </c>
      <c r="G173">
        <f>COUNTIF(BRON!A:A,'schades-leeftijd'!A173)</f>
        <v>2</v>
      </c>
    </row>
    <row r="174" spans="1:7" x14ac:dyDescent="0.25">
      <c r="A174">
        <v>26959</v>
      </c>
      <c r="B174" t="s">
        <v>1615</v>
      </c>
      <c r="C174" t="s">
        <v>1331</v>
      </c>
      <c r="D174" s="3">
        <v>25346</v>
      </c>
      <c r="E174">
        <f t="shared" si="4"/>
        <v>1969</v>
      </c>
      <c r="F174">
        <f t="shared" ca="1" si="5"/>
        <v>57</v>
      </c>
      <c r="G174">
        <f>COUNTIF(BRON!A:A,'schades-leeftijd'!A174)</f>
        <v>0</v>
      </c>
    </row>
    <row r="175" spans="1:7" x14ac:dyDescent="0.25">
      <c r="A175">
        <v>26960</v>
      </c>
      <c r="B175" t="s">
        <v>1616</v>
      </c>
      <c r="C175" t="s">
        <v>1617</v>
      </c>
      <c r="D175" s="3">
        <v>32970</v>
      </c>
      <c r="E175">
        <f t="shared" si="4"/>
        <v>1990</v>
      </c>
      <c r="F175">
        <f t="shared" ca="1" si="5"/>
        <v>36</v>
      </c>
      <c r="G175">
        <f>COUNTIF(BRON!A:A,'schades-leeftijd'!A175)</f>
        <v>3</v>
      </c>
    </row>
    <row r="176" spans="1:7" x14ac:dyDescent="0.25">
      <c r="A176">
        <v>27153</v>
      </c>
      <c r="B176" t="s">
        <v>1618</v>
      </c>
      <c r="C176" t="s">
        <v>1619</v>
      </c>
      <c r="D176" s="3">
        <v>32853</v>
      </c>
      <c r="E176">
        <f t="shared" si="4"/>
        <v>1989</v>
      </c>
      <c r="F176">
        <f t="shared" ca="1" si="5"/>
        <v>37</v>
      </c>
      <c r="G176">
        <f>COUNTIF(BRON!A:A,'schades-leeftijd'!A176)</f>
        <v>3</v>
      </c>
    </row>
    <row r="177" spans="1:7" x14ac:dyDescent="0.25">
      <c r="A177">
        <v>27186</v>
      </c>
      <c r="B177" t="s">
        <v>1620</v>
      </c>
      <c r="C177" t="s">
        <v>1621</v>
      </c>
      <c r="D177" s="3">
        <v>27314</v>
      </c>
      <c r="E177">
        <f t="shared" si="4"/>
        <v>1974</v>
      </c>
      <c r="F177">
        <f t="shared" ca="1" si="5"/>
        <v>52</v>
      </c>
      <c r="G177">
        <f>COUNTIF(BRON!A:A,'schades-leeftijd'!A177)</f>
        <v>2</v>
      </c>
    </row>
    <row r="178" spans="1:7" x14ac:dyDescent="0.25">
      <c r="A178">
        <v>27209</v>
      </c>
      <c r="B178" t="s">
        <v>1530</v>
      </c>
      <c r="C178" t="s">
        <v>1600</v>
      </c>
      <c r="D178" s="3">
        <v>23065</v>
      </c>
      <c r="E178">
        <f t="shared" si="4"/>
        <v>1963</v>
      </c>
      <c r="F178">
        <f t="shared" ca="1" si="5"/>
        <v>63</v>
      </c>
      <c r="G178">
        <f>COUNTIF(BRON!A:A,'schades-leeftijd'!A178)</f>
        <v>3</v>
      </c>
    </row>
    <row r="179" spans="1:7" x14ac:dyDescent="0.25">
      <c r="A179">
        <v>27577</v>
      </c>
      <c r="B179" t="s">
        <v>1614</v>
      </c>
      <c r="C179" t="s">
        <v>1544</v>
      </c>
      <c r="D179" s="3">
        <v>25646</v>
      </c>
      <c r="E179">
        <f t="shared" si="4"/>
        <v>1970</v>
      </c>
      <c r="F179">
        <f t="shared" ca="1" si="5"/>
        <v>56</v>
      </c>
      <c r="G179">
        <f>COUNTIF(BRON!A:A,'schades-leeftijd'!A179)</f>
        <v>0</v>
      </c>
    </row>
    <row r="180" spans="1:7" x14ac:dyDescent="0.25">
      <c r="A180">
        <v>27607</v>
      </c>
      <c r="B180" t="s">
        <v>1622</v>
      </c>
      <c r="C180" t="s">
        <v>1623</v>
      </c>
      <c r="D180" s="3">
        <v>29887</v>
      </c>
      <c r="E180">
        <f t="shared" si="4"/>
        <v>1981</v>
      </c>
      <c r="F180">
        <f t="shared" ca="1" si="5"/>
        <v>45</v>
      </c>
      <c r="G180">
        <f>COUNTIF(BRON!A:A,'schades-leeftijd'!A180)</f>
        <v>0</v>
      </c>
    </row>
    <row r="181" spans="1:7" x14ac:dyDescent="0.25">
      <c r="A181">
        <v>27635</v>
      </c>
      <c r="B181" t="s">
        <v>1624</v>
      </c>
      <c r="C181" t="s">
        <v>1625</v>
      </c>
      <c r="D181" s="3">
        <v>31904</v>
      </c>
      <c r="E181">
        <f t="shared" si="4"/>
        <v>1987</v>
      </c>
      <c r="F181">
        <f t="shared" ca="1" si="5"/>
        <v>39</v>
      </c>
      <c r="G181">
        <f>COUNTIF(BRON!A:A,'schades-leeftijd'!A181)</f>
        <v>1</v>
      </c>
    </row>
    <row r="182" spans="1:7" x14ac:dyDescent="0.25">
      <c r="A182">
        <v>27672</v>
      </c>
      <c r="B182" t="s">
        <v>1626</v>
      </c>
      <c r="C182" t="s">
        <v>1451</v>
      </c>
      <c r="D182" s="3">
        <v>31877</v>
      </c>
      <c r="E182">
        <f t="shared" si="4"/>
        <v>1987</v>
      </c>
      <c r="F182">
        <f t="shared" ca="1" si="5"/>
        <v>39</v>
      </c>
      <c r="G182">
        <f>COUNTIF(BRON!A:A,'schades-leeftijd'!A182)</f>
        <v>1</v>
      </c>
    </row>
    <row r="183" spans="1:7" x14ac:dyDescent="0.25">
      <c r="A183">
        <v>27673</v>
      </c>
      <c r="B183" t="s">
        <v>1627</v>
      </c>
      <c r="C183" t="s">
        <v>1374</v>
      </c>
      <c r="D183" s="3">
        <v>27365</v>
      </c>
      <c r="E183">
        <f t="shared" si="4"/>
        <v>1974</v>
      </c>
      <c r="F183">
        <f t="shared" ca="1" si="5"/>
        <v>52</v>
      </c>
      <c r="G183">
        <f>COUNTIF(BRON!A:A,'schades-leeftijd'!A183)</f>
        <v>1</v>
      </c>
    </row>
    <row r="184" spans="1:7" x14ac:dyDescent="0.25">
      <c r="A184">
        <v>27711</v>
      </c>
      <c r="B184" t="s">
        <v>1628</v>
      </c>
      <c r="C184" t="s">
        <v>1353</v>
      </c>
      <c r="D184" s="3">
        <v>27392</v>
      </c>
      <c r="E184">
        <f t="shared" si="4"/>
        <v>1974</v>
      </c>
      <c r="F184">
        <f t="shared" ca="1" si="5"/>
        <v>52</v>
      </c>
      <c r="G184">
        <f>COUNTIF(BRON!A:A,'schades-leeftijd'!A184)</f>
        <v>0</v>
      </c>
    </row>
    <row r="185" spans="1:7" x14ac:dyDescent="0.25">
      <c r="A185">
        <v>27713</v>
      </c>
      <c r="B185" t="s">
        <v>1629</v>
      </c>
      <c r="C185" t="s">
        <v>1497</v>
      </c>
      <c r="D185" s="3">
        <v>25474</v>
      </c>
      <c r="E185">
        <f t="shared" si="4"/>
        <v>1969</v>
      </c>
      <c r="F185">
        <f t="shared" ca="1" si="5"/>
        <v>57</v>
      </c>
      <c r="G185">
        <f>COUNTIF(BRON!A:A,'schades-leeftijd'!A185)</f>
        <v>1</v>
      </c>
    </row>
    <row r="186" spans="1:7" x14ac:dyDescent="0.25">
      <c r="A186">
        <v>27786</v>
      </c>
      <c r="B186" t="s">
        <v>1630</v>
      </c>
      <c r="C186" t="s">
        <v>1631</v>
      </c>
      <c r="D186" s="3">
        <v>24757</v>
      </c>
      <c r="E186">
        <f t="shared" si="4"/>
        <v>1967</v>
      </c>
      <c r="F186">
        <f t="shared" ca="1" si="5"/>
        <v>59</v>
      </c>
      <c r="G186">
        <f>COUNTIF(BRON!A:A,'schades-leeftijd'!A186)</f>
        <v>0</v>
      </c>
    </row>
    <row r="187" spans="1:7" x14ac:dyDescent="0.25">
      <c r="A187">
        <v>27865</v>
      </c>
      <c r="B187" t="s">
        <v>1632</v>
      </c>
      <c r="C187" t="s">
        <v>1633</v>
      </c>
      <c r="D187" s="3">
        <v>25648</v>
      </c>
      <c r="E187">
        <f t="shared" si="4"/>
        <v>1970</v>
      </c>
      <c r="F187">
        <f t="shared" ca="1" si="5"/>
        <v>56</v>
      </c>
      <c r="G187">
        <f>COUNTIF(BRON!A:A,'schades-leeftijd'!A187)</f>
        <v>1</v>
      </c>
    </row>
    <row r="188" spans="1:7" x14ac:dyDescent="0.25">
      <c r="A188">
        <v>28071</v>
      </c>
      <c r="B188" t="s">
        <v>1634</v>
      </c>
      <c r="C188" t="s">
        <v>1635</v>
      </c>
      <c r="D188" s="3">
        <v>30399</v>
      </c>
      <c r="E188">
        <f t="shared" si="4"/>
        <v>1983</v>
      </c>
      <c r="F188">
        <f t="shared" ca="1" si="5"/>
        <v>43</v>
      </c>
      <c r="G188">
        <f>COUNTIF(BRON!A:A,'schades-leeftijd'!A188)</f>
        <v>0</v>
      </c>
    </row>
    <row r="189" spans="1:7" x14ac:dyDescent="0.25">
      <c r="A189">
        <v>28072</v>
      </c>
      <c r="B189" t="s">
        <v>1636</v>
      </c>
      <c r="C189" t="s">
        <v>1637</v>
      </c>
      <c r="D189" s="3">
        <v>25585</v>
      </c>
      <c r="E189">
        <f t="shared" si="4"/>
        <v>1970</v>
      </c>
      <c r="F189">
        <f t="shared" ca="1" si="5"/>
        <v>56</v>
      </c>
      <c r="G189">
        <f>COUNTIF(BRON!A:A,'schades-leeftijd'!A189)</f>
        <v>0</v>
      </c>
    </row>
    <row r="190" spans="1:7" x14ac:dyDescent="0.25">
      <c r="A190">
        <v>28165</v>
      </c>
      <c r="B190" t="s">
        <v>1638</v>
      </c>
      <c r="C190" t="s">
        <v>1349</v>
      </c>
      <c r="D190" s="3">
        <v>25640</v>
      </c>
      <c r="E190">
        <f t="shared" si="4"/>
        <v>1970</v>
      </c>
      <c r="F190">
        <f t="shared" ca="1" si="5"/>
        <v>56</v>
      </c>
      <c r="G190">
        <f>COUNTIF(BRON!A:A,'schades-leeftijd'!A190)</f>
        <v>0</v>
      </c>
    </row>
    <row r="191" spans="1:7" x14ac:dyDescent="0.25">
      <c r="A191">
        <v>28690</v>
      </c>
      <c r="B191" t="s">
        <v>1639</v>
      </c>
      <c r="C191" t="s">
        <v>1640</v>
      </c>
      <c r="D191" s="3">
        <v>28385</v>
      </c>
      <c r="E191">
        <f t="shared" si="4"/>
        <v>1977</v>
      </c>
      <c r="F191">
        <f t="shared" ca="1" si="5"/>
        <v>49</v>
      </c>
      <c r="G191">
        <f>COUNTIF(BRON!A:A,'schades-leeftijd'!A191)</f>
        <v>0</v>
      </c>
    </row>
    <row r="192" spans="1:7" x14ac:dyDescent="0.25">
      <c r="A192">
        <v>28717</v>
      </c>
      <c r="B192" t="s">
        <v>1641</v>
      </c>
      <c r="C192" t="s">
        <v>1642</v>
      </c>
      <c r="D192" s="3">
        <v>27229</v>
      </c>
      <c r="E192">
        <f t="shared" si="4"/>
        <v>1974</v>
      </c>
      <c r="F192">
        <f t="shared" ca="1" si="5"/>
        <v>52</v>
      </c>
      <c r="G192">
        <f>COUNTIF(BRON!A:A,'schades-leeftijd'!A192)</f>
        <v>1</v>
      </c>
    </row>
    <row r="193" spans="1:7" x14ac:dyDescent="0.25">
      <c r="A193">
        <v>28737</v>
      </c>
      <c r="B193" t="s">
        <v>1643</v>
      </c>
      <c r="C193" t="s">
        <v>1644</v>
      </c>
      <c r="D193" s="3">
        <v>27642</v>
      </c>
      <c r="E193">
        <f t="shared" si="4"/>
        <v>1975</v>
      </c>
      <c r="F193">
        <f t="shared" ca="1" si="5"/>
        <v>51</v>
      </c>
      <c r="G193">
        <f>COUNTIF(BRON!A:A,'schades-leeftijd'!A193)</f>
        <v>4</v>
      </c>
    </row>
    <row r="194" spans="1:7" x14ac:dyDescent="0.25">
      <c r="A194">
        <v>28794</v>
      </c>
      <c r="B194" t="s">
        <v>1645</v>
      </c>
      <c r="C194" t="s">
        <v>1646</v>
      </c>
      <c r="D194" s="3">
        <v>31809</v>
      </c>
      <c r="E194">
        <f t="shared" si="4"/>
        <v>1987</v>
      </c>
      <c r="F194">
        <f t="shared" ca="1" si="5"/>
        <v>39</v>
      </c>
      <c r="G194">
        <f>COUNTIF(BRON!A:A,'schades-leeftijd'!A194)</f>
        <v>1</v>
      </c>
    </row>
    <row r="195" spans="1:7" x14ac:dyDescent="0.25">
      <c r="A195">
        <v>28821</v>
      </c>
      <c r="B195" t="s">
        <v>1647</v>
      </c>
      <c r="C195" t="s">
        <v>1642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50</v>
      </c>
      <c r="G195">
        <f>COUNTIF(BRON!A:A,'schades-leeftijd'!A195)</f>
        <v>0</v>
      </c>
    </row>
    <row r="196" spans="1:7" x14ac:dyDescent="0.25">
      <c r="A196">
        <v>28830</v>
      </c>
      <c r="B196" t="s">
        <v>1648</v>
      </c>
      <c r="C196" t="s">
        <v>1649</v>
      </c>
      <c r="D196" s="3">
        <v>29494</v>
      </c>
      <c r="E196">
        <f t="shared" si="6"/>
        <v>1980</v>
      </c>
      <c r="F196">
        <f t="shared" ca="1" si="7"/>
        <v>46</v>
      </c>
      <c r="G196">
        <f>COUNTIF(BRON!A:A,'schades-leeftijd'!A196)</f>
        <v>1</v>
      </c>
    </row>
    <row r="197" spans="1:7" x14ac:dyDescent="0.25">
      <c r="A197">
        <v>28835</v>
      </c>
      <c r="B197" t="s">
        <v>1650</v>
      </c>
      <c r="C197" t="s">
        <v>1651</v>
      </c>
      <c r="D197" s="3">
        <v>33067</v>
      </c>
      <c r="E197">
        <f t="shared" si="6"/>
        <v>1990</v>
      </c>
      <c r="F197">
        <f t="shared" ca="1" si="7"/>
        <v>36</v>
      </c>
      <c r="G197">
        <f>COUNTIF(BRON!A:A,'schades-leeftijd'!A197)</f>
        <v>0</v>
      </c>
    </row>
    <row r="198" spans="1:7" x14ac:dyDescent="0.25">
      <c r="A198">
        <v>28910</v>
      </c>
      <c r="B198" t="s">
        <v>1652</v>
      </c>
      <c r="C198" t="s">
        <v>1653</v>
      </c>
      <c r="D198" s="3">
        <v>30034</v>
      </c>
      <c r="E198">
        <f t="shared" si="6"/>
        <v>1982</v>
      </c>
      <c r="F198">
        <f t="shared" ca="1" si="7"/>
        <v>44</v>
      </c>
      <c r="G198">
        <f>COUNTIF(BRON!A:A,'schades-leeftijd'!A198)</f>
        <v>2</v>
      </c>
    </row>
    <row r="199" spans="1:7" x14ac:dyDescent="0.25">
      <c r="A199">
        <v>28995</v>
      </c>
      <c r="B199" t="s">
        <v>1654</v>
      </c>
      <c r="C199" t="s">
        <v>1655</v>
      </c>
      <c r="D199" s="3">
        <v>22706</v>
      </c>
      <c r="E199">
        <f t="shared" si="6"/>
        <v>1962</v>
      </c>
      <c r="F199">
        <f t="shared" ca="1" si="7"/>
        <v>64</v>
      </c>
      <c r="G199">
        <f>COUNTIF(BRON!A:A,'schades-leeftijd'!A199)</f>
        <v>0</v>
      </c>
    </row>
    <row r="200" spans="1:7" x14ac:dyDescent="0.25">
      <c r="A200">
        <v>29179</v>
      </c>
      <c r="B200" t="s">
        <v>1656</v>
      </c>
      <c r="C200" t="s">
        <v>1657</v>
      </c>
      <c r="D200" s="3">
        <v>32059</v>
      </c>
      <c r="E200">
        <f t="shared" si="6"/>
        <v>1987</v>
      </c>
      <c r="F200">
        <f t="shared" ca="1" si="7"/>
        <v>39</v>
      </c>
      <c r="G200">
        <f>COUNTIF(BRON!A:A,'schades-leeftijd'!A200)</f>
        <v>6</v>
      </c>
    </row>
    <row r="201" spans="1:7" x14ac:dyDescent="0.25">
      <c r="A201">
        <v>29181</v>
      </c>
      <c r="B201" t="s">
        <v>1658</v>
      </c>
      <c r="C201" t="s">
        <v>1522</v>
      </c>
      <c r="D201" s="3">
        <v>25391</v>
      </c>
      <c r="E201">
        <f t="shared" si="6"/>
        <v>1969</v>
      </c>
      <c r="F201">
        <f t="shared" ca="1" si="7"/>
        <v>57</v>
      </c>
      <c r="G201">
        <f>COUNTIF(BRON!A:A,'schades-leeftijd'!A201)</f>
        <v>0</v>
      </c>
    </row>
    <row r="202" spans="1:7" x14ac:dyDescent="0.25">
      <c r="A202">
        <v>29271</v>
      </c>
      <c r="B202" t="s">
        <v>1553</v>
      </c>
      <c r="C202" t="s">
        <v>1395</v>
      </c>
      <c r="D202" s="3">
        <v>29005</v>
      </c>
      <c r="E202">
        <f t="shared" si="6"/>
        <v>1979</v>
      </c>
      <c r="F202">
        <f t="shared" ca="1" si="7"/>
        <v>47</v>
      </c>
      <c r="G202">
        <f>COUNTIF(BRON!A:A,'schades-leeftijd'!A202)</f>
        <v>1</v>
      </c>
    </row>
    <row r="203" spans="1:7" x14ac:dyDescent="0.25">
      <c r="A203">
        <v>29370</v>
      </c>
      <c r="B203" t="s">
        <v>1659</v>
      </c>
      <c r="C203" t="s">
        <v>1660</v>
      </c>
      <c r="D203" s="3">
        <v>29675</v>
      </c>
      <c r="E203">
        <f t="shared" si="6"/>
        <v>1981</v>
      </c>
      <c r="F203">
        <f t="shared" ca="1" si="7"/>
        <v>45</v>
      </c>
      <c r="G203">
        <f>COUNTIF(BRON!A:A,'schades-leeftijd'!A203)</f>
        <v>0</v>
      </c>
    </row>
    <row r="204" spans="1:7" x14ac:dyDescent="0.25">
      <c r="A204">
        <v>29477</v>
      </c>
      <c r="B204" t="s">
        <v>1661</v>
      </c>
      <c r="C204" t="s">
        <v>1662</v>
      </c>
      <c r="D204" s="3">
        <v>30968</v>
      </c>
      <c r="E204">
        <f t="shared" si="6"/>
        <v>1984</v>
      </c>
      <c r="F204">
        <f t="shared" ca="1" si="7"/>
        <v>42</v>
      </c>
      <c r="G204">
        <f>COUNTIF(BRON!A:A,'schades-leeftijd'!A204)</f>
        <v>3</v>
      </c>
    </row>
    <row r="205" spans="1:7" x14ac:dyDescent="0.25">
      <c r="A205">
        <v>29478</v>
      </c>
      <c r="B205" t="s">
        <v>1663</v>
      </c>
      <c r="C205" t="s">
        <v>1664</v>
      </c>
      <c r="D205" s="3">
        <v>21893</v>
      </c>
      <c r="E205">
        <f t="shared" si="6"/>
        <v>1959</v>
      </c>
      <c r="F205">
        <f t="shared" ca="1" si="7"/>
        <v>67</v>
      </c>
      <c r="G205">
        <f>COUNTIF(BRON!A:A,'schades-leeftijd'!A205)</f>
        <v>3</v>
      </c>
    </row>
    <row r="206" spans="1:7" x14ac:dyDescent="0.25">
      <c r="A206">
        <v>29539</v>
      </c>
      <c r="B206" t="s">
        <v>1665</v>
      </c>
      <c r="C206" t="s">
        <v>1600</v>
      </c>
      <c r="D206" s="3">
        <v>32280</v>
      </c>
      <c r="E206">
        <f t="shared" si="6"/>
        <v>1988</v>
      </c>
      <c r="F206">
        <f t="shared" ca="1" si="7"/>
        <v>38</v>
      </c>
      <c r="G206">
        <f>COUNTIF(BRON!A:A,'schades-leeftijd'!A206)</f>
        <v>0</v>
      </c>
    </row>
    <row r="207" spans="1:7" x14ac:dyDescent="0.25">
      <c r="A207">
        <v>29540</v>
      </c>
      <c r="B207" t="s">
        <v>1666</v>
      </c>
      <c r="C207" t="s">
        <v>1363</v>
      </c>
      <c r="D207" s="3">
        <v>28532</v>
      </c>
      <c r="E207">
        <f t="shared" si="6"/>
        <v>1978</v>
      </c>
      <c r="F207">
        <f t="shared" ca="1" si="7"/>
        <v>48</v>
      </c>
      <c r="G207">
        <f>COUNTIF(BRON!A:A,'schades-leeftijd'!A207)</f>
        <v>1</v>
      </c>
    </row>
    <row r="208" spans="1:7" x14ac:dyDescent="0.25">
      <c r="A208">
        <v>29591</v>
      </c>
      <c r="B208" t="s">
        <v>1667</v>
      </c>
      <c r="C208" t="s">
        <v>1668</v>
      </c>
      <c r="D208" s="3">
        <v>33643</v>
      </c>
      <c r="E208">
        <f t="shared" si="6"/>
        <v>1992</v>
      </c>
      <c r="F208">
        <f t="shared" ca="1" si="7"/>
        <v>34</v>
      </c>
      <c r="G208">
        <f>COUNTIF(BRON!A:A,'schades-leeftijd'!A208)</f>
        <v>0</v>
      </c>
    </row>
    <row r="209" spans="1:7" x14ac:dyDescent="0.25">
      <c r="A209">
        <v>29646</v>
      </c>
      <c r="B209" t="s">
        <v>1669</v>
      </c>
      <c r="C209" t="s">
        <v>1670</v>
      </c>
      <c r="D209" s="3">
        <v>30289</v>
      </c>
      <c r="E209">
        <f t="shared" si="6"/>
        <v>1982</v>
      </c>
      <c r="F209">
        <f t="shared" ca="1" si="7"/>
        <v>44</v>
      </c>
      <c r="G209">
        <f>COUNTIF(BRON!A:A,'schades-leeftijd'!A209)</f>
        <v>1</v>
      </c>
    </row>
    <row r="210" spans="1:7" x14ac:dyDescent="0.25">
      <c r="A210">
        <v>29674</v>
      </c>
      <c r="B210" t="s">
        <v>1671</v>
      </c>
      <c r="C210" t="s">
        <v>1672</v>
      </c>
      <c r="D210" s="3">
        <v>33868</v>
      </c>
      <c r="E210">
        <f t="shared" si="6"/>
        <v>1992</v>
      </c>
      <c r="F210">
        <f t="shared" ca="1" si="7"/>
        <v>34</v>
      </c>
      <c r="G210">
        <f>COUNTIF(BRON!A:A,'schades-leeftijd'!A210)</f>
        <v>1</v>
      </c>
    </row>
    <row r="211" spans="1:7" x14ac:dyDescent="0.25">
      <c r="A211">
        <v>29746</v>
      </c>
      <c r="B211" t="s">
        <v>1673</v>
      </c>
      <c r="C211" t="s">
        <v>1674</v>
      </c>
      <c r="D211" s="3">
        <v>28476</v>
      </c>
      <c r="E211">
        <f t="shared" si="6"/>
        <v>1977</v>
      </c>
      <c r="F211">
        <f t="shared" ca="1" si="7"/>
        <v>49</v>
      </c>
      <c r="G211">
        <f>COUNTIF(BRON!A:A,'schades-leeftijd'!A211)</f>
        <v>3</v>
      </c>
    </row>
    <row r="212" spans="1:7" x14ac:dyDescent="0.25">
      <c r="A212">
        <v>29778</v>
      </c>
      <c r="B212" t="s">
        <v>1675</v>
      </c>
      <c r="C212" t="s">
        <v>1676</v>
      </c>
      <c r="D212" s="3">
        <v>24404</v>
      </c>
      <c r="E212">
        <f t="shared" si="6"/>
        <v>1966</v>
      </c>
      <c r="F212">
        <f t="shared" ca="1" si="7"/>
        <v>60</v>
      </c>
      <c r="G212">
        <f>COUNTIF(BRON!A:A,'schades-leeftijd'!A212)</f>
        <v>0</v>
      </c>
    </row>
    <row r="213" spans="1:7" x14ac:dyDescent="0.25">
      <c r="A213">
        <v>29818</v>
      </c>
      <c r="B213" t="s">
        <v>1677</v>
      </c>
      <c r="C213" t="s">
        <v>1678</v>
      </c>
      <c r="D213" s="3">
        <v>32133</v>
      </c>
      <c r="E213">
        <f t="shared" si="6"/>
        <v>1987</v>
      </c>
      <c r="F213">
        <f t="shared" ca="1" si="7"/>
        <v>39</v>
      </c>
      <c r="G213">
        <f>COUNTIF(BRON!A:A,'schades-leeftijd'!A213)</f>
        <v>0</v>
      </c>
    </row>
    <row r="214" spans="1:7" x14ac:dyDescent="0.25">
      <c r="A214">
        <v>29821</v>
      </c>
      <c r="B214" t="s">
        <v>1679</v>
      </c>
      <c r="C214" t="s">
        <v>1680</v>
      </c>
      <c r="D214" s="3">
        <v>24617</v>
      </c>
      <c r="E214">
        <f t="shared" si="6"/>
        <v>1967</v>
      </c>
      <c r="F214">
        <f t="shared" ca="1" si="7"/>
        <v>59</v>
      </c>
      <c r="G214">
        <f>COUNTIF(BRON!A:A,'schades-leeftijd'!A214)</f>
        <v>1</v>
      </c>
    </row>
    <row r="215" spans="1:7" x14ac:dyDescent="0.25">
      <c r="A215">
        <v>30119</v>
      </c>
      <c r="B215" t="s">
        <v>1681</v>
      </c>
      <c r="C215" t="s">
        <v>1351</v>
      </c>
      <c r="D215" s="3">
        <v>24008</v>
      </c>
      <c r="E215">
        <f t="shared" si="6"/>
        <v>1965</v>
      </c>
      <c r="F215">
        <f t="shared" ca="1" si="7"/>
        <v>61</v>
      </c>
      <c r="G215">
        <f>COUNTIF(BRON!A:A,'schades-leeftijd'!A215)</f>
        <v>2</v>
      </c>
    </row>
    <row r="216" spans="1:7" x14ac:dyDescent="0.25">
      <c r="A216">
        <v>30121</v>
      </c>
      <c r="B216" t="s">
        <v>1682</v>
      </c>
      <c r="C216" t="s">
        <v>1683</v>
      </c>
      <c r="D216" s="3">
        <v>22410</v>
      </c>
      <c r="E216">
        <f t="shared" si="6"/>
        <v>1961</v>
      </c>
      <c r="F216">
        <f t="shared" ca="1" si="7"/>
        <v>65</v>
      </c>
      <c r="G216">
        <f>COUNTIF(BRON!A:A,'schades-leeftijd'!A216)</f>
        <v>3</v>
      </c>
    </row>
    <row r="217" spans="1:7" x14ac:dyDescent="0.25">
      <c r="A217">
        <v>30271</v>
      </c>
      <c r="B217" t="s">
        <v>1407</v>
      </c>
      <c r="C217" t="s">
        <v>1409</v>
      </c>
      <c r="D217" s="3">
        <v>31836</v>
      </c>
      <c r="E217">
        <f t="shared" si="6"/>
        <v>1987</v>
      </c>
      <c r="F217">
        <f t="shared" ca="1" si="7"/>
        <v>39</v>
      </c>
      <c r="G217">
        <f>COUNTIF(BRON!A:A,'schades-leeftijd'!A217)</f>
        <v>1</v>
      </c>
    </row>
    <row r="218" spans="1:7" x14ac:dyDescent="0.25">
      <c r="A218">
        <v>30292</v>
      </c>
      <c r="B218" t="s">
        <v>1684</v>
      </c>
      <c r="C218" t="s">
        <v>1685</v>
      </c>
      <c r="D218" s="3">
        <v>31065</v>
      </c>
      <c r="E218">
        <f t="shared" si="6"/>
        <v>1985</v>
      </c>
      <c r="F218">
        <f t="shared" ca="1" si="7"/>
        <v>41</v>
      </c>
      <c r="G218">
        <f>COUNTIF(BRON!A:A,'schades-leeftijd'!A218)</f>
        <v>0</v>
      </c>
    </row>
    <row r="219" spans="1:7" x14ac:dyDescent="0.25">
      <c r="A219">
        <v>30321</v>
      </c>
      <c r="B219" t="s">
        <v>1686</v>
      </c>
      <c r="C219" t="s">
        <v>1687</v>
      </c>
      <c r="D219" s="3">
        <v>34204</v>
      </c>
      <c r="E219">
        <f t="shared" si="6"/>
        <v>1993</v>
      </c>
      <c r="F219">
        <f t="shared" ca="1" si="7"/>
        <v>33</v>
      </c>
      <c r="G219">
        <f>COUNTIF(BRON!A:A,'schades-leeftijd'!A219)</f>
        <v>2</v>
      </c>
    </row>
    <row r="220" spans="1:7" x14ac:dyDescent="0.25">
      <c r="A220">
        <v>30323</v>
      </c>
      <c r="B220" t="s">
        <v>1688</v>
      </c>
      <c r="C220" t="s">
        <v>1689</v>
      </c>
      <c r="D220" s="3">
        <v>27976</v>
      </c>
      <c r="E220">
        <f t="shared" si="6"/>
        <v>1976</v>
      </c>
      <c r="F220">
        <f t="shared" ca="1" si="7"/>
        <v>50</v>
      </c>
      <c r="G220">
        <f>COUNTIF(BRON!A:A,'schades-leeftijd'!A220)</f>
        <v>0</v>
      </c>
    </row>
    <row r="221" spans="1:7" x14ac:dyDescent="0.25">
      <c r="A221">
        <v>30623</v>
      </c>
      <c r="B221" t="s">
        <v>1652</v>
      </c>
      <c r="C221" t="s">
        <v>1552</v>
      </c>
      <c r="D221" s="3">
        <v>25613</v>
      </c>
      <c r="E221">
        <f t="shared" si="6"/>
        <v>1970</v>
      </c>
      <c r="F221">
        <f t="shared" ca="1" si="7"/>
        <v>56</v>
      </c>
      <c r="G221">
        <f>COUNTIF(BRON!A:A,'schades-leeftijd'!A221)</f>
        <v>2</v>
      </c>
    </row>
    <row r="222" spans="1:7" x14ac:dyDescent="0.25">
      <c r="A222">
        <v>30901</v>
      </c>
      <c r="B222" t="s">
        <v>1690</v>
      </c>
      <c r="C222" t="s">
        <v>1544</v>
      </c>
      <c r="D222" s="3">
        <v>25679</v>
      </c>
      <c r="E222">
        <f t="shared" si="6"/>
        <v>1970</v>
      </c>
      <c r="F222">
        <f t="shared" ca="1" si="7"/>
        <v>56</v>
      </c>
      <c r="G222">
        <f>COUNTIF(BRON!A:A,'schades-leeftijd'!A222)</f>
        <v>2</v>
      </c>
    </row>
    <row r="223" spans="1:7" x14ac:dyDescent="0.25">
      <c r="A223">
        <v>30967</v>
      </c>
      <c r="B223" t="s">
        <v>1691</v>
      </c>
      <c r="C223" t="s">
        <v>1692</v>
      </c>
      <c r="D223" s="3">
        <v>29408</v>
      </c>
      <c r="E223">
        <f t="shared" si="6"/>
        <v>1980</v>
      </c>
      <c r="F223">
        <f t="shared" ca="1" si="7"/>
        <v>46</v>
      </c>
      <c r="G223">
        <f>COUNTIF(BRON!A:A,'schades-leeftijd'!A223)</f>
        <v>3</v>
      </c>
    </row>
    <row r="224" spans="1:7" x14ac:dyDescent="0.25">
      <c r="A224">
        <v>30999</v>
      </c>
      <c r="B224" t="s">
        <v>1693</v>
      </c>
      <c r="C224" t="s">
        <v>1694</v>
      </c>
      <c r="D224" s="3">
        <v>32844</v>
      </c>
      <c r="E224">
        <f t="shared" si="6"/>
        <v>1989</v>
      </c>
      <c r="F224">
        <f t="shared" ca="1" si="7"/>
        <v>37</v>
      </c>
      <c r="G224">
        <f>COUNTIF(BRON!A:A,'schades-leeftijd'!A224)</f>
        <v>0</v>
      </c>
    </row>
    <row r="225" spans="1:7" x14ac:dyDescent="0.25">
      <c r="A225">
        <v>31092</v>
      </c>
      <c r="B225" t="s">
        <v>1695</v>
      </c>
      <c r="C225" t="s">
        <v>1696</v>
      </c>
      <c r="D225" s="3">
        <v>34149</v>
      </c>
      <c r="E225">
        <f t="shared" si="6"/>
        <v>1993</v>
      </c>
      <c r="F225">
        <f t="shared" ca="1" si="7"/>
        <v>33</v>
      </c>
      <c r="G225">
        <f>COUNTIF(BRON!A:A,'schades-leeftijd'!A225)</f>
        <v>2</v>
      </c>
    </row>
    <row r="226" spans="1:7" x14ac:dyDescent="0.25">
      <c r="A226">
        <v>31111</v>
      </c>
      <c r="B226" t="s">
        <v>1697</v>
      </c>
      <c r="C226" t="s">
        <v>1698</v>
      </c>
      <c r="D226" s="3">
        <v>28962</v>
      </c>
      <c r="E226">
        <f t="shared" si="6"/>
        <v>1979</v>
      </c>
      <c r="F226">
        <f t="shared" ca="1" si="7"/>
        <v>47</v>
      </c>
      <c r="G226">
        <f>COUNTIF(BRON!A:A,'schades-leeftijd'!A226)</f>
        <v>2</v>
      </c>
    </row>
    <row r="227" spans="1:7" x14ac:dyDescent="0.25">
      <c r="A227">
        <v>31118</v>
      </c>
      <c r="B227" t="s">
        <v>1699</v>
      </c>
      <c r="C227" t="s">
        <v>1700</v>
      </c>
      <c r="D227" s="3">
        <v>30190</v>
      </c>
      <c r="E227">
        <f t="shared" si="6"/>
        <v>1982</v>
      </c>
      <c r="F227">
        <f t="shared" ca="1" si="7"/>
        <v>44</v>
      </c>
      <c r="G227">
        <f>COUNTIF(BRON!A:A,'schades-leeftijd'!A227)</f>
        <v>2</v>
      </c>
    </row>
    <row r="228" spans="1:7" x14ac:dyDescent="0.25">
      <c r="A228">
        <v>31150</v>
      </c>
      <c r="B228" t="s">
        <v>1701</v>
      </c>
      <c r="C228" t="s">
        <v>1702</v>
      </c>
      <c r="D228" s="3">
        <v>28226</v>
      </c>
      <c r="E228">
        <f t="shared" si="6"/>
        <v>1977</v>
      </c>
      <c r="F228">
        <f t="shared" ca="1" si="7"/>
        <v>49</v>
      </c>
      <c r="G228">
        <f>COUNTIF(BRON!A:A,'schades-leeftijd'!A228)</f>
        <v>1</v>
      </c>
    </row>
    <row r="229" spans="1:7" x14ac:dyDescent="0.25">
      <c r="A229">
        <v>31165</v>
      </c>
      <c r="B229" t="s">
        <v>1703</v>
      </c>
      <c r="C229" t="s">
        <v>1704</v>
      </c>
      <c r="D229" s="3">
        <v>27145</v>
      </c>
      <c r="E229">
        <f t="shared" si="6"/>
        <v>1974</v>
      </c>
      <c r="F229">
        <f t="shared" ca="1" si="7"/>
        <v>52</v>
      </c>
      <c r="G229">
        <f>COUNTIF(BRON!A:A,'schades-leeftijd'!A229)</f>
        <v>2</v>
      </c>
    </row>
    <row r="230" spans="1:7" x14ac:dyDescent="0.25">
      <c r="A230">
        <v>31231</v>
      </c>
      <c r="B230" t="s">
        <v>1705</v>
      </c>
      <c r="C230" t="s">
        <v>1706</v>
      </c>
      <c r="D230" s="3">
        <v>34747</v>
      </c>
      <c r="E230">
        <f t="shared" si="6"/>
        <v>1995</v>
      </c>
      <c r="F230">
        <f t="shared" ca="1" si="7"/>
        <v>31</v>
      </c>
      <c r="G230">
        <f>COUNTIF(BRON!A:A,'schades-leeftijd'!A230)</f>
        <v>3</v>
      </c>
    </row>
    <row r="231" spans="1:7" x14ac:dyDescent="0.25">
      <c r="A231">
        <v>31360</v>
      </c>
      <c r="B231" t="s">
        <v>1582</v>
      </c>
      <c r="C231" t="s">
        <v>1692</v>
      </c>
      <c r="D231" s="3">
        <v>34227</v>
      </c>
      <c r="E231">
        <f t="shared" si="6"/>
        <v>1993</v>
      </c>
      <c r="F231">
        <f t="shared" ca="1" si="7"/>
        <v>33</v>
      </c>
      <c r="G231">
        <f>COUNTIF(BRON!A:A,'schades-leeftijd'!A231)</f>
        <v>3</v>
      </c>
    </row>
    <row r="232" spans="1:7" x14ac:dyDescent="0.25">
      <c r="A232">
        <v>31361</v>
      </c>
      <c r="B232" t="s">
        <v>1707</v>
      </c>
      <c r="C232" t="s">
        <v>1347</v>
      </c>
      <c r="D232" s="3">
        <v>28695</v>
      </c>
      <c r="E232">
        <f t="shared" si="6"/>
        <v>1978</v>
      </c>
      <c r="F232">
        <f t="shared" ca="1" si="7"/>
        <v>48</v>
      </c>
      <c r="G232">
        <f>COUNTIF(BRON!A:A,'schades-leeftijd'!A232)</f>
        <v>0</v>
      </c>
    </row>
    <row r="233" spans="1:7" x14ac:dyDescent="0.25">
      <c r="A233">
        <v>31404</v>
      </c>
      <c r="B233" t="s">
        <v>1708</v>
      </c>
      <c r="C233" t="s">
        <v>1709</v>
      </c>
      <c r="D233" s="3">
        <v>28234</v>
      </c>
      <c r="E233">
        <f t="shared" si="6"/>
        <v>1977</v>
      </c>
      <c r="F233">
        <f t="shared" ca="1" si="7"/>
        <v>49</v>
      </c>
      <c r="G233">
        <f>COUNTIF(BRON!A:A,'schades-leeftijd'!A233)</f>
        <v>1</v>
      </c>
    </row>
    <row r="234" spans="1:7" x14ac:dyDescent="0.25">
      <c r="A234">
        <v>31550</v>
      </c>
      <c r="B234" t="s">
        <v>1710</v>
      </c>
      <c r="C234" t="s">
        <v>1711</v>
      </c>
      <c r="D234" s="3">
        <v>34332</v>
      </c>
      <c r="E234">
        <f t="shared" si="6"/>
        <v>1993</v>
      </c>
      <c r="F234">
        <f t="shared" ca="1" si="7"/>
        <v>33</v>
      </c>
      <c r="G234">
        <f>COUNTIF(BRON!A:A,'schades-leeftijd'!A234)</f>
        <v>1</v>
      </c>
    </row>
    <row r="235" spans="1:7" x14ac:dyDescent="0.25">
      <c r="A235">
        <v>31600</v>
      </c>
      <c r="B235" t="s">
        <v>1712</v>
      </c>
      <c r="C235" t="s">
        <v>1351</v>
      </c>
      <c r="D235" s="3">
        <v>32464</v>
      </c>
      <c r="E235">
        <f t="shared" si="6"/>
        <v>1988</v>
      </c>
      <c r="F235">
        <f t="shared" ca="1" si="7"/>
        <v>38</v>
      </c>
      <c r="G235">
        <f>COUNTIF(BRON!A:A,'schades-leeftijd'!A235)</f>
        <v>2</v>
      </c>
    </row>
    <row r="236" spans="1:7" x14ac:dyDescent="0.25">
      <c r="A236">
        <v>31601</v>
      </c>
      <c r="B236" t="s">
        <v>1585</v>
      </c>
      <c r="C236" t="s">
        <v>1713</v>
      </c>
      <c r="D236" s="3">
        <v>32979</v>
      </c>
      <c r="E236">
        <f t="shared" si="6"/>
        <v>1990</v>
      </c>
      <c r="F236">
        <f t="shared" ca="1" si="7"/>
        <v>36</v>
      </c>
      <c r="G236">
        <f>COUNTIF(BRON!A:A,'schades-leeftijd'!A236)</f>
        <v>0</v>
      </c>
    </row>
    <row r="237" spans="1:7" x14ac:dyDescent="0.25">
      <c r="A237">
        <v>31634</v>
      </c>
      <c r="B237" t="s">
        <v>1714</v>
      </c>
      <c r="C237" t="s">
        <v>1715</v>
      </c>
      <c r="D237" s="3">
        <v>34483</v>
      </c>
      <c r="E237">
        <f t="shared" si="6"/>
        <v>1994</v>
      </c>
      <c r="F237">
        <f t="shared" ca="1" si="7"/>
        <v>32</v>
      </c>
      <c r="G237">
        <f>COUNTIF(BRON!A:A,'schades-leeftijd'!A237)</f>
        <v>1</v>
      </c>
    </row>
    <row r="238" spans="1:7" x14ac:dyDescent="0.25">
      <c r="A238">
        <v>31635</v>
      </c>
      <c r="B238" t="s">
        <v>1716</v>
      </c>
      <c r="C238" t="s">
        <v>1717</v>
      </c>
      <c r="D238" s="3">
        <v>34219</v>
      </c>
      <c r="E238">
        <f t="shared" si="6"/>
        <v>1993</v>
      </c>
      <c r="F238">
        <f t="shared" ca="1" si="7"/>
        <v>33</v>
      </c>
      <c r="G238">
        <f>COUNTIF(BRON!A:A,'schades-leeftijd'!A238)</f>
        <v>2</v>
      </c>
    </row>
    <row r="239" spans="1:7" x14ac:dyDescent="0.25">
      <c r="A239">
        <v>31659</v>
      </c>
      <c r="B239" t="s">
        <v>1718</v>
      </c>
      <c r="C239" t="s">
        <v>1355</v>
      </c>
      <c r="D239" s="3">
        <v>32677</v>
      </c>
      <c r="E239">
        <f t="shared" si="6"/>
        <v>1989</v>
      </c>
      <c r="F239">
        <f t="shared" ca="1" si="7"/>
        <v>37</v>
      </c>
      <c r="G239">
        <f>COUNTIF(BRON!A:A,'schades-leeftijd'!A239)</f>
        <v>0</v>
      </c>
    </row>
    <row r="240" spans="1:7" x14ac:dyDescent="0.25">
      <c r="A240">
        <v>31668</v>
      </c>
      <c r="B240" t="s">
        <v>1719</v>
      </c>
      <c r="C240" t="s">
        <v>1720</v>
      </c>
      <c r="D240" s="3">
        <v>25181</v>
      </c>
      <c r="E240">
        <f t="shared" si="6"/>
        <v>1968</v>
      </c>
      <c r="F240">
        <f t="shared" ca="1" si="7"/>
        <v>58</v>
      </c>
      <c r="G240">
        <f>COUNTIF(BRON!A:A,'schades-leeftijd'!A240)</f>
        <v>5</v>
      </c>
    </row>
    <row r="241" spans="1:7" x14ac:dyDescent="0.25">
      <c r="A241">
        <v>31689</v>
      </c>
      <c r="B241" t="s">
        <v>1721</v>
      </c>
      <c r="C241" t="s">
        <v>1722</v>
      </c>
      <c r="D241" s="3">
        <v>33354</v>
      </c>
      <c r="E241">
        <f t="shared" si="6"/>
        <v>1991</v>
      </c>
      <c r="F241">
        <f t="shared" ca="1" si="7"/>
        <v>35</v>
      </c>
      <c r="G241">
        <f>COUNTIF(BRON!A:A,'schades-leeftijd'!A241)</f>
        <v>1</v>
      </c>
    </row>
    <row r="242" spans="1:7" x14ac:dyDescent="0.25">
      <c r="A242">
        <v>31731</v>
      </c>
      <c r="B242" t="s">
        <v>1723</v>
      </c>
      <c r="C242" t="s">
        <v>1724</v>
      </c>
      <c r="D242" s="3">
        <v>28290</v>
      </c>
      <c r="E242">
        <f t="shared" si="6"/>
        <v>1977</v>
      </c>
      <c r="F242">
        <f t="shared" ca="1" si="7"/>
        <v>49</v>
      </c>
      <c r="G242">
        <f>COUNTIF(BRON!A:A,'schades-leeftijd'!A242)</f>
        <v>4</v>
      </c>
    </row>
    <row r="243" spans="1:7" x14ac:dyDescent="0.25">
      <c r="A243">
        <v>31733</v>
      </c>
      <c r="B243" t="s">
        <v>1725</v>
      </c>
      <c r="C243" t="s">
        <v>1726</v>
      </c>
      <c r="D243" s="3">
        <v>30582</v>
      </c>
      <c r="E243">
        <f t="shared" si="6"/>
        <v>1983</v>
      </c>
      <c r="F243">
        <f t="shared" ca="1" si="7"/>
        <v>43</v>
      </c>
      <c r="G243">
        <f>COUNTIF(BRON!A:A,'schades-leeftijd'!A243)</f>
        <v>2</v>
      </c>
    </row>
    <row r="244" spans="1:7" x14ac:dyDescent="0.25">
      <c r="A244">
        <v>31776</v>
      </c>
      <c r="B244" t="s">
        <v>1727</v>
      </c>
      <c r="C244" t="s">
        <v>1365</v>
      </c>
      <c r="D244" s="3">
        <v>30376</v>
      </c>
      <c r="E244">
        <f t="shared" si="6"/>
        <v>1983</v>
      </c>
      <c r="F244">
        <f t="shared" ca="1" si="7"/>
        <v>43</v>
      </c>
      <c r="G244">
        <f>COUNTIF(BRON!A:A,'schades-leeftijd'!A244)</f>
        <v>1</v>
      </c>
    </row>
    <row r="245" spans="1:7" x14ac:dyDescent="0.25">
      <c r="A245">
        <v>31891</v>
      </c>
      <c r="B245" t="s">
        <v>1728</v>
      </c>
      <c r="C245" t="s">
        <v>1729</v>
      </c>
      <c r="D245" s="3">
        <v>26685</v>
      </c>
      <c r="E245">
        <f t="shared" si="6"/>
        <v>1973</v>
      </c>
      <c r="F245">
        <f t="shared" ca="1" si="7"/>
        <v>53</v>
      </c>
      <c r="G245">
        <f>COUNTIF(BRON!A:A,'schades-leeftijd'!A245)</f>
        <v>1</v>
      </c>
    </row>
    <row r="246" spans="1:7" x14ac:dyDescent="0.25">
      <c r="A246">
        <v>32002</v>
      </c>
      <c r="B246" t="s">
        <v>1730</v>
      </c>
      <c r="C246" t="s">
        <v>1731</v>
      </c>
      <c r="D246" s="3">
        <v>26130</v>
      </c>
      <c r="E246">
        <f t="shared" si="6"/>
        <v>1971</v>
      </c>
      <c r="F246">
        <f t="shared" ca="1" si="7"/>
        <v>55</v>
      </c>
      <c r="G246">
        <f>COUNTIF(BRON!A:A,'schades-leeftijd'!A246)</f>
        <v>2</v>
      </c>
    </row>
    <row r="247" spans="1:7" x14ac:dyDescent="0.25">
      <c r="A247">
        <v>32091</v>
      </c>
      <c r="B247" t="s">
        <v>1732</v>
      </c>
      <c r="C247" t="s">
        <v>1733</v>
      </c>
      <c r="D247" s="3">
        <v>29257</v>
      </c>
      <c r="E247">
        <f t="shared" si="6"/>
        <v>1980</v>
      </c>
      <c r="F247">
        <f t="shared" ca="1" si="7"/>
        <v>46</v>
      </c>
      <c r="G247">
        <f>COUNTIF(BRON!A:A,'schades-leeftijd'!A247)</f>
        <v>1</v>
      </c>
    </row>
    <row r="248" spans="1:7" x14ac:dyDescent="0.25">
      <c r="A248">
        <v>32092</v>
      </c>
      <c r="B248" t="s">
        <v>1734</v>
      </c>
      <c r="C248" t="s">
        <v>1735</v>
      </c>
      <c r="D248" s="3">
        <v>35325</v>
      </c>
      <c r="E248">
        <f t="shared" si="6"/>
        <v>1996</v>
      </c>
      <c r="F248">
        <f t="shared" ca="1" si="7"/>
        <v>30</v>
      </c>
      <c r="G248">
        <f>COUNTIF(BRON!A:A,'schades-leeftijd'!A248)</f>
        <v>0</v>
      </c>
    </row>
    <row r="249" spans="1:7" x14ac:dyDescent="0.25">
      <c r="A249">
        <v>32168</v>
      </c>
      <c r="B249" t="s">
        <v>1483</v>
      </c>
      <c r="C249" t="s">
        <v>1736</v>
      </c>
      <c r="D249" s="3">
        <v>28348</v>
      </c>
      <c r="E249">
        <f t="shared" si="6"/>
        <v>1977</v>
      </c>
      <c r="F249">
        <f t="shared" ca="1" si="7"/>
        <v>49</v>
      </c>
      <c r="G249">
        <f>COUNTIF(BRON!A:A,'schades-leeftijd'!A249)</f>
        <v>1</v>
      </c>
    </row>
    <row r="250" spans="1:7" x14ac:dyDescent="0.25">
      <c r="A250">
        <v>32169</v>
      </c>
      <c r="B250" t="s">
        <v>1737</v>
      </c>
      <c r="C250" t="s">
        <v>1738</v>
      </c>
      <c r="D250" s="3">
        <v>25554</v>
      </c>
      <c r="E250">
        <f t="shared" si="6"/>
        <v>1969</v>
      </c>
      <c r="F250">
        <f t="shared" ca="1" si="7"/>
        <v>57</v>
      </c>
      <c r="G250">
        <f>COUNTIF(BRON!A:A,'schades-leeftijd'!A250)</f>
        <v>0</v>
      </c>
    </row>
    <row r="251" spans="1:7" x14ac:dyDescent="0.25">
      <c r="A251">
        <v>32245</v>
      </c>
      <c r="B251" t="s">
        <v>1739</v>
      </c>
      <c r="C251" t="s">
        <v>1740</v>
      </c>
      <c r="D251" s="3">
        <v>28206</v>
      </c>
      <c r="E251">
        <f t="shared" si="6"/>
        <v>1977</v>
      </c>
      <c r="F251">
        <f t="shared" ca="1" si="7"/>
        <v>49</v>
      </c>
      <c r="G251">
        <f>COUNTIF(BRON!A:A,'schades-leeftijd'!A251)</f>
        <v>2</v>
      </c>
    </row>
    <row r="252" spans="1:7" x14ac:dyDescent="0.25">
      <c r="A252">
        <v>32369</v>
      </c>
      <c r="B252" t="s">
        <v>1741</v>
      </c>
      <c r="C252" t="s">
        <v>1404</v>
      </c>
      <c r="D252" s="3">
        <v>25527</v>
      </c>
      <c r="E252">
        <f t="shared" si="6"/>
        <v>1969</v>
      </c>
      <c r="F252">
        <f t="shared" ca="1" si="7"/>
        <v>57</v>
      </c>
      <c r="G252">
        <f>COUNTIF(BRON!A:A,'schades-leeftijd'!A252)</f>
        <v>1</v>
      </c>
    </row>
    <row r="253" spans="1:7" x14ac:dyDescent="0.25">
      <c r="A253">
        <v>32387</v>
      </c>
      <c r="B253" t="s">
        <v>1742</v>
      </c>
      <c r="C253" t="s">
        <v>1743</v>
      </c>
      <c r="D253" s="3">
        <v>23792</v>
      </c>
      <c r="E253">
        <f t="shared" si="6"/>
        <v>1965</v>
      </c>
      <c r="F253">
        <f t="shared" ca="1" si="7"/>
        <v>61</v>
      </c>
      <c r="G253">
        <f>COUNTIF(BRON!A:A,'schades-leeftijd'!A253)</f>
        <v>4</v>
      </c>
    </row>
    <row r="254" spans="1:7" x14ac:dyDescent="0.25">
      <c r="A254">
        <v>32458</v>
      </c>
      <c r="B254" t="s">
        <v>1744</v>
      </c>
      <c r="C254" t="s">
        <v>1745</v>
      </c>
      <c r="D254" s="3">
        <v>24440</v>
      </c>
      <c r="E254">
        <f t="shared" si="6"/>
        <v>1966</v>
      </c>
      <c r="F254">
        <f t="shared" ca="1" si="7"/>
        <v>60</v>
      </c>
      <c r="G254">
        <f>COUNTIF(BRON!A:A,'schades-leeftijd'!A254)</f>
        <v>0</v>
      </c>
    </row>
    <row r="255" spans="1:7" x14ac:dyDescent="0.25">
      <c r="A255">
        <v>32528</v>
      </c>
      <c r="B255" t="s">
        <v>1746</v>
      </c>
      <c r="C255" t="s">
        <v>1747</v>
      </c>
      <c r="D255" s="3">
        <v>30914</v>
      </c>
      <c r="E255">
        <f t="shared" si="6"/>
        <v>1984</v>
      </c>
      <c r="F255">
        <f t="shared" ca="1" si="7"/>
        <v>42</v>
      </c>
      <c r="G255">
        <f>COUNTIF(BRON!A:A,'schades-leeftijd'!A255)</f>
        <v>2</v>
      </c>
    </row>
    <row r="256" spans="1:7" x14ac:dyDescent="0.25">
      <c r="A256">
        <v>32542</v>
      </c>
      <c r="B256" t="s">
        <v>1748</v>
      </c>
      <c r="C256" t="s">
        <v>1749</v>
      </c>
      <c r="D256" s="3">
        <v>31239</v>
      </c>
      <c r="E256">
        <f t="shared" si="6"/>
        <v>1985</v>
      </c>
      <c r="F256">
        <f t="shared" ca="1" si="7"/>
        <v>41</v>
      </c>
      <c r="G256">
        <f>COUNTIF(BRON!A:A,'schades-leeftijd'!A256)</f>
        <v>2</v>
      </c>
    </row>
    <row r="257" spans="1:7" x14ac:dyDescent="0.25">
      <c r="A257">
        <v>32611</v>
      </c>
      <c r="B257" t="s">
        <v>1669</v>
      </c>
      <c r="C257" t="s">
        <v>1750</v>
      </c>
      <c r="D257" s="3">
        <v>30873</v>
      </c>
      <c r="E257">
        <f t="shared" si="6"/>
        <v>1984</v>
      </c>
      <c r="F257">
        <f t="shared" ca="1" si="7"/>
        <v>42</v>
      </c>
      <c r="G257">
        <f>COUNTIF(BRON!A:A,'schades-leeftijd'!A257)</f>
        <v>3</v>
      </c>
    </row>
    <row r="258" spans="1:7" x14ac:dyDescent="0.25">
      <c r="A258">
        <v>32620</v>
      </c>
      <c r="B258" t="s">
        <v>1751</v>
      </c>
      <c r="C258" t="s">
        <v>1752</v>
      </c>
      <c r="D258" s="3">
        <v>35347</v>
      </c>
      <c r="E258">
        <f t="shared" si="6"/>
        <v>1996</v>
      </c>
      <c r="F258">
        <f t="shared" ca="1" si="7"/>
        <v>30</v>
      </c>
      <c r="G258">
        <f>COUNTIF(BRON!A:A,'schades-leeftijd'!A258)</f>
        <v>3</v>
      </c>
    </row>
    <row r="259" spans="1:7" x14ac:dyDescent="0.25">
      <c r="A259">
        <v>32951</v>
      </c>
      <c r="B259" t="s">
        <v>1753</v>
      </c>
      <c r="C259" t="s">
        <v>1754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55</v>
      </c>
      <c r="G259">
        <f>COUNTIF(BRON!A:A,'schades-leeftijd'!A259)</f>
        <v>6</v>
      </c>
    </row>
    <row r="260" spans="1:7" x14ac:dyDescent="0.25">
      <c r="A260">
        <v>33049</v>
      </c>
      <c r="B260" t="s">
        <v>1755</v>
      </c>
      <c r="C260" t="s">
        <v>1385</v>
      </c>
      <c r="D260" s="3">
        <v>24920</v>
      </c>
      <c r="E260">
        <f t="shared" si="8"/>
        <v>1968</v>
      </c>
      <c r="F260">
        <f t="shared" ca="1" si="9"/>
        <v>58</v>
      </c>
      <c r="G260">
        <f>COUNTIF(BRON!A:A,'schades-leeftijd'!A260)</f>
        <v>1</v>
      </c>
    </row>
    <row r="261" spans="1:7" x14ac:dyDescent="0.25">
      <c r="A261">
        <v>33085</v>
      </c>
      <c r="B261" t="s">
        <v>1756</v>
      </c>
      <c r="C261" t="s">
        <v>1757</v>
      </c>
      <c r="D261" s="3">
        <v>33077</v>
      </c>
      <c r="E261">
        <f t="shared" si="8"/>
        <v>1990</v>
      </c>
      <c r="F261">
        <f t="shared" ca="1" si="9"/>
        <v>36</v>
      </c>
      <c r="G261">
        <f>COUNTIF(BRON!A:A,'schades-leeftijd'!A261)</f>
        <v>2</v>
      </c>
    </row>
    <row r="262" spans="1:7" x14ac:dyDescent="0.25">
      <c r="A262">
        <v>33400</v>
      </c>
      <c r="B262" t="s">
        <v>1758</v>
      </c>
      <c r="C262" t="s">
        <v>1414</v>
      </c>
      <c r="D262" s="3">
        <v>34591</v>
      </c>
      <c r="E262">
        <f t="shared" si="8"/>
        <v>1994</v>
      </c>
      <c r="F262">
        <f t="shared" ca="1" si="9"/>
        <v>32</v>
      </c>
      <c r="G262">
        <f>COUNTIF(BRON!A:A,'schades-leeftijd'!A262)</f>
        <v>3</v>
      </c>
    </row>
    <row r="263" spans="1:7" x14ac:dyDescent="0.25">
      <c r="A263">
        <v>33450</v>
      </c>
      <c r="B263" t="s">
        <v>1759</v>
      </c>
      <c r="C263" t="s">
        <v>1370</v>
      </c>
      <c r="D263" s="3">
        <v>26216</v>
      </c>
      <c r="E263">
        <f t="shared" si="8"/>
        <v>1971</v>
      </c>
      <c r="F263">
        <f t="shared" ca="1" si="9"/>
        <v>55</v>
      </c>
      <c r="G263">
        <f>COUNTIF(BRON!A:A,'schades-leeftijd'!A263)</f>
        <v>2</v>
      </c>
    </row>
    <row r="264" spans="1:7" x14ac:dyDescent="0.25">
      <c r="A264">
        <v>33488</v>
      </c>
      <c r="B264" t="s">
        <v>1760</v>
      </c>
      <c r="C264" t="s">
        <v>1761</v>
      </c>
      <c r="D264" s="3">
        <v>34182</v>
      </c>
      <c r="E264">
        <f t="shared" si="8"/>
        <v>1993</v>
      </c>
      <c r="F264">
        <f t="shared" ca="1" si="9"/>
        <v>33</v>
      </c>
      <c r="G264">
        <f>COUNTIF(BRON!A:A,'schades-leeftijd'!A264)</f>
        <v>2</v>
      </c>
    </row>
    <row r="265" spans="1:7" x14ac:dyDescent="0.25">
      <c r="A265">
        <v>33551</v>
      </c>
      <c r="B265" t="s">
        <v>1762</v>
      </c>
      <c r="C265" t="s">
        <v>1426</v>
      </c>
      <c r="D265" s="3">
        <v>31396</v>
      </c>
      <c r="E265">
        <f t="shared" si="8"/>
        <v>1985</v>
      </c>
      <c r="F265">
        <f t="shared" ca="1" si="9"/>
        <v>41</v>
      </c>
      <c r="G265">
        <f>COUNTIF(BRON!A:A,'schades-leeftijd'!A265)</f>
        <v>2</v>
      </c>
    </row>
    <row r="266" spans="1:7" x14ac:dyDescent="0.25">
      <c r="A266">
        <v>33600</v>
      </c>
      <c r="B266" t="s">
        <v>1763</v>
      </c>
      <c r="C266" t="s">
        <v>1764</v>
      </c>
      <c r="D266" s="3">
        <v>30867</v>
      </c>
      <c r="E266">
        <f t="shared" si="8"/>
        <v>1984</v>
      </c>
      <c r="F266">
        <f t="shared" ca="1" si="9"/>
        <v>42</v>
      </c>
      <c r="G266">
        <f>COUNTIF(BRON!A:A,'schades-leeftijd'!A266)</f>
        <v>0</v>
      </c>
    </row>
    <row r="267" spans="1:7" x14ac:dyDescent="0.25">
      <c r="A267">
        <v>33639</v>
      </c>
      <c r="B267" t="s">
        <v>1765</v>
      </c>
      <c r="C267" t="s">
        <v>1766</v>
      </c>
      <c r="D267" s="3">
        <v>23813</v>
      </c>
      <c r="E267">
        <f t="shared" si="8"/>
        <v>1965</v>
      </c>
      <c r="F267">
        <f t="shared" ca="1" si="9"/>
        <v>61</v>
      </c>
      <c r="G267">
        <f>COUNTIF(BRON!A:A,'schades-leeftijd'!A267)</f>
        <v>0</v>
      </c>
    </row>
    <row r="268" spans="1:7" x14ac:dyDescent="0.25">
      <c r="A268">
        <v>33640</v>
      </c>
      <c r="B268" t="s">
        <v>1767</v>
      </c>
      <c r="C268" t="s">
        <v>1404</v>
      </c>
      <c r="D268" s="3">
        <v>25094</v>
      </c>
      <c r="E268">
        <f t="shared" si="8"/>
        <v>1968</v>
      </c>
      <c r="F268">
        <f t="shared" ca="1" si="9"/>
        <v>58</v>
      </c>
      <c r="G268">
        <f>COUNTIF(BRON!A:A,'schades-leeftijd'!A268)</f>
        <v>1</v>
      </c>
    </row>
    <row r="269" spans="1:7" x14ac:dyDescent="0.25">
      <c r="A269">
        <v>33698</v>
      </c>
      <c r="B269" t="s">
        <v>1768</v>
      </c>
      <c r="C269" t="s">
        <v>1505</v>
      </c>
      <c r="D269" s="3">
        <v>30937</v>
      </c>
      <c r="E269">
        <f t="shared" si="8"/>
        <v>1984</v>
      </c>
      <c r="F269">
        <f t="shared" ca="1" si="9"/>
        <v>42</v>
      </c>
      <c r="G269">
        <f>COUNTIF(BRON!A:A,'schades-leeftijd'!A269)</f>
        <v>0</v>
      </c>
    </row>
    <row r="270" spans="1:7" x14ac:dyDescent="0.25">
      <c r="A270">
        <v>33757</v>
      </c>
      <c r="B270" t="s">
        <v>1769</v>
      </c>
      <c r="C270" t="s">
        <v>1770</v>
      </c>
      <c r="D270" s="3">
        <v>24507</v>
      </c>
      <c r="E270">
        <f t="shared" si="8"/>
        <v>1967</v>
      </c>
      <c r="F270">
        <f t="shared" ca="1" si="9"/>
        <v>59</v>
      </c>
      <c r="G270">
        <f>COUNTIF(BRON!A:A,'schades-leeftijd'!A270)</f>
        <v>0</v>
      </c>
    </row>
    <row r="271" spans="1:7" x14ac:dyDescent="0.25">
      <c r="A271">
        <v>33982</v>
      </c>
      <c r="B271" t="s">
        <v>1771</v>
      </c>
      <c r="C271" t="s">
        <v>1772</v>
      </c>
      <c r="D271" s="3">
        <v>30017</v>
      </c>
      <c r="E271">
        <f t="shared" si="8"/>
        <v>1982</v>
      </c>
      <c r="F271">
        <f t="shared" ca="1" si="9"/>
        <v>44</v>
      </c>
      <c r="G271">
        <f>COUNTIF(BRON!A:A,'schades-leeftijd'!A271)</f>
        <v>0</v>
      </c>
    </row>
    <row r="272" spans="1:7" x14ac:dyDescent="0.25">
      <c r="A272">
        <v>33986</v>
      </c>
      <c r="B272" t="s">
        <v>1773</v>
      </c>
      <c r="C272" t="s">
        <v>1774</v>
      </c>
      <c r="D272" s="3">
        <v>31149</v>
      </c>
      <c r="E272">
        <f t="shared" si="8"/>
        <v>1985</v>
      </c>
      <c r="F272">
        <f t="shared" ca="1" si="9"/>
        <v>41</v>
      </c>
      <c r="G272">
        <f>COUNTIF(BRON!A:A,'schades-leeftijd'!A272)</f>
        <v>4</v>
      </c>
    </row>
    <row r="273" spans="1:7" x14ac:dyDescent="0.25">
      <c r="A273">
        <v>34019</v>
      </c>
      <c r="B273" t="s">
        <v>1775</v>
      </c>
      <c r="C273" t="s">
        <v>1351</v>
      </c>
      <c r="D273" s="3">
        <v>31359</v>
      </c>
      <c r="E273">
        <f t="shared" si="8"/>
        <v>1985</v>
      </c>
      <c r="F273">
        <f t="shared" ca="1" si="9"/>
        <v>41</v>
      </c>
      <c r="G273">
        <f>COUNTIF(BRON!A:A,'schades-leeftijd'!A273)</f>
        <v>1</v>
      </c>
    </row>
    <row r="274" spans="1:7" x14ac:dyDescent="0.25">
      <c r="A274">
        <v>34044</v>
      </c>
      <c r="B274" t="s">
        <v>1776</v>
      </c>
      <c r="C274" t="s">
        <v>1696</v>
      </c>
      <c r="D274" s="3">
        <v>34969</v>
      </c>
      <c r="E274">
        <f t="shared" si="8"/>
        <v>1995</v>
      </c>
      <c r="F274">
        <f t="shared" ca="1" si="9"/>
        <v>31</v>
      </c>
      <c r="G274">
        <f>COUNTIF(BRON!A:A,'schades-leeftijd'!A274)</f>
        <v>2</v>
      </c>
    </row>
    <row r="275" spans="1:7" x14ac:dyDescent="0.25">
      <c r="A275">
        <v>34198</v>
      </c>
      <c r="B275" t="s">
        <v>1777</v>
      </c>
      <c r="C275" t="s">
        <v>1778</v>
      </c>
      <c r="D275" s="3">
        <v>34236</v>
      </c>
      <c r="E275">
        <f t="shared" si="8"/>
        <v>1993</v>
      </c>
      <c r="F275">
        <f t="shared" ca="1" si="9"/>
        <v>33</v>
      </c>
      <c r="G275">
        <f>COUNTIF(BRON!A:A,'schades-leeftijd'!A275)</f>
        <v>2</v>
      </c>
    </row>
    <row r="276" spans="1:7" x14ac:dyDescent="0.25">
      <c r="A276">
        <v>34286</v>
      </c>
      <c r="B276" t="s">
        <v>1779</v>
      </c>
      <c r="C276" t="s">
        <v>1780</v>
      </c>
      <c r="D276" s="3">
        <v>31192</v>
      </c>
      <c r="E276">
        <f t="shared" si="8"/>
        <v>1985</v>
      </c>
      <c r="F276">
        <f t="shared" ca="1" si="9"/>
        <v>41</v>
      </c>
      <c r="G276">
        <f>COUNTIF(BRON!A:A,'schades-leeftijd'!A276)</f>
        <v>2</v>
      </c>
    </row>
    <row r="277" spans="1:7" x14ac:dyDescent="0.25">
      <c r="A277">
        <v>34312</v>
      </c>
      <c r="B277" t="s">
        <v>1508</v>
      </c>
      <c r="C277" t="s">
        <v>1781</v>
      </c>
      <c r="D277" s="3">
        <v>34089</v>
      </c>
      <c r="E277">
        <f t="shared" si="8"/>
        <v>1993</v>
      </c>
      <c r="F277">
        <f t="shared" ca="1" si="9"/>
        <v>33</v>
      </c>
      <c r="G277">
        <f>COUNTIF(BRON!A:A,'schades-leeftijd'!A277)</f>
        <v>0</v>
      </c>
    </row>
    <row r="278" spans="1:7" x14ac:dyDescent="0.25">
      <c r="A278">
        <v>34325</v>
      </c>
      <c r="B278" t="s">
        <v>1782</v>
      </c>
      <c r="C278" t="s">
        <v>1783</v>
      </c>
      <c r="D278" s="3">
        <v>30816</v>
      </c>
      <c r="E278">
        <f t="shared" si="8"/>
        <v>1984</v>
      </c>
      <c r="F278">
        <f t="shared" ca="1" si="9"/>
        <v>42</v>
      </c>
      <c r="G278">
        <f>COUNTIF(BRON!A:A,'schades-leeftijd'!A278)</f>
        <v>5</v>
      </c>
    </row>
    <row r="279" spans="1:7" x14ac:dyDescent="0.25">
      <c r="A279">
        <v>34328</v>
      </c>
      <c r="B279" t="s">
        <v>1784</v>
      </c>
      <c r="C279" t="s">
        <v>1432</v>
      </c>
      <c r="D279" s="3">
        <v>27707</v>
      </c>
      <c r="E279">
        <f t="shared" si="8"/>
        <v>1975</v>
      </c>
      <c r="F279">
        <f t="shared" ca="1" si="9"/>
        <v>51</v>
      </c>
      <c r="G279">
        <f>COUNTIF(BRON!A:A,'schades-leeftijd'!A279)</f>
        <v>4</v>
      </c>
    </row>
    <row r="280" spans="1:7" x14ac:dyDescent="0.25">
      <c r="A280">
        <v>34351</v>
      </c>
      <c r="B280" t="s">
        <v>1785</v>
      </c>
      <c r="C280" t="s">
        <v>1786</v>
      </c>
      <c r="D280" s="3">
        <v>30411</v>
      </c>
      <c r="E280">
        <f t="shared" si="8"/>
        <v>1983</v>
      </c>
      <c r="F280">
        <f t="shared" ca="1" si="9"/>
        <v>43</v>
      </c>
      <c r="G280">
        <f>COUNTIF(BRON!A:A,'schades-leeftijd'!A280)</f>
        <v>3</v>
      </c>
    </row>
    <row r="281" spans="1:7" x14ac:dyDescent="0.25">
      <c r="A281">
        <v>34445</v>
      </c>
      <c r="B281" t="s">
        <v>1787</v>
      </c>
      <c r="C281" t="s">
        <v>1788</v>
      </c>
      <c r="D281" s="3">
        <v>34663</v>
      </c>
      <c r="E281">
        <f t="shared" si="8"/>
        <v>1994</v>
      </c>
      <c r="F281">
        <f t="shared" ca="1" si="9"/>
        <v>32</v>
      </c>
      <c r="G281">
        <f>COUNTIF(BRON!A:A,'schades-leeftijd'!A281)</f>
        <v>6</v>
      </c>
    </row>
    <row r="282" spans="1:7" x14ac:dyDescent="0.25">
      <c r="A282">
        <v>34664</v>
      </c>
      <c r="B282" t="s">
        <v>1452</v>
      </c>
      <c r="C282" t="s">
        <v>1749</v>
      </c>
      <c r="D282" s="3">
        <v>34283</v>
      </c>
      <c r="E282">
        <f t="shared" si="8"/>
        <v>1993</v>
      </c>
      <c r="F282">
        <f t="shared" ca="1" si="9"/>
        <v>33</v>
      </c>
      <c r="G282">
        <f>COUNTIF(BRON!A:A,'schades-leeftijd'!A282)</f>
        <v>1</v>
      </c>
    </row>
    <row r="283" spans="1:7" x14ac:dyDescent="0.25">
      <c r="A283">
        <v>35005</v>
      </c>
      <c r="B283" t="s">
        <v>1789</v>
      </c>
      <c r="C283" t="s">
        <v>1552</v>
      </c>
      <c r="D283" s="3">
        <v>31020</v>
      </c>
      <c r="E283">
        <f t="shared" si="8"/>
        <v>1984</v>
      </c>
      <c r="F283">
        <f t="shared" ca="1" si="9"/>
        <v>42</v>
      </c>
      <c r="G283">
        <f>COUNTIF(BRON!A:A,'schades-leeftijd'!A283)</f>
        <v>0</v>
      </c>
    </row>
    <row r="284" spans="1:7" x14ac:dyDescent="0.25">
      <c r="A284">
        <v>35006</v>
      </c>
      <c r="B284" t="s">
        <v>1756</v>
      </c>
      <c r="C284" t="s">
        <v>1790</v>
      </c>
      <c r="D284" s="3">
        <v>30614</v>
      </c>
      <c r="E284">
        <f t="shared" si="8"/>
        <v>1983</v>
      </c>
      <c r="F284">
        <f t="shared" ca="1" si="9"/>
        <v>43</v>
      </c>
      <c r="G284">
        <f>COUNTIF(BRON!A:A,'schades-leeftijd'!A284)</f>
        <v>1</v>
      </c>
    </row>
    <row r="285" spans="1:7" x14ac:dyDescent="0.25">
      <c r="A285">
        <v>35026</v>
      </c>
      <c r="B285" t="s">
        <v>1791</v>
      </c>
      <c r="C285" t="s">
        <v>1792</v>
      </c>
      <c r="D285" s="3">
        <v>32327</v>
      </c>
      <c r="E285">
        <f t="shared" si="8"/>
        <v>1988</v>
      </c>
      <c r="F285">
        <f t="shared" ca="1" si="9"/>
        <v>38</v>
      </c>
      <c r="G285">
        <f>COUNTIF(BRON!A:A,'schades-leeftijd'!A285)</f>
        <v>0</v>
      </c>
    </row>
    <row r="286" spans="1:7" x14ac:dyDescent="0.25">
      <c r="A286">
        <v>35030</v>
      </c>
      <c r="B286" t="s">
        <v>1793</v>
      </c>
      <c r="C286" t="s">
        <v>1329</v>
      </c>
      <c r="D286" s="3">
        <v>25785</v>
      </c>
      <c r="E286">
        <f t="shared" si="8"/>
        <v>1970</v>
      </c>
      <c r="F286">
        <f t="shared" ca="1" si="9"/>
        <v>56</v>
      </c>
      <c r="G286">
        <f>COUNTIF(BRON!A:A,'schades-leeftijd'!A286)</f>
        <v>0</v>
      </c>
    </row>
    <row r="287" spans="1:7" x14ac:dyDescent="0.25">
      <c r="A287">
        <v>35055</v>
      </c>
      <c r="B287" t="s">
        <v>1794</v>
      </c>
      <c r="C287" t="s">
        <v>1795</v>
      </c>
      <c r="D287" s="3">
        <v>36273</v>
      </c>
      <c r="E287">
        <f t="shared" si="8"/>
        <v>1999</v>
      </c>
      <c r="F287">
        <f t="shared" ca="1" si="9"/>
        <v>27</v>
      </c>
      <c r="G287">
        <f>COUNTIF(BRON!A:A,'schades-leeftijd'!A287)</f>
        <v>2</v>
      </c>
    </row>
    <row r="288" spans="1:7" x14ac:dyDescent="0.25">
      <c r="A288">
        <v>35107</v>
      </c>
      <c r="B288" t="s">
        <v>1796</v>
      </c>
      <c r="C288" t="s">
        <v>1401</v>
      </c>
      <c r="D288" s="3">
        <v>26227</v>
      </c>
      <c r="E288">
        <f t="shared" si="8"/>
        <v>1971</v>
      </c>
      <c r="F288">
        <f t="shared" ca="1" si="9"/>
        <v>55</v>
      </c>
      <c r="G288">
        <f>COUNTIF(BRON!A:A,'schades-leeftijd'!A288)</f>
        <v>1</v>
      </c>
    </row>
    <row r="289" spans="1:7" x14ac:dyDescent="0.25">
      <c r="A289">
        <v>35120</v>
      </c>
      <c r="B289" t="s">
        <v>1797</v>
      </c>
      <c r="C289" t="s">
        <v>1798</v>
      </c>
      <c r="D289" s="3">
        <v>32582</v>
      </c>
      <c r="E289">
        <f t="shared" si="8"/>
        <v>1989</v>
      </c>
      <c r="F289">
        <f t="shared" ca="1" si="9"/>
        <v>37</v>
      </c>
      <c r="G289">
        <f>COUNTIF(BRON!A:A,'schades-leeftijd'!A289)</f>
        <v>1</v>
      </c>
    </row>
    <row r="290" spans="1:7" x14ac:dyDescent="0.25">
      <c r="A290">
        <v>35187</v>
      </c>
      <c r="B290" t="s">
        <v>1799</v>
      </c>
      <c r="C290" t="s">
        <v>1800</v>
      </c>
      <c r="D290" s="3">
        <v>19500</v>
      </c>
      <c r="E290">
        <f t="shared" si="8"/>
        <v>1953</v>
      </c>
      <c r="F290">
        <f t="shared" ca="1" si="9"/>
        <v>73</v>
      </c>
      <c r="G290">
        <f>COUNTIF(BRON!A:A,'schades-leeftijd'!A290)</f>
        <v>1</v>
      </c>
    </row>
    <row r="291" spans="1:7" x14ac:dyDescent="0.25">
      <c r="A291">
        <v>35216</v>
      </c>
      <c r="B291" t="s">
        <v>1801</v>
      </c>
      <c r="C291" t="s">
        <v>1802</v>
      </c>
      <c r="D291" s="3">
        <v>36459</v>
      </c>
      <c r="E291">
        <f t="shared" si="8"/>
        <v>1999</v>
      </c>
      <c r="F291">
        <f t="shared" ca="1" si="9"/>
        <v>27</v>
      </c>
      <c r="G291">
        <f>COUNTIF(BRON!A:A,'schades-leeftijd'!A291)</f>
        <v>2</v>
      </c>
    </row>
    <row r="292" spans="1:7" x14ac:dyDescent="0.25">
      <c r="A292">
        <v>35220</v>
      </c>
      <c r="B292" t="s">
        <v>1803</v>
      </c>
      <c r="C292" t="s">
        <v>1804</v>
      </c>
      <c r="D292" s="3">
        <v>32543</v>
      </c>
      <c r="E292">
        <f t="shared" si="8"/>
        <v>1989</v>
      </c>
      <c r="F292">
        <f t="shared" ca="1" si="9"/>
        <v>37</v>
      </c>
      <c r="G292">
        <f>COUNTIF(BRON!A:A,'schades-leeftijd'!A292)</f>
        <v>0</v>
      </c>
    </row>
    <row r="293" spans="1:7" x14ac:dyDescent="0.25">
      <c r="A293">
        <v>35246</v>
      </c>
      <c r="B293" t="s">
        <v>1127</v>
      </c>
      <c r="C293" t="s">
        <v>1805</v>
      </c>
      <c r="D293" s="3">
        <v>25938</v>
      </c>
      <c r="E293">
        <f t="shared" si="8"/>
        <v>1971</v>
      </c>
      <c r="F293">
        <f t="shared" ca="1" si="9"/>
        <v>55</v>
      </c>
      <c r="G293">
        <f>COUNTIF(BRON!A:A,'schades-leeftijd'!A293)</f>
        <v>2</v>
      </c>
    </row>
    <row r="294" spans="1:7" x14ac:dyDescent="0.25">
      <c r="A294">
        <v>35334</v>
      </c>
      <c r="B294" t="s">
        <v>1806</v>
      </c>
      <c r="C294" t="s">
        <v>1807</v>
      </c>
      <c r="D294" s="3">
        <v>33578</v>
      </c>
      <c r="E294">
        <f t="shared" si="8"/>
        <v>1991</v>
      </c>
      <c r="F294">
        <f t="shared" ca="1" si="9"/>
        <v>35</v>
      </c>
      <c r="G294">
        <f>COUNTIF(BRON!A:A,'schades-leeftijd'!A294)</f>
        <v>0</v>
      </c>
    </row>
    <row r="295" spans="1:7" x14ac:dyDescent="0.25">
      <c r="A295">
        <v>35379</v>
      </c>
      <c r="B295" t="s">
        <v>1609</v>
      </c>
      <c r="C295" t="s">
        <v>1808</v>
      </c>
      <c r="D295" s="3">
        <v>27962</v>
      </c>
      <c r="E295">
        <f t="shared" si="8"/>
        <v>1976</v>
      </c>
      <c r="F295">
        <f t="shared" ca="1" si="9"/>
        <v>50</v>
      </c>
      <c r="G295">
        <f>COUNTIF(BRON!A:A,'schades-leeftijd'!A295)</f>
        <v>2</v>
      </c>
    </row>
    <row r="296" spans="1:7" x14ac:dyDescent="0.25">
      <c r="A296">
        <v>35395</v>
      </c>
      <c r="B296" t="s">
        <v>1809</v>
      </c>
      <c r="C296" t="s">
        <v>1810</v>
      </c>
      <c r="D296" s="3">
        <v>28038</v>
      </c>
      <c r="E296">
        <f t="shared" si="8"/>
        <v>1976</v>
      </c>
      <c r="F296">
        <f t="shared" ca="1" si="9"/>
        <v>50</v>
      </c>
      <c r="G296">
        <f>COUNTIF(BRON!A:A,'schades-leeftijd'!A296)</f>
        <v>2</v>
      </c>
    </row>
    <row r="297" spans="1:7" x14ac:dyDescent="0.25">
      <c r="A297">
        <v>35397</v>
      </c>
      <c r="B297" t="s">
        <v>1811</v>
      </c>
      <c r="C297" t="s">
        <v>1812</v>
      </c>
      <c r="D297" s="3">
        <v>30513</v>
      </c>
      <c r="E297">
        <f t="shared" si="8"/>
        <v>1983</v>
      </c>
      <c r="F297">
        <f t="shared" ca="1" si="9"/>
        <v>43</v>
      </c>
      <c r="G297">
        <f>COUNTIF(BRON!A:A,'schades-leeftijd'!A297)</f>
        <v>3</v>
      </c>
    </row>
    <row r="298" spans="1:7" x14ac:dyDescent="0.25">
      <c r="A298">
        <v>35414</v>
      </c>
      <c r="B298" t="s">
        <v>1813</v>
      </c>
      <c r="C298" t="s">
        <v>1814</v>
      </c>
      <c r="D298" s="3">
        <v>31067</v>
      </c>
      <c r="E298">
        <f t="shared" si="8"/>
        <v>1985</v>
      </c>
      <c r="F298">
        <f t="shared" ca="1" si="9"/>
        <v>41</v>
      </c>
      <c r="G298">
        <f>COUNTIF(BRON!A:A,'schades-leeftijd'!A298)</f>
        <v>0</v>
      </c>
    </row>
    <row r="299" spans="1:7" x14ac:dyDescent="0.25">
      <c r="A299">
        <v>35419</v>
      </c>
      <c r="B299" t="s">
        <v>1815</v>
      </c>
      <c r="C299" t="s">
        <v>1430</v>
      </c>
      <c r="D299" s="3">
        <v>28965</v>
      </c>
      <c r="E299">
        <f t="shared" si="8"/>
        <v>1979</v>
      </c>
      <c r="F299">
        <f t="shared" ca="1" si="9"/>
        <v>47</v>
      </c>
      <c r="G299">
        <f>COUNTIF(BRON!A:A,'schades-leeftijd'!A299)</f>
        <v>0</v>
      </c>
    </row>
    <row r="300" spans="1:7" x14ac:dyDescent="0.25">
      <c r="A300">
        <v>35430</v>
      </c>
      <c r="B300" t="s">
        <v>1816</v>
      </c>
      <c r="C300" t="s">
        <v>1385</v>
      </c>
      <c r="D300" s="3">
        <v>22829</v>
      </c>
      <c r="E300">
        <f t="shared" si="8"/>
        <v>1962</v>
      </c>
      <c r="F300">
        <f t="shared" ca="1" si="9"/>
        <v>64</v>
      </c>
      <c r="G300">
        <f>COUNTIF(BRON!A:A,'schades-leeftijd'!A300)</f>
        <v>2</v>
      </c>
    </row>
    <row r="301" spans="1:7" x14ac:dyDescent="0.25">
      <c r="A301">
        <v>35434</v>
      </c>
      <c r="B301" t="s">
        <v>1569</v>
      </c>
      <c r="C301" t="s">
        <v>1817</v>
      </c>
      <c r="D301" s="3">
        <v>29155</v>
      </c>
      <c r="E301">
        <f t="shared" si="8"/>
        <v>1979</v>
      </c>
      <c r="F301">
        <f t="shared" ca="1" si="9"/>
        <v>47</v>
      </c>
      <c r="G301">
        <f>COUNTIF(BRON!A:A,'schades-leeftijd'!A301)</f>
        <v>1</v>
      </c>
    </row>
    <row r="302" spans="1:7" x14ac:dyDescent="0.25">
      <c r="A302">
        <v>35450</v>
      </c>
      <c r="B302" t="s">
        <v>1818</v>
      </c>
      <c r="C302" t="s">
        <v>1770</v>
      </c>
      <c r="D302" s="3">
        <v>30458</v>
      </c>
      <c r="E302">
        <f t="shared" si="8"/>
        <v>1983</v>
      </c>
      <c r="F302">
        <f t="shared" ca="1" si="9"/>
        <v>43</v>
      </c>
      <c r="G302">
        <f>COUNTIF(BRON!A:A,'schades-leeftijd'!A302)</f>
        <v>4</v>
      </c>
    </row>
    <row r="303" spans="1:7" x14ac:dyDescent="0.25">
      <c r="A303">
        <v>35463</v>
      </c>
      <c r="B303" t="s">
        <v>1375</v>
      </c>
      <c r="C303" t="s">
        <v>1351</v>
      </c>
      <c r="D303" s="3">
        <v>31006</v>
      </c>
      <c r="E303">
        <f t="shared" si="8"/>
        <v>1984</v>
      </c>
      <c r="F303">
        <f t="shared" ca="1" si="9"/>
        <v>42</v>
      </c>
      <c r="G303">
        <f>COUNTIF(BRON!A:A,'schades-leeftijd'!A303)</f>
        <v>4</v>
      </c>
    </row>
    <row r="304" spans="1:7" x14ac:dyDescent="0.25">
      <c r="A304">
        <v>35471</v>
      </c>
      <c r="B304" t="s">
        <v>1492</v>
      </c>
      <c r="C304" t="s">
        <v>1343</v>
      </c>
      <c r="D304" s="3">
        <v>18345</v>
      </c>
      <c r="E304">
        <f t="shared" si="8"/>
        <v>1950</v>
      </c>
      <c r="F304">
        <f t="shared" ca="1" si="9"/>
        <v>76</v>
      </c>
      <c r="G304">
        <f>COUNTIF(BRON!A:A,'schades-leeftijd'!A304)</f>
        <v>0</v>
      </c>
    </row>
    <row r="305" spans="1:7" x14ac:dyDescent="0.25">
      <c r="A305">
        <v>35490</v>
      </c>
      <c r="B305" t="s">
        <v>1819</v>
      </c>
      <c r="C305" t="s">
        <v>1820</v>
      </c>
      <c r="D305" s="3">
        <v>35139</v>
      </c>
      <c r="E305">
        <f t="shared" si="8"/>
        <v>1996</v>
      </c>
      <c r="F305">
        <f t="shared" ca="1" si="9"/>
        <v>30</v>
      </c>
      <c r="G305">
        <f>COUNTIF(BRON!A:A,'schades-leeftijd'!A305)</f>
        <v>1</v>
      </c>
    </row>
    <row r="306" spans="1:7" x14ac:dyDescent="0.25">
      <c r="A306">
        <v>35491</v>
      </c>
      <c r="B306" t="s">
        <v>1616</v>
      </c>
      <c r="C306" t="s">
        <v>1821</v>
      </c>
      <c r="D306" s="3">
        <v>35525</v>
      </c>
      <c r="E306">
        <f t="shared" si="8"/>
        <v>1997</v>
      </c>
      <c r="F306">
        <f t="shared" ca="1" si="9"/>
        <v>29</v>
      </c>
      <c r="G306">
        <f>COUNTIF(BRON!A:A,'schades-leeftijd'!A306)</f>
        <v>2</v>
      </c>
    </row>
    <row r="307" spans="1:7" x14ac:dyDescent="0.25">
      <c r="A307">
        <v>35493</v>
      </c>
      <c r="B307" t="s">
        <v>1822</v>
      </c>
      <c r="C307" t="s">
        <v>1823</v>
      </c>
      <c r="D307" s="3">
        <v>28007</v>
      </c>
      <c r="E307">
        <f t="shared" si="8"/>
        <v>1976</v>
      </c>
      <c r="F307">
        <f t="shared" ca="1" si="9"/>
        <v>50</v>
      </c>
      <c r="G307">
        <f>COUNTIF(BRON!A:A,'schades-leeftijd'!A307)</f>
        <v>1</v>
      </c>
    </row>
    <row r="308" spans="1:7" x14ac:dyDescent="0.25">
      <c r="A308">
        <v>35494</v>
      </c>
      <c r="B308" t="s">
        <v>1824</v>
      </c>
      <c r="C308" t="s">
        <v>1532</v>
      </c>
      <c r="D308" s="3">
        <v>29509</v>
      </c>
      <c r="E308">
        <f t="shared" si="8"/>
        <v>1980</v>
      </c>
      <c r="F308">
        <f t="shared" ca="1" si="9"/>
        <v>46</v>
      </c>
      <c r="G308">
        <f>COUNTIF(BRON!A:A,'schades-leeftijd'!A308)</f>
        <v>0</v>
      </c>
    </row>
    <row r="309" spans="1:7" x14ac:dyDescent="0.25">
      <c r="A309">
        <v>35495</v>
      </c>
      <c r="B309" t="s">
        <v>1825</v>
      </c>
      <c r="C309" t="s">
        <v>1826</v>
      </c>
      <c r="D309" s="3">
        <v>34121</v>
      </c>
      <c r="E309">
        <f t="shared" si="8"/>
        <v>1993</v>
      </c>
      <c r="F309">
        <f t="shared" ca="1" si="9"/>
        <v>33</v>
      </c>
      <c r="G309">
        <f>COUNTIF(BRON!A:A,'schades-leeftijd'!A309)</f>
        <v>1</v>
      </c>
    </row>
    <row r="310" spans="1:7" x14ac:dyDescent="0.25">
      <c r="A310">
        <v>35588</v>
      </c>
      <c r="B310" t="s">
        <v>1827</v>
      </c>
      <c r="C310" t="s">
        <v>1828</v>
      </c>
      <c r="D310" s="3">
        <v>33879</v>
      </c>
      <c r="E310">
        <f t="shared" si="8"/>
        <v>1992</v>
      </c>
      <c r="F310">
        <f t="shared" ca="1" si="9"/>
        <v>34</v>
      </c>
      <c r="G310">
        <f>COUNTIF(BRON!A:A,'schades-leeftijd'!A310)</f>
        <v>3</v>
      </c>
    </row>
    <row r="311" spans="1:7" x14ac:dyDescent="0.25">
      <c r="A311">
        <v>35598</v>
      </c>
      <c r="B311" t="s">
        <v>1829</v>
      </c>
      <c r="C311" t="s">
        <v>1830</v>
      </c>
      <c r="D311" s="3">
        <v>24328</v>
      </c>
      <c r="E311">
        <f t="shared" si="8"/>
        <v>1966</v>
      </c>
      <c r="F311">
        <f t="shared" ca="1" si="9"/>
        <v>60</v>
      </c>
      <c r="G311">
        <f>COUNTIF(BRON!A:A,'schades-leeftijd'!A311)</f>
        <v>1</v>
      </c>
    </row>
    <row r="312" spans="1:7" x14ac:dyDescent="0.25">
      <c r="A312">
        <v>35619</v>
      </c>
      <c r="B312" t="s">
        <v>1831</v>
      </c>
      <c r="C312" t="s">
        <v>1832</v>
      </c>
      <c r="D312" s="3">
        <v>27907</v>
      </c>
      <c r="E312">
        <f t="shared" si="8"/>
        <v>1976</v>
      </c>
      <c r="F312">
        <f t="shared" ca="1" si="9"/>
        <v>50</v>
      </c>
      <c r="G312">
        <f>COUNTIF(BRON!A:A,'schades-leeftijd'!A312)</f>
        <v>1</v>
      </c>
    </row>
    <row r="313" spans="1:7" x14ac:dyDescent="0.25">
      <c r="A313">
        <v>35623</v>
      </c>
      <c r="B313" t="s">
        <v>1833</v>
      </c>
      <c r="C313" t="s">
        <v>1555</v>
      </c>
      <c r="D313" s="3">
        <v>29006</v>
      </c>
      <c r="E313">
        <f t="shared" si="8"/>
        <v>1979</v>
      </c>
      <c r="F313">
        <f t="shared" ca="1" si="9"/>
        <v>47</v>
      </c>
      <c r="G313">
        <f>COUNTIF(BRON!A:A,'schades-leeftijd'!A313)</f>
        <v>0</v>
      </c>
    </row>
    <row r="314" spans="1:7" x14ac:dyDescent="0.25">
      <c r="A314">
        <v>35645</v>
      </c>
      <c r="B314" t="s">
        <v>1834</v>
      </c>
      <c r="C314" t="s">
        <v>1835</v>
      </c>
      <c r="D314" s="3">
        <v>31611</v>
      </c>
      <c r="E314">
        <f t="shared" si="8"/>
        <v>1986</v>
      </c>
      <c r="F314">
        <f t="shared" ca="1" si="9"/>
        <v>40</v>
      </c>
      <c r="G314">
        <f>COUNTIF(BRON!A:A,'schades-leeftijd'!A314)</f>
        <v>4</v>
      </c>
    </row>
    <row r="315" spans="1:7" x14ac:dyDescent="0.25">
      <c r="A315">
        <v>35709</v>
      </c>
      <c r="B315" t="s">
        <v>1836</v>
      </c>
      <c r="C315" t="s">
        <v>1837</v>
      </c>
      <c r="D315" s="3">
        <v>24400</v>
      </c>
      <c r="E315">
        <f t="shared" si="8"/>
        <v>1966</v>
      </c>
      <c r="F315">
        <f t="shared" ca="1" si="9"/>
        <v>60</v>
      </c>
      <c r="G315">
        <f>COUNTIF(BRON!A:A,'schades-leeftijd'!A315)</f>
        <v>1</v>
      </c>
    </row>
    <row r="316" spans="1:7" x14ac:dyDescent="0.25">
      <c r="A316">
        <v>35761</v>
      </c>
      <c r="B316" t="s">
        <v>1582</v>
      </c>
      <c r="C316" t="s">
        <v>1838</v>
      </c>
      <c r="D316" s="3">
        <v>33856</v>
      </c>
      <c r="E316">
        <f t="shared" si="8"/>
        <v>1992</v>
      </c>
      <c r="F316">
        <f t="shared" ca="1" si="9"/>
        <v>34</v>
      </c>
      <c r="G316">
        <f>COUNTIF(BRON!A:A,'schades-leeftijd'!A316)</f>
        <v>0</v>
      </c>
    </row>
    <row r="317" spans="1:7" x14ac:dyDescent="0.25">
      <c r="A317">
        <v>35862</v>
      </c>
      <c r="B317" t="s">
        <v>1839</v>
      </c>
      <c r="C317" t="s">
        <v>1404</v>
      </c>
      <c r="D317" s="3">
        <v>23710</v>
      </c>
      <c r="E317">
        <f t="shared" si="8"/>
        <v>1964</v>
      </c>
      <c r="F317">
        <f t="shared" ca="1" si="9"/>
        <v>62</v>
      </c>
      <c r="G317">
        <f>COUNTIF(BRON!A:A,'schades-leeftijd'!A317)</f>
        <v>0</v>
      </c>
    </row>
    <row r="318" spans="1:7" x14ac:dyDescent="0.25">
      <c r="A318">
        <v>36021</v>
      </c>
      <c r="B318" t="s">
        <v>1840</v>
      </c>
      <c r="C318" t="s">
        <v>1491</v>
      </c>
      <c r="D318" s="3">
        <v>33168</v>
      </c>
      <c r="E318">
        <f t="shared" si="8"/>
        <v>1990</v>
      </c>
      <c r="F318">
        <f t="shared" ca="1" si="9"/>
        <v>36</v>
      </c>
      <c r="G318">
        <f>COUNTIF(BRON!A:A,'schades-leeftijd'!A318)</f>
        <v>2</v>
      </c>
    </row>
    <row r="319" spans="1:7" x14ac:dyDescent="0.25">
      <c r="A319">
        <v>36154</v>
      </c>
      <c r="B319" t="s">
        <v>1456</v>
      </c>
      <c r="C319" t="s">
        <v>1841</v>
      </c>
      <c r="D319" s="3">
        <v>35578</v>
      </c>
      <c r="E319">
        <f t="shared" si="8"/>
        <v>1997</v>
      </c>
      <c r="F319">
        <f t="shared" ca="1" si="9"/>
        <v>29</v>
      </c>
      <c r="G319">
        <f>COUNTIF(BRON!A:A,'schades-leeftijd'!A319)</f>
        <v>1</v>
      </c>
    </row>
    <row r="320" spans="1:7" x14ac:dyDescent="0.25">
      <c r="A320">
        <v>36228</v>
      </c>
      <c r="B320" t="s">
        <v>1842</v>
      </c>
      <c r="C320" t="s">
        <v>1843</v>
      </c>
      <c r="D320" s="3">
        <v>36109</v>
      </c>
      <c r="E320">
        <f t="shared" si="8"/>
        <v>1998</v>
      </c>
      <c r="F320">
        <f t="shared" ca="1" si="9"/>
        <v>28</v>
      </c>
      <c r="G320">
        <f>COUNTIF(BRON!A:A,'schades-leeftijd'!A320)</f>
        <v>1</v>
      </c>
    </row>
    <row r="321" spans="1:7" x14ac:dyDescent="0.25">
      <c r="A321">
        <v>36275</v>
      </c>
      <c r="B321" t="s">
        <v>1844</v>
      </c>
      <c r="C321" t="s">
        <v>1845</v>
      </c>
      <c r="D321" s="3">
        <v>27839</v>
      </c>
      <c r="E321">
        <f t="shared" si="8"/>
        <v>1976</v>
      </c>
      <c r="F321">
        <f t="shared" ca="1" si="9"/>
        <v>50</v>
      </c>
      <c r="G321">
        <f>COUNTIF(BRON!A:A,'schades-leeftijd'!A321)</f>
        <v>2</v>
      </c>
    </row>
    <row r="322" spans="1:7" x14ac:dyDescent="0.25">
      <c r="A322">
        <v>36289</v>
      </c>
      <c r="B322" t="s">
        <v>1846</v>
      </c>
      <c r="C322" t="s">
        <v>1365</v>
      </c>
      <c r="D322" s="3">
        <v>28212</v>
      </c>
      <c r="E322">
        <f t="shared" si="8"/>
        <v>1977</v>
      </c>
      <c r="F322">
        <f t="shared" ca="1" si="9"/>
        <v>49</v>
      </c>
      <c r="G322">
        <f>COUNTIF(BRON!A:A,'schades-leeftijd'!A322)</f>
        <v>3</v>
      </c>
    </row>
    <row r="323" spans="1:7" x14ac:dyDescent="0.25">
      <c r="A323">
        <v>36336</v>
      </c>
      <c r="B323" t="s">
        <v>1847</v>
      </c>
      <c r="C323" t="s">
        <v>1389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45</v>
      </c>
      <c r="G323">
        <f>COUNTIF(BRON!A:A,'schades-leeftijd'!A323)</f>
        <v>1</v>
      </c>
    </row>
    <row r="324" spans="1:7" x14ac:dyDescent="0.25">
      <c r="A324">
        <v>36337</v>
      </c>
      <c r="B324" t="s">
        <v>1848</v>
      </c>
      <c r="C324" t="s">
        <v>1798</v>
      </c>
      <c r="D324" s="3">
        <v>24304</v>
      </c>
      <c r="E324">
        <f t="shared" si="10"/>
        <v>1966</v>
      </c>
      <c r="F324">
        <f t="shared" ca="1" si="11"/>
        <v>60</v>
      </c>
      <c r="G324">
        <f>COUNTIF(BRON!A:A,'schades-leeftijd'!A324)</f>
        <v>1</v>
      </c>
    </row>
    <row r="325" spans="1:7" x14ac:dyDescent="0.25">
      <c r="A325">
        <v>36354</v>
      </c>
      <c r="B325" t="s">
        <v>1849</v>
      </c>
      <c r="C325" t="s">
        <v>1850</v>
      </c>
      <c r="D325" s="3">
        <v>35740</v>
      </c>
      <c r="E325">
        <f t="shared" si="10"/>
        <v>1997</v>
      </c>
      <c r="F325">
        <f t="shared" ca="1" si="11"/>
        <v>29</v>
      </c>
      <c r="G325">
        <f>COUNTIF(BRON!A:A,'schades-leeftijd'!A325)</f>
        <v>0</v>
      </c>
    </row>
    <row r="326" spans="1:7" x14ac:dyDescent="0.25">
      <c r="A326">
        <v>36358</v>
      </c>
      <c r="B326" t="s">
        <v>1851</v>
      </c>
      <c r="C326" t="s">
        <v>1852</v>
      </c>
      <c r="D326" s="3">
        <v>36236</v>
      </c>
      <c r="E326">
        <f t="shared" si="10"/>
        <v>1999</v>
      </c>
      <c r="F326">
        <f t="shared" ca="1" si="11"/>
        <v>27</v>
      </c>
      <c r="G326">
        <f>COUNTIF(BRON!A:A,'schades-leeftijd'!A326)</f>
        <v>2</v>
      </c>
    </row>
    <row r="327" spans="1:7" x14ac:dyDescent="0.25">
      <c r="A327">
        <v>36378</v>
      </c>
      <c r="B327" t="s">
        <v>1853</v>
      </c>
      <c r="C327" t="s">
        <v>1854</v>
      </c>
      <c r="D327" s="3">
        <v>22566</v>
      </c>
      <c r="E327">
        <f t="shared" si="10"/>
        <v>1961</v>
      </c>
      <c r="F327">
        <f t="shared" ca="1" si="11"/>
        <v>65</v>
      </c>
      <c r="G327">
        <f>COUNTIF(BRON!A:A,'schades-leeftijd'!A327)</f>
        <v>0</v>
      </c>
    </row>
    <row r="328" spans="1:7" x14ac:dyDescent="0.25">
      <c r="A328">
        <v>36425</v>
      </c>
      <c r="B328" t="s">
        <v>1855</v>
      </c>
      <c r="C328" t="s">
        <v>1345</v>
      </c>
      <c r="D328" s="3">
        <v>27833</v>
      </c>
      <c r="E328">
        <f t="shared" si="10"/>
        <v>1976</v>
      </c>
      <c r="F328">
        <f t="shared" ca="1" si="11"/>
        <v>50</v>
      </c>
      <c r="G328">
        <f>COUNTIF(BRON!A:A,'schades-leeftijd'!A328)</f>
        <v>0</v>
      </c>
    </row>
    <row r="329" spans="1:7" x14ac:dyDescent="0.25">
      <c r="A329">
        <v>36426</v>
      </c>
      <c r="B329" t="s">
        <v>1856</v>
      </c>
      <c r="C329" t="s">
        <v>1857</v>
      </c>
      <c r="D329" s="3">
        <v>32703</v>
      </c>
      <c r="E329">
        <f t="shared" si="10"/>
        <v>1989</v>
      </c>
      <c r="F329">
        <f t="shared" ca="1" si="11"/>
        <v>37</v>
      </c>
      <c r="G329">
        <f>COUNTIF(BRON!A:A,'schades-leeftijd'!A329)</f>
        <v>3</v>
      </c>
    </row>
    <row r="330" spans="1:7" x14ac:dyDescent="0.25">
      <c r="A330">
        <v>36427</v>
      </c>
      <c r="B330" t="s">
        <v>1858</v>
      </c>
      <c r="C330" t="s">
        <v>1859</v>
      </c>
      <c r="D330" s="3">
        <v>36246</v>
      </c>
      <c r="E330">
        <f t="shared" si="10"/>
        <v>1999</v>
      </c>
      <c r="F330">
        <f t="shared" ca="1" si="11"/>
        <v>27</v>
      </c>
      <c r="G330">
        <f>COUNTIF(BRON!A:A,'schades-leeftijd'!A330)</f>
        <v>0</v>
      </c>
    </row>
    <row r="331" spans="1:7" x14ac:dyDescent="0.25">
      <c r="A331">
        <v>36428</v>
      </c>
      <c r="B331" t="s">
        <v>1860</v>
      </c>
      <c r="C331" t="s">
        <v>1861</v>
      </c>
      <c r="D331" s="3">
        <v>33510</v>
      </c>
      <c r="E331">
        <f t="shared" si="10"/>
        <v>1991</v>
      </c>
      <c r="F331">
        <f t="shared" ca="1" si="11"/>
        <v>35</v>
      </c>
      <c r="G331">
        <f>COUNTIF(BRON!A:A,'schades-leeftijd'!A331)</f>
        <v>6</v>
      </c>
    </row>
    <row r="332" spans="1:7" x14ac:dyDescent="0.25">
      <c r="A332">
        <v>36429</v>
      </c>
      <c r="B332" t="s">
        <v>1862</v>
      </c>
      <c r="C332" t="s">
        <v>1863</v>
      </c>
      <c r="D332" s="3">
        <v>31748</v>
      </c>
      <c r="E332">
        <f t="shared" si="10"/>
        <v>1986</v>
      </c>
      <c r="F332">
        <f t="shared" ca="1" si="11"/>
        <v>40</v>
      </c>
      <c r="G332">
        <f>COUNTIF(BRON!A:A,'schades-leeftijd'!A332)</f>
        <v>1</v>
      </c>
    </row>
    <row r="333" spans="1:7" x14ac:dyDescent="0.25">
      <c r="A333">
        <v>36438</v>
      </c>
      <c r="B333" t="s">
        <v>1864</v>
      </c>
      <c r="C333" t="s">
        <v>1865</v>
      </c>
      <c r="D333" s="3">
        <v>26348</v>
      </c>
      <c r="E333">
        <f t="shared" si="10"/>
        <v>1972</v>
      </c>
      <c r="F333">
        <f t="shared" ca="1" si="11"/>
        <v>54</v>
      </c>
      <c r="G333">
        <f>COUNTIF(BRON!A:A,'schades-leeftijd'!A333)</f>
        <v>5</v>
      </c>
    </row>
    <row r="334" spans="1:7" x14ac:dyDescent="0.25">
      <c r="A334">
        <v>36503</v>
      </c>
      <c r="B334" t="s">
        <v>1866</v>
      </c>
      <c r="C334" t="s">
        <v>1867</v>
      </c>
      <c r="D334" s="3">
        <v>30035</v>
      </c>
      <c r="E334">
        <f t="shared" si="10"/>
        <v>1982</v>
      </c>
      <c r="F334">
        <f t="shared" ca="1" si="11"/>
        <v>44</v>
      </c>
      <c r="G334">
        <f>COUNTIF(BRON!A:A,'schades-leeftijd'!A334)</f>
        <v>1</v>
      </c>
    </row>
    <row r="335" spans="1:7" x14ac:dyDescent="0.25">
      <c r="A335">
        <v>36505</v>
      </c>
      <c r="B335" t="s">
        <v>1868</v>
      </c>
      <c r="C335" t="s">
        <v>1869</v>
      </c>
      <c r="D335" s="3">
        <v>35806</v>
      </c>
      <c r="E335">
        <f t="shared" si="10"/>
        <v>1998</v>
      </c>
      <c r="F335">
        <f t="shared" ca="1" si="11"/>
        <v>28</v>
      </c>
      <c r="G335">
        <f>COUNTIF(BRON!A:A,'schades-leeftijd'!A335)</f>
        <v>1</v>
      </c>
    </row>
    <row r="336" spans="1:7" x14ac:dyDescent="0.25">
      <c r="A336">
        <v>36507</v>
      </c>
      <c r="B336" t="s">
        <v>1870</v>
      </c>
      <c r="C336" t="s">
        <v>1871</v>
      </c>
      <c r="D336" s="3">
        <v>25171</v>
      </c>
      <c r="E336">
        <f t="shared" si="10"/>
        <v>1968</v>
      </c>
      <c r="F336">
        <f t="shared" ca="1" si="11"/>
        <v>58</v>
      </c>
      <c r="G336">
        <f>COUNTIF(BRON!A:A,'schades-leeftijd'!A336)</f>
        <v>0</v>
      </c>
    </row>
    <row r="337" spans="1:7" x14ac:dyDescent="0.25">
      <c r="A337">
        <v>36512</v>
      </c>
      <c r="B337" t="s">
        <v>1872</v>
      </c>
      <c r="C337" t="s">
        <v>1873</v>
      </c>
      <c r="D337" s="3">
        <v>36403</v>
      </c>
      <c r="E337">
        <f t="shared" si="10"/>
        <v>1999</v>
      </c>
      <c r="F337">
        <f t="shared" ca="1" si="11"/>
        <v>27</v>
      </c>
      <c r="G337">
        <f>COUNTIF(BRON!A:A,'schades-leeftijd'!A337)</f>
        <v>3</v>
      </c>
    </row>
    <row r="338" spans="1:7" x14ac:dyDescent="0.25">
      <c r="A338">
        <v>36513</v>
      </c>
      <c r="B338" t="s">
        <v>1103</v>
      </c>
      <c r="C338" t="s">
        <v>1874</v>
      </c>
      <c r="D338" s="3">
        <v>35422</v>
      </c>
      <c r="E338">
        <f t="shared" si="10"/>
        <v>1996</v>
      </c>
      <c r="F338">
        <f t="shared" ca="1" si="11"/>
        <v>30</v>
      </c>
      <c r="G338">
        <f>COUNTIF(BRON!A:A,'schades-leeftijd'!A338)</f>
        <v>1</v>
      </c>
    </row>
    <row r="339" spans="1:7" x14ac:dyDescent="0.25">
      <c r="A339">
        <v>36543</v>
      </c>
      <c r="B339" t="s">
        <v>1875</v>
      </c>
      <c r="C339" t="s">
        <v>1876</v>
      </c>
      <c r="D339" s="3">
        <v>35351</v>
      </c>
      <c r="E339">
        <f t="shared" si="10"/>
        <v>1996</v>
      </c>
      <c r="F339">
        <f t="shared" ca="1" si="11"/>
        <v>30</v>
      </c>
      <c r="G339">
        <f>COUNTIF(BRON!A:A,'schades-leeftijd'!A339)</f>
        <v>1</v>
      </c>
    </row>
    <row r="340" spans="1:7" x14ac:dyDescent="0.25">
      <c r="A340">
        <v>36559</v>
      </c>
      <c r="B340" t="s">
        <v>1877</v>
      </c>
      <c r="C340" t="s">
        <v>1493</v>
      </c>
      <c r="D340" s="3">
        <v>27176</v>
      </c>
      <c r="E340">
        <f t="shared" si="10"/>
        <v>1974</v>
      </c>
      <c r="F340">
        <f t="shared" ca="1" si="11"/>
        <v>52</v>
      </c>
      <c r="G340">
        <f>COUNTIF(BRON!A:A,'schades-leeftijd'!A340)</f>
        <v>2</v>
      </c>
    </row>
    <row r="341" spans="1:7" x14ac:dyDescent="0.25">
      <c r="A341">
        <v>36577</v>
      </c>
      <c r="B341" t="s">
        <v>1354</v>
      </c>
      <c r="C341" t="s">
        <v>1357</v>
      </c>
      <c r="D341" s="3">
        <v>27133</v>
      </c>
      <c r="E341">
        <f t="shared" si="10"/>
        <v>1974</v>
      </c>
      <c r="F341">
        <f t="shared" ca="1" si="11"/>
        <v>52</v>
      </c>
      <c r="G341">
        <f>COUNTIF(BRON!A:A,'schades-leeftijd'!A341)</f>
        <v>1</v>
      </c>
    </row>
    <row r="342" spans="1:7" x14ac:dyDescent="0.25">
      <c r="A342">
        <v>36624</v>
      </c>
      <c r="B342" t="s">
        <v>1878</v>
      </c>
      <c r="C342" t="s">
        <v>1349</v>
      </c>
      <c r="D342" s="3">
        <v>24255</v>
      </c>
      <c r="E342">
        <f t="shared" si="10"/>
        <v>1966</v>
      </c>
      <c r="F342">
        <f t="shared" ca="1" si="11"/>
        <v>60</v>
      </c>
      <c r="G342">
        <f>COUNTIF(BRON!A:A,'schades-leeftijd'!A342)</f>
        <v>3</v>
      </c>
    </row>
    <row r="343" spans="1:7" x14ac:dyDescent="0.25">
      <c r="A343">
        <v>36625</v>
      </c>
      <c r="B343" t="s">
        <v>1879</v>
      </c>
      <c r="C343" t="s">
        <v>1880</v>
      </c>
      <c r="D343" s="3">
        <v>30329</v>
      </c>
      <c r="E343">
        <f t="shared" si="10"/>
        <v>1983</v>
      </c>
      <c r="F343">
        <f t="shared" ca="1" si="11"/>
        <v>43</v>
      </c>
      <c r="G343">
        <f>COUNTIF(BRON!A:A,'schades-leeftijd'!A343)</f>
        <v>0</v>
      </c>
    </row>
    <row r="344" spans="1:7" x14ac:dyDescent="0.25">
      <c r="A344">
        <v>36626</v>
      </c>
      <c r="B344" t="s">
        <v>1881</v>
      </c>
      <c r="C344" t="s">
        <v>1460</v>
      </c>
      <c r="D344" s="3">
        <v>35465</v>
      </c>
      <c r="E344">
        <f t="shared" si="10"/>
        <v>1997</v>
      </c>
      <c r="F344">
        <f t="shared" ca="1" si="11"/>
        <v>29</v>
      </c>
      <c r="G344">
        <f>COUNTIF(BRON!A:A,'schades-leeftijd'!A344)</f>
        <v>10</v>
      </c>
    </row>
    <row r="345" spans="1:7" x14ac:dyDescent="0.25">
      <c r="A345">
        <v>36627</v>
      </c>
      <c r="B345" t="s">
        <v>1882</v>
      </c>
      <c r="C345" t="s">
        <v>1353</v>
      </c>
      <c r="D345" s="3">
        <v>28213</v>
      </c>
      <c r="E345">
        <f t="shared" si="10"/>
        <v>1977</v>
      </c>
      <c r="F345">
        <f t="shared" ca="1" si="11"/>
        <v>49</v>
      </c>
      <c r="G345">
        <f>COUNTIF(BRON!A:A,'schades-leeftijd'!A345)</f>
        <v>5</v>
      </c>
    </row>
    <row r="346" spans="1:7" x14ac:dyDescent="0.25">
      <c r="A346">
        <v>36635</v>
      </c>
      <c r="B346" t="s">
        <v>1883</v>
      </c>
      <c r="C346" t="s">
        <v>1884</v>
      </c>
      <c r="D346" s="3">
        <v>34087</v>
      </c>
      <c r="E346">
        <f t="shared" si="10"/>
        <v>1993</v>
      </c>
      <c r="F346">
        <f t="shared" ca="1" si="11"/>
        <v>33</v>
      </c>
      <c r="G346">
        <f>COUNTIF(BRON!A:A,'schades-leeftijd'!A346)</f>
        <v>4</v>
      </c>
    </row>
    <row r="347" spans="1:7" x14ac:dyDescent="0.25">
      <c r="A347">
        <v>36663</v>
      </c>
      <c r="B347" t="s">
        <v>1885</v>
      </c>
      <c r="C347" t="s">
        <v>1886</v>
      </c>
      <c r="D347" s="3">
        <v>36031</v>
      </c>
      <c r="E347">
        <f t="shared" si="10"/>
        <v>1998</v>
      </c>
      <c r="F347">
        <f t="shared" ca="1" si="11"/>
        <v>28</v>
      </c>
      <c r="G347">
        <f>COUNTIF(BRON!A:A,'schades-leeftijd'!A347)</f>
        <v>3</v>
      </c>
    </row>
    <row r="348" spans="1:7" x14ac:dyDescent="0.25">
      <c r="A348">
        <v>36820</v>
      </c>
      <c r="B348" t="s">
        <v>1887</v>
      </c>
      <c r="C348" t="s">
        <v>1381</v>
      </c>
      <c r="D348" s="3">
        <v>22295</v>
      </c>
      <c r="E348">
        <f t="shared" si="10"/>
        <v>1961</v>
      </c>
      <c r="F348">
        <f t="shared" ca="1" si="11"/>
        <v>65</v>
      </c>
      <c r="G348">
        <f>COUNTIF(BRON!A:A,'schades-leeftijd'!A348)</f>
        <v>1</v>
      </c>
    </row>
    <row r="349" spans="1:7" x14ac:dyDescent="0.25">
      <c r="A349">
        <v>36838</v>
      </c>
      <c r="B349" t="s">
        <v>1888</v>
      </c>
      <c r="C349" t="s">
        <v>1889</v>
      </c>
      <c r="D349" s="3">
        <v>36488</v>
      </c>
      <c r="E349">
        <f t="shared" si="10"/>
        <v>1999</v>
      </c>
      <c r="F349">
        <f t="shared" ca="1" si="11"/>
        <v>27</v>
      </c>
      <c r="G349">
        <f>COUNTIF(BRON!A:A,'schades-leeftijd'!A349)</f>
        <v>0</v>
      </c>
    </row>
    <row r="350" spans="1:7" x14ac:dyDescent="0.25">
      <c r="A350">
        <v>36845</v>
      </c>
      <c r="B350" t="s">
        <v>1890</v>
      </c>
      <c r="C350" t="s">
        <v>1511</v>
      </c>
      <c r="D350" s="3">
        <v>21595</v>
      </c>
      <c r="E350">
        <f t="shared" si="10"/>
        <v>1959</v>
      </c>
      <c r="F350">
        <f t="shared" ca="1" si="11"/>
        <v>67</v>
      </c>
      <c r="G350">
        <f>COUNTIF(BRON!A:A,'schades-leeftijd'!A350)</f>
        <v>0</v>
      </c>
    </row>
    <row r="351" spans="1:7" x14ac:dyDescent="0.25">
      <c r="A351">
        <v>37131</v>
      </c>
      <c r="B351" t="s">
        <v>1891</v>
      </c>
      <c r="C351" t="s">
        <v>1892</v>
      </c>
      <c r="D351" s="3">
        <v>29117</v>
      </c>
      <c r="E351">
        <f t="shared" si="10"/>
        <v>1979</v>
      </c>
      <c r="F351">
        <f t="shared" ca="1" si="11"/>
        <v>47</v>
      </c>
      <c r="G351">
        <f>COUNTIF(BRON!A:A,'schades-leeftijd'!A351)</f>
        <v>2</v>
      </c>
    </row>
    <row r="352" spans="1:7" x14ac:dyDescent="0.25">
      <c r="A352">
        <v>37132</v>
      </c>
      <c r="B352" t="s">
        <v>1893</v>
      </c>
      <c r="C352" t="s">
        <v>1894</v>
      </c>
      <c r="D352" s="3">
        <v>34746</v>
      </c>
      <c r="E352">
        <f t="shared" si="10"/>
        <v>1995</v>
      </c>
      <c r="F352">
        <f t="shared" ca="1" si="11"/>
        <v>31</v>
      </c>
      <c r="G352">
        <f>COUNTIF(BRON!A:A,'schades-leeftijd'!A352)</f>
        <v>2</v>
      </c>
    </row>
    <row r="353" spans="1:7" x14ac:dyDescent="0.25">
      <c r="A353">
        <v>37179</v>
      </c>
      <c r="B353" t="s">
        <v>1895</v>
      </c>
      <c r="C353" t="s">
        <v>1896</v>
      </c>
      <c r="D353" s="3">
        <v>35029</v>
      </c>
      <c r="E353">
        <f t="shared" si="10"/>
        <v>1995</v>
      </c>
      <c r="F353">
        <f t="shared" ca="1" si="11"/>
        <v>31</v>
      </c>
      <c r="G353">
        <f>COUNTIF(BRON!A:A,'schades-leeftijd'!A353)</f>
        <v>2</v>
      </c>
    </row>
    <row r="354" spans="1:7" x14ac:dyDescent="0.25">
      <c r="A354">
        <v>37208</v>
      </c>
      <c r="B354" t="s">
        <v>1897</v>
      </c>
      <c r="C354" t="s">
        <v>1898</v>
      </c>
      <c r="D354" s="3">
        <v>33504</v>
      </c>
      <c r="E354">
        <f t="shared" si="10"/>
        <v>1991</v>
      </c>
      <c r="F354">
        <f t="shared" ca="1" si="11"/>
        <v>35</v>
      </c>
      <c r="G354">
        <f>COUNTIF(BRON!A:A,'schades-leeftijd'!A354)</f>
        <v>1</v>
      </c>
    </row>
    <row r="355" spans="1:7" x14ac:dyDescent="0.25">
      <c r="A355">
        <v>37216</v>
      </c>
      <c r="B355" t="s">
        <v>1899</v>
      </c>
      <c r="C355" t="s">
        <v>1900</v>
      </c>
      <c r="D355" s="3">
        <v>26618</v>
      </c>
      <c r="E355">
        <f t="shared" si="10"/>
        <v>1972</v>
      </c>
      <c r="F355">
        <f t="shared" ca="1" si="11"/>
        <v>54</v>
      </c>
      <c r="G355">
        <f>COUNTIF(BRON!A:A,'schades-leeftijd'!A355)</f>
        <v>1</v>
      </c>
    </row>
    <row r="356" spans="1:7" x14ac:dyDescent="0.25">
      <c r="A356">
        <v>37222</v>
      </c>
      <c r="B356" t="s">
        <v>1901</v>
      </c>
      <c r="C356" t="s">
        <v>1401</v>
      </c>
      <c r="D356" s="3">
        <v>32283</v>
      </c>
      <c r="E356">
        <f t="shared" si="10"/>
        <v>1988</v>
      </c>
      <c r="F356">
        <f t="shared" ca="1" si="11"/>
        <v>38</v>
      </c>
      <c r="G356">
        <f>COUNTIF(BRON!A:A,'schades-leeftijd'!A356)</f>
        <v>1</v>
      </c>
    </row>
    <row r="357" spans="1:7" x14ac:dyDescent="0.25">
      <c r="A357">
        <v>37226</v>
      </c>
      <c r="B357" t="s">
        <v>1902</v>
      </c>
      <c r="C357" t="s">
        <v>1903</v>
      </c>
      <c r="D357" s="3">
        <v>33397</v>
      </c>
      <c r="E357">
        <f t="shared" si="10"/>
        <v>1991</v>
      </c>
      <c r="F357">
        <f t="shared" ca="1" si="11"/>
        <v>35</v>
      </c>
      <c r="G357">
        <f>COUNTIF(BRON!A:A,'schades-leeftijd'!A357)</f>
        <v>0</v>
      </c>
    </row>
    <row r="358" spans="1:7" x14ac:dyDescent="0.25">
      <c r="A358">
        <v>37254</v>
      </c>
      <c r="B358" t="s">
        <v>1904</v>
      </c>
      <c r="C358" t="s">
        <v>1905</v>
      </c>
      <c r="D358" s="3">
        <v>36729</v>
      </c>
      <c r="E358">
        <f t="shared" si="10"/>
        <v>2000</v>
      </c>
      <c r="F358">
        <f t="shared" ca="1" si="11"/>
        <v>26</v>
      </c>
      <c r="G358">
        <f>COUNTIF(BRON!A:A,'schades-leeftijd'!A358)</f>
        <v>2</v>
      </c>
    </row>
    <row r="359" spans="1:7" x14ac:dyDescent="0.25">
      <c r="A359">
        <v>37261</v>
      </c>
      <c r="B359" t="s">
        <v>1906</v>
      </c>
      <c r="C359" t="s">
        <v>1907</v>
      </c>
      <c r="D359" s="3">
        <v>35872</v>
      </c>
      <c r="E359">
        <f t="shared" si="10"/>
        <v>1998</v>
      </c>
      <c r="F359">
        <f t="shared" ca="1" si="11"/>
        <v>28</v>
      </c>
      <c r="G359">
        <f>COUNTIF(BRON!A:A,'schades-leeftijd'!A359)</f>
        <v>4</v>
      </c>
    </row>
    <row r="360" spans="1:7" x14ac:dyDescent="0.25">
      <c r="A360">
        <v>37313</v>
      </c>
      <c r="B360" t="s">
        <v>1908</v>
      </c>
      <c r="C360" t="s">
        <v>1909</v>
      </c>
      <c r="D360" s="3">
        <v>27618</v>
      </c>
      <c r="E360">
        <f t="shared" si="10"/>
        <v>1975</v>
      </c>
      <c r="F360">
        <f t="shared" ca="1" si="11"/>
        <v>51</v>
      </c>
      <c r="G360">
        <f>COUNTIF(BRON!A:A,'schades-leeftijd'!A360)</f>
        <v>1</v>
      </c>
    </row>
    <row r="361" spans="1:7" x14ac:dyDescent="0.25">
      <c r="A361">
        <v>37345</v>
      </c>
      <c r="B361" t="s">
        <v>1910</v>
      </c>
      <c r="C361" t="s">
        <v>1911</v>
      </c>
      <c r="D361" s="3">
        <v>35891</v>
      </c>
      <c r="E361">
        <f t="shared" si="10"/>
        <v>1998</v>
      </c>
      <c r="F361">
        <f t="shared" ca="1" si="11"/>
        <v>28</v>
      </c>
      <c r="G361">
        <f>COUNTIF(BRON!A:A,'schades-leeftijd'!A361)</f>
        <v>3</v>
      </c>
    </row>
    <row r="362" spans="1:7" x14ac:dyDescent="0.25">
      <c r="A362">
        <v>37439</v>
      </c>
      <c r="B362" t="s">
        <v>1912</v>
      </c>
      <c r="C362" t="s">
        <v>1552</v>
      </c>
      <c r="D362" s="3">
        <v>35810</v>
      </c>
      <c r="E362">
        <f t="shared" si="10"/>
        <v>1998</v>
      </c>
      <c r="F362">
        <f t="shared" ca="1" si="11"/>
        <v>28</v>
      </c>
      <c r="G362">
        <f>COUNTIF(BRON!A:A,'schades-leeftijd'!A362)</f>
        <v>4</v>
      </c>
    </row>
    <row r="363" spans="1:7" x14ac:dyDescent="0.25">
      <c r="A363">
        <v>37496</v>
      </c>
      <c r="B363" t="s">
        <v>1362</v>
      </c>
      <c r="C363" t="s">
        <v>1913</v>
      </c>
      <c r="D363" s="3">
        <v>24877</v>
      </c>
      <c r="E363">
        <f t="shared" si="10"/>
        <v>1968</v>
      </c>
      <c r="F363">
        <f t="shared" ca="1" si="11"/>
        <v>58</v>
      </c>
      <c r="G363">
        <f>COUNTIF(BRON!A:A,'schades-leeftijd'!A363)</f>
        <v>4</v>
      </c>
    </row>
    <row r="364" spans="1:7" x14ac:dyDescent="0.25">
      <c r="A364">
        <v>37509</v>
      </c>
      <c r="B364" t="s">
        <v>1914</v>
      </c>
      <c r="C364" t="s">
        <v>1915</v>
      </c>
      <c r="D364" s="3">
        <v>32284</v>
      </c>
      <c r="E364">
        <f t="shared" si="10"/>
        <v>1988</v>
      </c>
      <c r="F364">
        <f t="shared" ca="1" si="11"/>
        <v>38</v>
      </c>
      <c r="G364">
        <f>COUNTIF(BRON!A:A,'schades-leeftijd'!A364)</f>
        <v>3</v>
      </c>
    </row>
    <row r="365" spans="1:7" x14ac:dyDescent="0.25">
      <c r="A365">
        <v>37542</v>
      </c>
      <c r="B365" t="s">
        <v>1916</v>
      </c>
      <c r="C365" t="s">
        <v>1917</v>
      </c>
      <c r="D365" s="3">
        <v>25000</v>
      </c>
      <c r="E365">
        <f t="shared" si="10"/>
        <v>1968</v>
      </c>
      <c r="F365">
        <f t="shared" ca="1" si="11"/>
        <v>58</v>
      </c>
      <c r="G365">
        <f>COUNTIF(BRON!A:A,'schades-leeftijd'!A365)</f>
        <v>5</v>
      </c>
    </row>
    <row r="366" spans="1:7" x14ac:dyDescent="0.25">
      <c r="A366">
        <v>37543</v>
      </c>
      <c r="B366" t="s">
        <v>1918</v>
      </c>
      <c r="C366" t="s">
        <v>1919</v>
      </c>
      <c r="D366" s="3">
        <v>25212</v>
      </c>
      <c r="E366">
        <f t="shared" si="10"/>
        <v>1969</v>
      </c>
      <c r="F366">
        <f t="shared" ca="1" si="11"/>
        <v>57</v>
      </c>
      <c r="G366">
        <f>COUNTIF(BRON!A:A,'schades-leeftijd'!A366)</f>
        <v>6</v>
      </c>
    </row>
    <row r="367" spans="1:7" x14ac:dyDescent="0.25">
      <c r="A367">
        <v>37564</v>
      </c>
      <c r="B367" t="s">
        <v>1920</v>
      </c>
      <c r="C367" t="s">
        <v>1921</v>
      </c>
      <c r="D367" s="3">
        <v>37200</v>
      </c>
      <c r="E367">
        <f t="shared" si="10"/>
        <v>2001</v>
      </c>
      <c r="F367">
        <f t="shared" ca="1" si="11"/>
        <v>25</v>
      </c>
      <c r="G367">
        <f>COUNTIF(BRON!A:A,'schades-leeftijd'!A367)</f>
        <v>1</v>
      </c>
    </row>
    <row r="368" spans="1:7" x14ac:dyDescent="0.25">
      <c r="A368">
        <v>37600</v>
      </c>
      <c r="B368" t="s">
        <v>1827</v>
      </c>
      <c r="C368" t="s">
        <v>1345</v>
      </c>
      <c r="D368" s="3">
        <v>29705</v>
      </c>
      <c r="E368">
        <f t="shared" si="10"/>
        <v>1981</v>
      </c>
      <c r="F368">
        <f t="shared" ca="1" si="11"/>
        <v>45</v>
      </c>
      <c r="G368">
        <f>COUNTIF(BRON!A:A,'schades-leeftijd'!A368)</f>
        <v>0</v>
      </c>
    </row>
    <row r="369" spans="1:7" x14ac:dyDescent="0.25">
      <c r="A369">
        <v>37609</v>
      </c>
      <c r="B369" t="s">
        <v>1922</v>
      </c>
      <c r="C369" t="s">
        <v>1706</v>
      </c>
      <c r="D369" s="3">
        <v>34406</v>
      </c>
      <c r="E369">
        <f t="shared" si="10"/>
        <v>1994</v>
      </c>
      <c r="F369">
        <f t="shared" ca="1" si="11"/>
        <v>32</v>
      </c>
      <c r="G369">
        <f>COUNTIF(BRON!A:A,'schades-leeftijd'!A369)</f>
        <v>2</v>
      </c>
    </row>
    <row r="370" spans="1:7" x14ac:dyDescent="0.25">
      <c r="A370">
        <v>37662</v>
      </c>
      <c r="B370" t="s">
        <v>1923</v>
      </c>
      <c r="C370" t="s">
        <v>1600</v>
      </c>
      <c r="D370" s="3">
        <v>31215</v>
      </c>
      <c r="E370">
        <f t="shared" si="10"/>
        <v>1985</v>
      </c>
      <c r="F370">
        <f t="shared" ca="1" si="11"/>
        <v>41</v>
      </c>
      <c r="G370">
        <f>COUNTIF(BRON!A:A,'schades-leeftijd'!A370)</f>
        <v>9</v>
      </c>
    </row>
    <row r="371" spans="1:7" x14ac:dyDescent="0.25">
      <c r="A371">
        <v>37683</v>
      </c>
      <c r="B371" t="s">
        <v>1531</v>
      </c>
      <c r="C371" t="s">
        <v>1924</v>
      </c>
      <c r="D371" s="3">
        <v>35863</v>
      </c>
      <c r="E371">
        <f t="shared" si="10"/>
        <v>1998</v>
      </c>
      <c r="F371">
        <f t="shared" ca="1" si="11"/>
        <v>28</v>
      </c>
      <c r="G371">
        <f>COUNTIF(BRON!A:A,'schades-leeftijd'!A371)</f>
        <v>1</v>
      </c>
    </row>
    <row r="372" spans="1:7" x14ac:dyDescent="0.25">
      <c r="A372">
        <v>37744</v>
      </c>
      <c r="B372" t="s">
        <v>1868</v>
      </c>
      <c r="C372" t="s">
        <v>1397</v>
      </c>
      <c r="D372" s="3">
        <v>24576</v>
      </c>
      <c r="E372">
        <f t="shared" si="10"/>
        <v>1967</v>
      </c>
      <c r="F372">
        <f t="shared" ca="1" si="11"/>
        <v>59</v>
      </c>
      <c r="G372">
        <f>COUNTIF(BRON!A:A,'schades-leeftijd'!A372)</f>
        <v>1</v>
      </c>
    </row>
    <row r="373" spans="1:7" x14ac:dyDescent="0.25">
      <c r="A373">
        <v>37794</v>
      </c>
      <c r="B373" t="s">
        <v>1925</v>
      </c>
      <c r="C373" t="s">
        <v>1926</v>
      </c>
      <c r="D373" s="3">
        <v>33202</v>
      </c>
      <c r="E373">
        <f t="shared" si="10"/>
        <v>1990</v>
      </c>
      <c r="F373">
        <f t="shared" ca="1" si="11"/>
        <v>36</v>
      </c>
      <c r="G373">
        <f>COUNTIF(BRON!A:A,'schades-leeftijd'!A373)</f>
        <v>1</v>
      </c>
    </row>
    <row r="374" spans="1:7" x14ac:dyDescent="0.25">
      <c r="A374">
        <v>37808</v>
      </c>
      <c r="B374" t="s">
        <v>1573</v>
      </c>
      <c r="C374" t="s">
        <v>1552</v>
      </c>
      <c r="D374" s="3">
        <v>29946</v>
      </c>
      <c r="E374">
        <f t="shared" si="10"/>
        <v>1981</v>
      </c>
      <c r="F374">
        <f t="shared" ca="1" si="11"/>
        <v>45</v>
      </c>
      <c r="G374">
        <f>COUNTIF(BRON!A:A,'schades-leeftijd'!A374)</f>
        <v>1</v>
      </c>
    </row>
    <row r="375" spans="1:7" x14ac:dyDescent="0.25">
      <c r="A375">
        <v>37809</v>
      </c>
      <c r="B375" t="s">
        <v>1927</v>
      </c>
      <c r="C375" t="s">
        <v>1749</v>
      </c>
      <c r="D375" s="3">
        <v>30433</v>
      </c>
      <c r="E375">
        <f t="shared" si="10"/>
        <v>1983</v>
      </c>
      <c r="F375">
        <f t="shared" ca="1" si="11"/>
        <v>43</v>
      </c>
      <c r="G375">
        <f>COUNTIF(BRON!A:A,'schades-leeftijd'!A375)</f>
        <v>3</v>
      </c>
    </row>
    <row r="376" spans="1:7" x14ac:dyDescent="0.25">
      <c r="A376">
        <v>37907</v>
      </c>
      <c r="B376" t="s">
        <v>1928</v>
      </c>
      <c r="C376" t="s">
        <v>1929</v>
      </c>
      <c r="D376" s="3">
        <v>36493</v>
      </c>
      <c r="E376">
        <f t="shared" si="10"/>
        <v>1999</v>
      </c>
      <c r="F376">
        <f t="shared" ca="1" si="11"/>
        <v>27</v>
      </c>
      <c r="G376">
        <f>COUNTIF(BRON!A:A,'schades-leeftijd'!A376)</f>
        <v>0</v>
      </c>
    </row>
    <row r="377" spans="1:7" x14ac:dyDescent="0.25">
      <c r="A377">
        <v>37908</v>
      </c>
      <c r="B377" t="s">
        <v>1394</v>
      </c>
      <c r="C377" t="s">
        <v>1930</v>
      </c>
      <c r="D377" s="3">
        <v>33185</v>
      </c>
      <c r="E377">
        <f t="shared" si="10"/>
        <v>1990</v>
      </c>
      <c r="F377">
        <f t="shared" ca="1" si="11"/>
        <v>36</v>
      </c>
      <c r="G377">
        <f>COUNTIF(BRON!A:A,'schades-leeftijd'!A377)</f>
        <v>1</v>
      </c>
    </row>
    <row r="378" spans="1:7" x14ac:dyDescent="0.25">
      <c r="A378">
        <v>37936</v>
      </c>
      <c r="B378" t="s">
        <v>1931</v>
      </c>
      <c r="C378" t="s">
        <v>1932</v>
      </c>
      <c r="D378" s="3">
        <v>34889</v>
      </c>
      <c r="E378">
        <f t="shared" si="10"/>
        <v>1995</v>
      </c>
      <c r="F378">
        <f t="shared" ca="1" si="11"/>
        <v>31</v>
      </c>
      <c r="G378">
        <f>COUNTIF(BRON!A:A,'schades-leeftijd'!A378)</f>
        <v>2</v>
      </c>
    </row>
    <row r="379" spans="1:7" x14ac:dyDescent="0.25">
      <c r="A379">
        <v>37950</v>
      </c>
      <c r="B379" t="s">
        <v>1933</v>
      </c>
      <c r="C379" t="s">
        <v>1591</v>
      </c>
      <c r="D379" s="3">
        <v>26858</v>
      </c>
      <c r="E379">
        <f t="shared" si="10"/>
        <v>1973</v>
      </c>
      <c r="F379">
        <f t="shared" ca="1" si="11"/>
        <v>53</v>
      </c>
      <c r="G379">
        <f>COUNTIF(BRON!A:A,'schades-leeftijd'!A379)</f>
        <v>3</v>
      </c>
    </row>
    <row r="380" spans="1:7" x14ac:dyDescent="0.25">
      <c r="A380">
        <v>37951</v>
      </c>
      <c r="B380" t="s">
        <v>1934</v>
      </c>
      <c r="C380" t="s">
        <v>1935</v>
      </c>
      <c r="D380" s="3">
        <v>27961</v>
      </c>
      <c r="E380">
        <f t="shared" si="10"/>
        <v>1976</v>
      </c>
      <c r="F380">
        <f t="shared" ca="1" si="11"/>
        <v>50</v>
      </c>
      <c r="G380">
        <f>COUNTIF(BRON!A:A,'schades-leeftijd'!A380)</f>
        <v>1</v>
      </c>
    </row>
    <row r="381" spans="1:7" x14ac:dyDescent="0.25">
      <c r="A381">
        <v>37999</v>
      </c>
      <c r="B381" t="s">
        <v>1936</v>
      </c>
      <c r="C381" t="s">
        <v>1937</v>
      </c>
      <c r="D381" s="3">
        <v>22487</v>
      </c>
      <c r="E381">
        <f t="shared" si="10"/>
        <v>1961</v>
      </c>
      <c r="F381">
        <f t="shared" ca="1" si="11"/>
        <v>65</v>
      </c>
      <c r="G381">
        <f>COUNTIF(BRON!A:A,'schades-leeftijd'!A381)</f>
        <v>0</v>
      </c>
    </row>
    <row r="382" spans="1:7" x14ac:dyDescent="0.25">
      <c r="A382">
        <v>38013</v>
      </c>
      <c r="B382" t="s">
        <v>1938</v>
      </c>
      <c r="C382" t="s">
        <v>1585</v>
      </c>
      <c r="D382" s="3">
        <v>32771</v>
      </c>
      <c r="E382">
        <f t="shared" si="10"/>
        <v>1989</v>
      </c>
      <c r="F382">
        <f t="shared" ca="1" si="11"/>
        <v>37</v>
      </c>
      <c r="G382">
        <f>COUNTIF(BRON!A:A,'schades-leeftijd'!A382)</f>
        <v>2</v>
      </c>
    </row>
    <row r="383" spans="1:7" x14ac:dyDescent="0.25">
      <c r="A383">
        <v>38035</v>
      </c>
      <c r="B383" t="s">
        <v>1582</v>
      </c>
      <c r="C383" t="s">
        <v>1939</v>
      </c>
      <c r="D383" s="3">
        <v>36352</v>
      </c>
      <c r="E383">
        <f t="shared" si="10"/>
        <v>1999</v>
      </c>
      <c r="F383">
        <f t="shared" ca="1" si="11"/>
        <v>27</v>
      </c>
      <c r="G383">
        <f>COUNTIF(BRON!A:A,'schades-leeftijd'!A383)</f>
        <v>1</v>
      </c>
    </row>
    <row r="384" spans="1:7" x14ac:dyDescent="0.25">
      <c r="A384">
        <v>38047</v>
      </c>
      <c r="B384" t="s">
        <v>1940</v>
      </c>
      <c r="C384" t="s">
        <v>1941</v>
      </c>
      <c r="D384" s="3">
        <v>27600</v>
      </c>
      <c r="E384">
        <f t="shared" si="10"/>
        <v>1975</v>
      </c>
      <c r="F384">
        <f t="shared" ca="1" si="11"/>
        <v>51</v>
      </c>
      <c r="G384">
        <f>COUNTIF(BRON!A:A,'schades-leeftijd'!A384)</f>
        <v>0</v>
      </c>
    </row>
    <row r="385" spans="1:7" x14ac:dyDescent="0.25">
      <c r="A385">
        <v>38205</v>
      </c>
      <c r="B385" t="s">
        <v>1942</v>
      </c>
      <c r="C385" t="s">
        <v>1943</v>
      </c>
      <c r="D385" s="3">
        <v>26731</v>
      </c>
      <c r="E385">
        <f t="shared" si="10"/>
        <v>1973</v>
      </c>
      <c r="F385">
        <f t="shared" ca="1" si="11"/>
        <v>53</v>
      </c>
      <c r="G385">
        <f>COUNTIF(BRON!A:A,'schades-leeftijd'!A385)</f>
        <v>0</v>
      </c>
    </row>
    <row r="386" spans="1:7" x14ac:dyDescent="0.25">
      <c r="A386">
        <v>38475</v>
      </c>
      <c r="B386" t="s">
        <v>1767</v>
      </c>
      <c r="C386" t="s">
        <v>1391</v>
      </c>
      <c r="D386" s="3">
        <v>27197</v>
      </c>
      <c r="E386">
        <f t="shared" si="10"/>
        <v>1974</v>
      </c>
      <c r="F386">
        <f t="shared" ca="1" si="11"/>
        <v>52</v>
      </c>
      <c r="G386">
        <f>COUNTIF(BRON!A:A,'schades-leeftijd'!A386)</f>
        <v>4</v>
      </c>
    </row>
    <row r="387" spans="1:7" x14ac:dyDescent="0.25">
      <c r="A387">
        <v>38481</v>
      </c>
      <c r="B387" t="s">
        <v>1508</v>
      </c>
      <c r="C387" t="s">
        <v>1944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26</v>
      </c>
      <c r="G387">
        <f>COUNTIF(BRON!A:A,'schades-leeftijd'!A387)</f>
        <v>4</v>
      </c>
    </row>
    <row r="388" spans="1:7" x14ac:dyDescent="0.25">
      <c r="A388">
        <v>38529</v>
      </c>
      <c r="B388" t="s">
        <v>1945</v>
      </c>
      <c r="C388" t="s">
        <v>1363</v>
      </c>
      <c r="D388" s="3">
        <v>30245</v>
      </c>
      <c r="E388">
        <f t="shared" si="12"/>
        <v>1982</v>
      </c>
      <c r="F388">
        <f t="shared" ca="1" si="13"/>
        <v>44</v>
      </c>
      <c r="G388">
        <f>COUNTIF(BRON!A:A,'schades-leeftijd'!A388)</f>
        <v>5</v>
      </c>
    </row>
    <row r="389" spans="1:7" x14ac:dyDescent="0.25">
      <c r="A389">
        <v>38550</v>
      </c>
      <c r="B389" t="s">
        <v>1946</v>
      </c>
      <c r="C389" t="s">
        <v>1947</v>
      </c>
      <c r="D389" s="3">
        <v>29647</v>
      </c>
      <c r="E389">
        <f t="shared" si="12"/>
        <v>1981</v>
      </c>
      <c r="F389">
        <f t="shared" ca="1" si="13"/>
        <v>45</v>
      </c>
      <c r="G389">
        <f>COUNTIF(BRON!A:A,'schades-leeftijd'!A389)</f>
        <v>0</v>
      </c>
    </row>
    <row r="390" spans="1:7" x14ac:dyDescent="0.25">
      <c r="A390">
        <v>38551</v>
      </c>
      <c r="B390" t="s">
        <v>1948</v>
      </c>
      <c r="C390" t="s">
        <v>1949</v>
      </c>
      <c r="D390" s="3">
        <v>29593</v>
      </c>
      <c r="E390">
        <f t="shared" si="12"/>
        <v>1981</v>
      </c>
      <c r="F390">
        <f t="shared" ca="1" si="13"/>
        <v>45</v>
      </c>
      <c r="G390">
        <f>COUNTIF(BRON!A:A,'schades-leeftijd'!A390)</f>
        <v>1</v>
      </c>
    </row>
    <row r="391" spans="1:7" x14ac:dyDescent="0.25">
      <c r="A391">
        <v>38555</v>
      </c>
      <c r="B391" t="s">
        <v>1950</v>
      </c>
      <c r="C391" t="s">
        <v>1951</v>
      </c>
      <c r="D391" s="3">
        <v>31437</v>
      </c>
      <c r="E391">
        <f t="shared" si="12"/>
        <v>1986</v>
      </c>
      <c r="F391">
        <f t="shared" ca="1" si="13"/>
        <v>40</v>
      </c>
      <c r="G391">
        <f>COUNTIF(BRON!A:A,'schades-leeftijd'!A391)</f>
        <v>1</v>
      </c>
    </row>
    <row r="392" spans="1:7" x14ac:dyDescent="0.25">
      <c r="A392">
        <v>38579</v>
      </c>
      <c r="B392" t="s">
        <v>1946</v>
      </c>
      <c r="C392" t="s">
        <v>1841</v>
      </c>
      <c r="D392" s="3">
        <v>25028</v>
      </c>
      <c r="E392">
        <f t="shared" si="12"/>
        <v>1968</v>
      </c>
      <c r="F392">
        <f t="shared" ca="1" si="13"/>
        <v>58</v>
      </c>
      <c r="G392">
        <f>COUNTIF(BRON!A:A,'schades-leeftijd'!A392)</f>
        <v>1</v>
      </c>
    </row>
    <row r="393" spans="1:7" x14ac:dyDescent="0.25">
      <c r="A393">
        <v>38580</v>
      </c>
      <c r="B393" t="s">
        <v>1952</v>
      </c>
      <c r="C393" t="s">
        <v>1953</v>
      </c>
      <c r="D393" s="3">
        <v>36424</v>
      </c>
      <c r="E393">
        <f t="shared" si="12"/>
        <v>1999</v>
      </c>
      <c r="F393">
        <f t="shared" ca="1" si="13"/>
        <v>27</v>
      </c>
      <c r="G393">
        <f>COUNTIF(BRON!A:A,'schades-leeftijd'!A393)</f>
        <v>2</v>
      </c>
    </row>
    <row r="394" spans="1:7" x14ac:dyDescent="0.25">
      <c r="A394">
        <v>38633</v>
      </c>
      <c r="B394" t="s">
        <v>1954</v>
      </c>
      <c r="C394" t="s">
        <v>1955</v>
      </c>
      <c r="D394" s="3">
        <v>32105</v>
      </c>
      <c r="E394">
        <f t="shared" si="12"/>
        <v>1987</v>
      </c>
      <c r="F394">
        <f t="shared" ca="1" si="13"/>
        <v>39</v>
      </c>
      <c r="G394">
        <f>COUNTIF(BRON!A:A,'schades-leeftijd'!A394)</f>
        <v>4</v>
      </c>
    </row>
    <row r="395" spans="1:7" x14ac:dyDescent="0.25">
      <c r="A395">
        <v>38634</v>
      </c>
      <c r="B395" t="s">
        <v>1956</v>
      </c>
      <c r="C395" t="s">
        <v>1957</v>
      </c>
      <c r="D395" s="3">
        <v>28536</v>
      </c>
      <c r="E395">
        <f t="shared" si="12"/>
        <v>1978</v>
      </c>
      <c r="F395">
        <f t="shared" ca="1" si="13"/>
        <v>48</v>
      </c>
      <c r="G395">
        <f>COUNTIF(BRON!A:A,'schades-leeftijd'!A395)</f>
        <v>3</v>
      </c>
    </row>
    <row r="396" spans="1:7" x14ac:dyDescent="0.25">
      <c r="A396">
        <v>38648</v>
      </c>
      <c r="B396" t="s">
        <v>1958</v>
      </c>
      <c r="C396" t="s">
        <v>1959</v>
      </c>
      <c r="D396" s="3">
        <v>34795</v>
      </c>
      <c r="E396">
        <f t="shared" si="12"/>
        <v>1995</v>
      </c>
      <c r="F396">
        <f t="shared" ca="1" si="13"/>
        <v>31</v>
      </c>
      <c r="G396">
        <f>COUNTIF(BRON!A:A,'schades-leeftijd'!A396)</f>
        <v>4</v>
      </c>
    </row>
    <row r="397" spans="1:7" x14ac:dyDescent="0.25">
      <c r="A397">
        <v>38688</v>
      </c>
      <c r="B397" t="s">
        <v>1960</v>
      </c>
      <c r="C397" t="s">
        <v>1961</v>
      </c>
      <c r="D397" s="3">
        <v>34749</v>
      </c>
      <c r="E397">
        <f t="shared" si="12"/>
        <v>1995</v>
      </c>
      <c r="F397">
        <f t="shared" ca="1" si="13"/>
        <v>31</v>
      </c>
      <c r="G397">
        <f>COUNTIF(BRON!A:A,'schades-leeftijd'!A397)</f>
        <v>3</v>
      </c>
    </row>
    <row r="398" spans="1:7" x14ac:dyDescent="0.25">
      <c r="A398">
        <v>38691</v>
      </c>
      <c r="B398" t="s">
        <v>1962</v>
      </c>
      <c r="C398" t="s">
        <v>1963</v>
      </c>
      <c r="D398" s="3">
        <v>37281</v>
      </c>
      <c r="E398">
        <f t="shared" si="12"/>
        <v>2002</v>
      </c>
      <c r="F398">
        <f t="shared" ca="1" si="13"/>
        <v>24</v>
      </c>
      <c r="G398">
        <f>COUNTIF(BRON!A:A,'schades-leeftijd'!A398)</f>
        <v>0</v>
      </c>
    </row>
    <row r="399" spans="1:7" x14ac:dyDescent="0.25">
      <c r="A399">
        <v>38731</v>
      </c>
      <c r="B399" t="s">
        <v>1964</v>
      </c>
      <c r="C399" t="s">
        <v>1965</v>
      </c>
      <c r="D399" s="3">
        <v>23866</v>
      </c>
      <c r="E399">
        <f t="shared" si="12"/>
        <v>1965</v>
      </c>
      <c r="F399">
        <f t="shared" ca="1" si="13"/>
        <v>61</v>
      </c>
      <c r="G399">
        <f>COUNTIF(BRON!A:A,'schades-leeftijd'!A399)</f>
        <v>1</v>
      </c>
    </row>
    <row r="400" spans="1:7" x14ac:dyDescent="0.25">
      <c r="A400">
        <v>38740</v>
      </c>
      <c r="B400" t="s">
        <v>1966</v>
      </c>
      <c r="C400" t="s">
        <v>1967</v>
      </c>
      <c r="D400" s="3">
        <v>33360</v>
      </c>
      <c r="E400">
        <f t="shared" si="12"/>
        <v>1991</v>
      </c>
      <c r="F400">
        <f t="shared" ca="1" si="13"/>
        <v>35</v>
      </c>
      <c r="G400">
        <f>COUNTIF(BRON!A:A,'schades-leeftijd'!A400)</f>
        <v>3</v>
      </c>
    </row>
    <row r="401" spans="1:7" x14ac:dyDescent="0.25">
      <c r="A401">
        <v>38807</v>
      </c>
      <c r="B401" t="s">
        <v>1968</v>
      </c>
      <c r="C401" t="s">
        <v>1969</v>
      </c>
      <c r="D401" s="3">
        <v>24130</v>
      </c>
      <c r="E401">
        <f t="shared" si="12"/>
        <v>1966</v>
      </c>
      <c r="F401">
        <f t="shared" ca="1" si="13"/>
        <v>60</v>
      </c>
      <c r="G401">
        <f>COUNTIF(BRON!A:A,'schades-leeftijd'!A401)</f>
        <v>5</v>
      </c>
    </row>
    <row r="402" spans="1:7" x14ac:dyDescent="0.25">
      <c r="A402">
        <v>38808</v>
      </c>
      <c r="B402" t="s">
        <v>1970</v>
      </c>
      <c r="C402" t="s">
        <v>1971</v>
      </c>
      <c r="D402" s="3">
        <v>30718</v>
      </c>
      <c r="E402">
        <f t="shared" si="12"/>
        <v>1984</v>
      </c>
      <c r="F402">
        <f t="shared" ca="1" si="13"/>
        <v>42</v>
      </c>
      <c r="G402">
        <f>COUNTIF(BRON!A:A,'schades-leeftijd'!A402)</f>
        <v>5</v>
      </c>
    </row>
    <row r="403" spans="1:7" x14ac:dyDescent="0.25">
      <c r="A403">
        <v>38931</v>
      </c>
      <c r="B403" t="s">
        <v>1972</v>
      </c>
      <c r="C403" t="s">
        <v>1973</v>
      </c>
      <c r="D403" s="3">
        <v>36438</v>
      </c>
      <c r="E403">
        <f t="shared" si="12"/>
        <v>1999</v>
      </c>
      <c r="F403">
        <f t="shared" ca="1" si="13"/>
        <v>27</v>
      </c>
      <c r="G403">
        <f>COUNTIF(BRON!A:A,'schades-leeftijd'!A403)</f>
        <v>4</v>
      </c>
    </row>
    <row r="404" spans="1:7" x14ac:dyDescent="0.25">
      <c r="A404">
        <v>38938</v>
      </c>
      <c r="B404" t="s">
        <v>1974</v>
      </c>
      <c r="C404" t="s">
        <v>1975</v>
      </c>
      <c r="D404" s="3">
        <v>33351</v>
      </c>
      <c r="E404">
        <f t="shared" si="12"/>
        <v>1991</v>
      </c>
      <c r="F404">
        <f t="shared" ca="1" si="13"/>
        <v>35</v>
      </c>
      <c r="G404">
        <f>COUNTIF(BRON!A:A,'schades-leeftijd'!A404)</f>
        <v>7</v>
      </c>
    </row>
    <row r="405" spans="1:7" x14ac:dyDescent="0.25">
      <c r="A405">
        <v>39013</v>
      </c>
      <c r="B405" t="s">
        <v>1976</v>
      </c>
      <c r="C405" t="s">
        <v>1977</v>
      </c>
      <c r="D405" s="3">
        <v>27937</v>
      </c>
      <c r="E405">
        <f t="shared" si="12"/>
        <v>1976</v>
      </c>
      <c r="F405">
        <f t="shared" ca="1" si="13"/>
        <v>50</v>
      </c>
      <c r="G405">
        <f>COUNTIF(BRON!A:A,'schades-leeftijd'!A405)</f>
        <v>3</v>
      </c>
    </row>
    <row r="406" spans="1:7" x14ac:dyDescent="0.25">
      <c r="A406">
        <v>39014</v>
      </c>
      <c r="B406" t="s">
        <v>1978</v>
      </c>
      <c r="C406" t="s">
        <v>1979</v>
      </c>
      <c r="D406" s="3">
        <v>36757</v>
      </c>
      <c r="E406">
        <f t="shared" si="12"/>
        <v>2000</v>
      </c>
      <c r="F406">
        <f t="shared" ca="1" si="13"/>
        <v>26</v>
      </c>
      <c r="G406">
        <f>COUNTIF(BRON!A:A,'schades-leeftijd'!A406)</f>
        <v>3</v>
      </c>
    </row>
    <row r="407" spans="1:7" x14ac:dyDescent="0.25">
      <c r="A407">
        <v>39019</v>
      </c>
      <c r="B407" t="s">
        <v>1980</v>
      </c>
      <c r="C407" t="s">
        <v>1981</v>
      </c>
      <c r="D407" s="3">
        <v>30913</v>
      </c>
      <c r="E407">
        <f t="shared" si="12"/>
        <v>1984</v>
      </c>
      <c r="F407">
        <f t="shared" ca="1" si="13"/>
        <v>42</v>
      </c>
      <c r="G407">
        <f>COUNTIF(BRON!A:A,'schades-leeftijd'!A407)</f>
        <v>2</v>
      </c>
    </row>
    <row r="408" spans="1:7" x14ac:dyDescent="0.25">
      <c r="A408">
        <v>39101</v>
      </c>
      <c r="B408" t="s">
        <v>1982</v>
      </c>
      <c r="C408" t="s">
        <v>1552</v>
      </c>
      <c r="D408" s="3">
        <v>29763</v>
      </c>
      <c r="E408">
        <f t="shared" si="12"/>
        <v>1981</v>
      </c>
      <c r="F408">
        <f t="shared" ca="1" si="13"/>
        <v>45</v>
      </c>
      <c r="G408">
        <f>COUNTIF(BRON!A:A,'schades-leeftijd'!A408)</f>
        <v>0</v>
      </c>
    </row>
    <row r="409" spans="1:7" x14ac:dyDescent="0.25">
      <c r="A409">
        <v>39106</v>
      </c>
      <c r="B409" t="s">
        <v>1983</v>
      </c>
      <c r="C409" t="s">
        <v>1470</v>
      </c>
      <c r="D409" s="3">
        <v>36995</v>
      </c>
      <c r="E409">
        <f t="shared" si="12"/>
        <v>2001</v>
      </c>
      <c r="F409">
        <f t="shared" ca="1" si="13"/>
        <v>25</v>
      </c>
      <c r="G409">
        <f>COUNTIF(BRON!A:A,'schades-leeftijd'!A409)</f>
        <v>1</v>
      </c>
    </row>
    <row r="410" spans="1:7" x14ac:dyDescent="0.25">
      <c r="A410">
        <v>39145</v>
      </c>
      <c r="B410" t="s">
        <v>1984</v>
      </c>
      <c r="C410" t="s">
        <v>1985</v>
      </c>
      <c r="D410" s="3">
        <v>27446</v>
      </c>
      <c r="E410">
        <f t="shared" si="12"/>
        <v>1975</v>
      </c>
      <c r="F410">
        <f t="shared" ca="1" si="13"/>
        <v>51</v>
      </c>
      <c r="G410">
        <f>COUNTIF(BRON!A:A,'schades-leeftijd'!A410)</f>
        <v>1</v>
      </c>
    </row>
    <row r="411" spans="1:7" x14ac:dyDescent="0.25">
      <c r="A411">
        <v>39146</v>
      </c>
      <c r="B411" t="s">
        <v>1986</v>
      </c>
      <c r="C411" t="s">
        <v>1518</v>
      </c>
      <c r="D411" s="3">
        <v>28674</v>
      </c>
      <c r="E411">
        <f t="shared" si="12"/>
        <v>1978</v>
      </c>
      <c r="F411">
        <f t="shared" ca="1" si="13"/>
        <v>48</v>
      </c>
      <c r="G411">
        <f>COUNTIF(BRON!A:A,'schades-leeftijd'!A411)</f>
        <v>3</v>
      </c>
    </row>
    <row r="412" spans="1:7" x14ac:dyDescent="0.25">
      <c r="A412">
        <v>39183</v>
      </c>
      <c r="B412" t="s">
        <v>1987</v>
      </c>
      <c r="C412" t="s">
        <v>1988</v>
      </c>
      <c r="D412" s="3">
        <v>32148</v>
      </c>
      <c r="E412">
        <f t="shared" si="12"/>
        <v>1988</v>
      </c>
      <c r="F412">
        <f t="shared" ca="1" si="13"/>
        <v>38</v>
      </c>
      <c r="G412">
        <f>COUNTIF(BRON!A:A,'schades-leeftijd'!A412)</f>
        <v>5</v>
      </c>
    </row>
    <row r="413" spans="1:7" x14ac:dyDescent="0.25">
      <c r="A413">
        <v>39184</v>
      </c>
      <c r="B413" t="s">
        <v>1989</v>
      </c>
      <c r="C413" t="s">
        <v>1517</v>
      </c>
      <c r="D413" s="3">
        <v>33938</v>
      </c>
      <c r="E413">
        <f t="shared" si="12"/>
        <v>1992</v>
      </c>
      <c r="F413">
        <f t="shared" ca="1" si="13"/>
        <v>34</v>
      </c>
      <c r="G413">
        <f>COUNTIF(BRON!A:A,'schades-leeftijd'!A413)</f>
        <v>3</v>
      </c>
    </row>
    <row r="414" spans="1:7" x14ac:dyDescent="0.25">
      <c r="A414">
        <v>39251</v>
      </c>
      <c r="B414" t="s">
        <v>1990</v>
      </c>
      <c r="C414" t="s">
        <v>1572</v>
      </c>
      <c r="D414" s="3">
        <v>36822</v>
      </c>
      <c r="E414">
        <f t="shared" si="12"/>
        <v>2000</v>
      </c>
      <c r="F414">
        <f t="shared" ca="1" si="13"/>
        <v>26</v>
      </c>
      <c r="G414">
        <f>COUNTIF(BRON!A:A,'schades-leeftijd'!A414)</f>
        <v>0</v>
      </c>
    </row>
    <row r="415" spans="1:7" x14ac:dyDescent="0.25">
      <c r="A415">
        <v>3926</v>
      </c>
      <c r="B415" t="s">
        <v>1456</v>
      </c>
      <c r="C415" t="s">
        <v>1511</v>
      </c>
      <c r="D415" s="3">
        <v>21648</v>
      </c>
      <c r="E415">
        <f t="shared" si="12"/>
        <v>1959</v>
      </c>
      <c r="F415">
        <f t="shared" ca="1" si="13"/>
        <v>67</v>
      </c>
      <c r="G415">
        <f>COUNTIF(BRON!A:A,'schades-leeftijd'!A415)</f>
        <v>0</v>
      </c>
    </row>
    <row r="416" spans="1:7" x14ac:dyDescent="0.25">
      <c r="A416">
        <v>39267</v>
      </c>
      <c r="B416" t="s">
        <v>1991</v>
      </c>
      <c r="C416" t="s">
        <v>1971</v>
      </c>
      <c r="D416" s="3">
        <v>36104</v>
      </c>
      <c r="E416">
        <f t="shared" si="12"/>
        <v>1998</v>
      </c>
      <c r="F416">
        <f t="shared" ca="1" si="13"/>
        <v>28</v>
      </c>
      <c r="G416">
        <f>COUNTIF(BRON!A:A,'schades-leeftijd'!A416)</f>
        <v>1</v>
      </c>
    </row>
    <row r="417" spans="1:7" x14ac:dyDescent="0.25">
      <c r="A417">
        <v>39358</v>
      </c>
      <c r="B417" t="s">
        <v>1992</v>
      </c>
      <c r="C417" t="s">
        <v>1993</v>
      </c>
      <c r="D417" s="3">
        <v>29195</v>
      </c>
      <c r="E417">
        <f t="shared" si="12"/>
        <v>1979</v>
      </c>
      <c r="F417">
        <f t="shared" ca="1" si="13"/>
        <v>47</v>
      </c>
      <c r="G417">
        <f>COUNTIF(BRON!A:A,'schades-leeftijd'!A417)</f>
        <v>5</v>
      </c>
    </row>
    <row r="418" spans="1:7" x14ac:dyDescent="0.25">
      <c r="A418">
        <v>39379</v>
      </c>
      <c r="B418" t="s">
        <v>1994</v>
      </c>
      <c r="C418" t="s">
        <v>1995</v>
      </c>
      <c r="D418" s="3">
        <v>31775</v>
      </c>
      <c r="E418">
        <f t="shared" si="12"/>
        <v>1986</v>
      </c>
      <c r="F418">
        <f t="shared" ca="1" si="13"/>
        <v>40</v>
      </c>
      <c r="G418">
        <f>COUNTIF(BRON!A:A,'schades-leeftijd'!A418)</f>
        <v>2</v>
      </c>
    </row>
    <row r="419" spans="1:7" x14ac:dyDescent="0.25">
      <c r="A419">
        <v>39528</v>
      </c>
      <c r="B419" t="s">
        <v>1996</v>
      </c>
      <c r="C419" t="s">
        <v>1997</v>
      </c>
      <c r="D419" s="3">
        <v>32358</v>
      </c>
      <c r="E419">
        <f t="shared" si="12"/>
        <v>1988</v>
      </c>
      <c r="F419">
        <f t="shared" ca="1" si="13"/>
        <v>38</v>
      </c>
      <c r="G419">
        <f>COUNTIF(BRON!A:A,'schades-leeftijd'!A419)</f>
        <v>4</v>
      </c>
    </row>
    <row r="420" spans="1:7" x14ac:dyDescent="0.25">
      <c r="A420">
        <v>39529</v>
      </c>
      <c r="B420" t="s">
        <v>1998</v>
      </c>
      <c r="C420" t="s">
        <v>1999</v>
      </c>
      <c r="D420" s="3">
        <v>23786</v>
      </c>
      <c r="E420">
        <f t="shared" si="12"/>
        <v>1965</v>
      </c>
      <c r="F420">
        <f t="shared" ca="1" si="13"/>
        <v>61</v>
      </c>
      <c r="G420">
        <f>COUNTIF(BRON!A:A,'schades-leeftijd'!A420)</f>
        <v>4</v>
      </c>
    </row>
    <row r="421" spans="1:7" x14ac:dyDescent="0.25">
      <c r="A421">
        <v>39532</v>
      </c>
      <c r="B421" t="s">
        <v>2000</v>
      </c>
      <c r="C421" t="s">
        <v>2001</v>
      </c>
      <c r="D421" s="3">
        <v>36632</v>
      </c>
      <c r="E421">
        <f t="shared" si="12"/>
        <v>2000</v>
      </c>
      <c r="F421">
        <f t="shared" ca="1" si="13"/>
        <v>26</v>
      </c>
      <c r="G421">
        <f>COUNTIF(BRON!A:A,'schades-leeftijd'!A421)</f>
        <v>7</v>
      </c>
    </row>
    <row r="422" spans="1:7" x14ac:dyDescent="0.25">
      <c r="A422">
        <v>39558</v>
      </c>
      <c r="B422" t="s">
        <v>1922</v>
      </c>
      <c r="C422" t="s">
        <v>2002</v>
      </c>
      <c r="D422" s="3">
        <v>31519</v>
      </c>
      <c r="E422">
        <f t="shared" si="12"/>
        <v>1986</v>
      </c>
      <c r="F422">
        <f t="shared" ca="1" si="13"/>
        <v>40</v>
      </c>
      <c r="G422">
        <f>COUNTIF(BRON!A:A,'schades-leeftijd'!A422)</f>
        <v>2</v>
      </c>
    </row>
    <row r="423" spans="1:7" x14ac:dyDescent="0.25">
      <c r="A423">
        <v>39575</v>
      </c>
      <c r="B423" t="s">
        <v>2003</v>
      </c>
      <c r="C423" t="s">
        <v>2004</v>
      </c>
      <c r="D423" s="3">
        <v>35965</v>
      </c>
      <c r="E423">
        <f t="shared" si="12"/>
        <v>1998</v>
      </c>
      <c r="F423">
        <f t="shared" ca="1" si="13"/>
        <v>28</v>
      </c>
      <c r="G423">
        <f>COUNTIF(BRON!A:A,'schades-leeftijd'!A423)</f>
        <v>2</v>
      </c>
    </row>
    <row r="424" spans="1:7" x14ac:dyDescent="0.25">
      <c r="A424">
        <v>39581</v>
      </c>
      <c r="B424" t="s">
        <v>2005</v>
      </c>
      <c r="C424" t="s">
        <v>2006</v>
      </c>
      <c r="D424" s="3">
        <v>36481</v>
      </c>
      <c r="E424">
        <f t="shared" si="12"/>
        <v>1999</v>
      </c>
      <c r="F424">
        <f t="shared" ca="1" si="13"/>
        <v>27</v>
      </c>
      <c r="G424">
        <f>COUNTIF(BRON!A:A,'schades-leeftijd'!A424)</f>
        <v>5</v>
      </c>
    </row>
    <row r="425" spans="1:7" x14ac:dyDescent="0.25">
      <c r="A425">
        <v>39610</v>
      </c>
      <c r="B425" t="s">
        <v>2007</v>
      </c>
      <c r="C425" t="s">
        <v>2008</v>
      </c>
      <c r="D425" s="3">
        <v>35615</v>
      </c>
      <c r="E425">
        <f t="shared" si="12"/>
        <v>1997</v>
      </c>
      <c r="F425">
        <f t="shared" ca="1" si="13"/>
        <v>29</v>
      </c>
      <c r="G425">
        <f>COUNTIF(BRON!A:A,'schades-leeftijd'!A425)</f>
        <v>1</v>
      </c>
    </row>
    <row r="426" spans="1:7" x14ac:dyDescent="0.25">
      <c r="A426">
        <v>39651</v>
      </c>
      <c r="B426" t="s">
        <v>2009</v>
      </c>
      <c r="C426" t="s">
        <v>2010</v>
      </c>
      <c r="D426" s="3">
        <v>32321</v>
      </c>
      <c r="E426">
        <f t="shared" si="12"/>
        <v>1988</v>
      </c>
      <c r="F426">
        <f t="shared" ca="1" si="13"/>
        <v>38</v>
      </c>
      <c r="G426">
        <f>COUNTIF(BRON!A:A,'schades-leeftijd'!A426)</f>
        <v>4</v>
      </c>
    </row>
    <row r="427" spans="1:7" x14ac:dyDescent="0.25">
      <c r="A427">
        <v>39654</v>
      </c>
      <c r="B427" t="s">
        <v>2011</v>
      </c>
      <c r="C427" t="s">
        <v>2012</v>
      </c>
      <c r="D427" s="3">
        <v>35555</v>
      </c>
      <c r="E427">
        <f t="shared" si="12"/>
        <v>1997</v>
      </c>
      <c r="F427">
        <f t="shared" ca="1" si="13"/>
        <v>29</v>
      </c>
      <c r="G427">
        <f>COUNTIF(BRON!A:A,'schades-leeftijd'!A427)</f>
        <v>2</v>
      </c>
    </row>
    <row r="428" spans="1:7" x14ac:dyDescent="0.25">
      <c r="A428">
        <v>39660</v>
      </c>
      <c r="B428" t="s">
        <v>2013</v>
      </c>
      <c r="C428" t="s">
        <v>1828</v>
      </c>
      <c r="D428" s="3">
        <v>32368</v>
      </c>
      <c r="E428">
        <f t="shared" si="12"/>
        <v>1988</v>
      </c>
      <c r="F428">
        <f t="shared" ca="1" si="13"/>
        <v>38</v>
      </c>
      <c r="G428">
        <f>COUNTIF(BRON!A:A,'schades-leeftijd'!A428)</f>
        <v>6</v>
      </c>
    </row>
    <row r="429" spans="1:7" x14ac:dyDescent="0.25">
      <c r="A429">
        <v>39673</v>
      </c>
      <c r="B429" t="s">
        <v>2014</v>
      </c>
      <c r="C429" t="s">
        <v>2015</v>
      </c>
      <c r="D429" s="3">
        <v>25391</v>
      </c>
      <c r="E429">
        <f t="shared" si="12"/>
        <v>1969</v>
      </c>
      <c r="F429">
        <f t="shared" ca="1" si="13"/>
        <v>57</v>
      </c>
      <c r="G429">
        <f>COUNTIF(BRON!A:A,'schades-leeftijd'!A429)</f>
        <v>5</v>
      </c>
    </row>
    <row r="430" spans="1:7" x14ac:dyDescent="0.25">
      <c r="A430">
        <v>39677</v>
      </c>
      <c r="B430" t="s">
        <v>2016</v>
      </c>
      <c r="C430" t="s">
        <v>2017</v>
      </c>
      <c r="D430" s="3">
        <v>36222</v>
      </c>
      <c r="E430">
        <f t="shared" si="12"/>
        <v>1999</v>
      </c>
      <c r="F430">
        <f t="shared" ca="1" si="13"/>
        <v>27</v>
      </c>
      <c r="G430">
        <f>COUNTIF(BRON!A:A,'schades-leeftijd'!A430)</f>
        <v>1</v>
      </c>
    </row>
    <row r="431" spans="1:7" x14ac:dyDescent="0.25">
      <c r="A431">
        <v>39712</v>
      </c>
      <c r="B431" t="s">
        <v>885</v>
      </c>
      <c r="C431" t="s">
        <v>1070</v>
      </c>
      <c r="D431" s="3">
        <v>35461</v>
      </c>
      <c r="E431">
        <f t="shared" si="12"/>
        <v>1997</v>
      </c>
      <c r="F431">
        <f t="shared" ca="1" si="13"/>
        <v>29</v>
      </c>
      <c r="G431">
        <f>COUNTIF(BRON!A:A,'schades-leeftijd'!A431)</f>
        <v>5</v>
      </c>
    </row>
    <row r="432" spans="1:7" x14ac:dyDescent="0.25">
      <c r="A432">
        <v>39715</v>
      </c>
      <c r="B432" t="s">
        <v>2018</v>
      </c>
      <c r="C432" t="s">
        <v>2019</v>
      </c>
      <c r="D432" s="3">
        <v>29587</v>
      </c>
      <c r="E432">
        <f t="shared" si="12"/>
        <v>1981</v>
      </c>
      <c r="F432">
        <f t="shared" ca="1" si="13"/>
        <v>45</v>
      </c>
      <c r="G432">
        <f>COUNTIF(BRON!A:A,'schades-leeftijd'!A432)</f>
        <v>0</v>
      </c>
    </row>
    <row r="433" spans="1:7" x14ac:dyDescent="0.25">
      <c r="A433">
        <v>39728</v>
      </c>
      <c r="B433" t="s">
        <v>2020</v>
      </c>
      <c r="C433" t="s">
        <v>2021</v>
      </c>
      <c r="D433" s="3">
        <v>36347</v>
      </c>
      <c r="E433">
        <f t="shared" si="12"/>
        <v>1999</v>
      </c>
      <c r="F433">
        <f t="shared" ca="1" si="13"/>
        <v>27</v>
      </c>
      <c r="G433">
        <f>COUNTIF(BRON!A:A,'schades-leeftijd'!A433)</f>
        <v>2</v>
      </c>
    </row>
    <row r="434" spans="1:7" x14ac:dyDescent="0.25">
      <c r="A434">
        <v>39779</v>
      </c>
      <c r="B434" t="s">
        <v>2022</v>
      </c>
      <c r="C434" t="s">
        <v>2023</v>
      </c>
      <c r="D434" s="3">
        <v>33855</v>
      </c>
      <c r="E434">
        <f t="shared" si="12"/>
        <v>1992</v>
      </c>
      <c r="F434">
        <f t="shared" ca="1" si="13"/>
        <v>34</v>
      </c>
      <c r="G434">
        <f>COUNTIF(BRON!A:A,'schades-leeftijd'!A434)</f>
        <v>7</v>
      </c>
    </row>
    <row r="435" spans="1:7" x14ac:dyDescent="0.25">
      <c r="A435">
        <v>39829</v>
      </c>
      <c r="B435" t="s">
        <v>1925</v>
      </c>
      <c r="C435" t="s">
        <v>2024</v>
      </c>
      <c r="D435" s="3">
        <v>32321</v>
      </c>
      <c r="E435">
        <f t="shared" si="12"/>
        <v>1988</v>
      </c>
      <c r="F435">
        <f t="shared" ca="1" si="13"/>
        <v>38</v>
      </c>
      <c r="G435">
        <f>COUNTIF(BRON!A:A,'schades-leeftijd'!A435)</f>
        <v>2</v>
      </c>
    </row>
    <row r="436" spans="1:7" x14ac:dyDescent="0.25">
      <c r="A436">
        <v>39831</v>
      </c>
      <c r="B436" t="s">
        <v>2025</v>
      </c>
      <c r="C436" t="s">
        <v>2026</v>
      </c>
      <c r="D436" s="3">
        <v>35158</v>
      </c>
      <c r="E436">
        <f t="shared" si="12"/>
        <v>1996</v>
      </c>
      <c r="F436">
        <f t="shared" ca="1" si="13"/>
        <v>30</v>
      </c>
      <c r="G436">
        <f>COUNTIF(BRON!A:A,'schades-leeftijd'!A436)</f>
        <v>2</v>
      </c>
    </row>
    <row r="437" spans="1:7" x14ac:dyDescent="0.25">
      <c r="A437">
        <v>39850</v>
      </c>
      <c r="B437" t="s">
        <v>2027</v>
      </c>
      <c r="C437" t="s">
        <v>2028</v>
      </c>
      <c r="D437" s="3">
        <v>26488</v>
      </c>
      <c r="E437">
        <f t="shared" si="12"/>
        <v>1972</v>
      </c>
      <c r="F437">
        <f t="shared" ca="1" si="13"/>
        <v>54</v>
      </c>
      <c r="G437">
        <f>COUNTIF(BRON!A:A,'schades-leeftijd'!A437)</f>
        <v>3</v>
      </c>
    </row>
    <row r="438" spans="1:7" x14ac:dyDescent="0.25">
      <c r="A438">
        <v>39856</v>
      </c>
      <c r="B438" t="s">
        <v>2029</v>
      </c>
      <c r="C438" t="s">
        <v>2030</v>
      </c>
      <c r="D438" s="3">
        <v>33698</v>
      </c>
      <c r="E438">
        <f t="shared" si="12"/>
        <v>1992</v>
      </c>
      <c r="F438">
        <f t="shared" ca="1" si="13"/>
        <v>34</v>
      </c>
      <c r="G438">
        <f>COUNTIF(BRON!A:A,'schades-leeftijd'!A438)</f>
        <v>2</v>
      </c>
    </row>
    <row r="439" spans="1:7" x14ac:dyDescent="0.25">
      <c r="A439">
        <v>39858</v>
      </c>
      <c r="B439" t="s">
        <v>2031</v>
      </c>
      <c r="C439" t="s">
        <v>2032</v>
      </c>
      <c r="D439" s="3">
        <v>36686</v>
      </c>
      <c r="E439">
        <f t="shared" si="12"/>
        <v>2000</v>
      </c>
      <c r="F439">
        <f t="shared" ca="1" si="13"/>
        <v>26</v>
      </c>
      <c r="G439">
        <f>COUNTIF(BRON!A:A,'schades-leeftijd'!A439)</f>
        <v>2</v>
      </c>
    </row>
    <row r="440" spans="1:7" x14ac:dyDescent="0.25">
      <c r="A440">
        <v>39859</v>
      </c>
      <c r="B440" t="s">
        <v>2033</v>
      </c>
      <c r="C440" t="s">
        <v>1981</v>
      </c>
      <c r="D440" s="3">
        <v>29906</v>
      </c>
      <c r="E440">
        <f t="shared" si="12"/>
        <v>1981</v>
      </c>
      <c r="F440">
        <f t="shared" ca="1" si="13"/>
        <v>45</v>
      </c>
      <c r="G440">
        <f>COUNTIF(BRON!A:A,'schades-leeftijd'!A440)</f>
        <v>4</v>
      </c>
    </row>
    <row r="441" spans="1:7" x14ac:dyDescent="0.25">
      <c r="A441">
        <v>39889</v>
      </c>
      <c r="B441" t="s">
        <v>2034</v>
      </c>
      <c r="C441" t="s">
        <v>2035</v>
      </c>
      <c r="D441" s="3">
        <v>28307</v>
      </c>
      <c r="E441">
        <f t="shared" si="12"/>
        <v>1977</v>
      </c>
      <c r="F441">
        <f t="shared" ca="1" si="13"/>
        <v>49</v>
      </c>
      <c r="G441">
        <f>COUNTIF(BRON!A:A,'schades-leeftijd'!A441)</f>
        <v>1</v>
      </c>
    </row>
    <row r="442" spans="1:7" x14ac:dyDescent="0.25">
      <c r="A442">
        <v>39899</v>
      </c>
      <c r="B442" t="s">
        <v>2036</v>
      </c>
      <c r="C442" t="s">
        <v>2037</v>
      </c>
      <c r="D442" s="3">
        <v>22796</v>
      </c>
      <c r="E442">
        <f t="shared" si="12"/>
        <v>1962</v>
      </c>
      <c r="F442">
        <f t="shared" ca="1" si="13"/>
        <v>64</v>
      </c>
      <c r="G442">
        <f>COUNTIF(BRON!A:A,'schades-leeftijd'!A442)</f>
        <v>1</v>
      </c>
    </row>
    <row r="443" spans="1:7" x14ac:dyDescent="0.25">
      <c r="A443">
        <v>39901</v>
      </c>
      <c r="B443" t="s">
        <v>2038</v>
      </c>
      <c r="C443" t="s">
        <v>2039</v>
      </c>
      <c r="D443" s="3">
        <v>34727</v>
      </c>
      <c r="E443">
        <f t="shared" si="12"/>
        <v>1995</v>
      </c>
      <c r="F443">
        <f t="shared" ca="1" si="13"/>
        <v>31</v>
      </c>
      <c r="G443">
        <f>COUNTIF(BRON!A:A,'schades-leeftijd'!A443)</f>
        <v>1</v>
      </c>
    </row>
    <row r="444" spans="1:7" x14ac:dyDescent="0.25">
      <c r="A444">
        <v>39907</v>
      </c>
      <c r="B444" t="s">
        <v>2040</v>
      </c>
      <c r="C444" t="s">
        <v>2041</v>
      </c>
      <c r="D444" s="3">
        <v>29982</v>
      </c>
      <c r="E444">
        <f t="shared" si="12"/>
        <v>1982</v>
      </c>
      <c r="F444">
        <f t="shared" ca="1" si="13"/>
        <v>44</v>
      </c>
      <c r="G444">
        <f>COUNTIF(BRON!A:A,'schades-leeftijd'!A444)</f>
        <v>1</v>
      </c>
    </row>
    <row r="445" spans="1:7" x14ac:dyDescent="0.25">
      <c r="A445">
        <v>39927</v>
      </c>
      <c r="B445" t="s">
        <v>1728</v>
      </c>
      <c r="C445" t="s">
        <v>2042</v>
      </c>
      <c r="D445" s="3">
        <v>34161</v>
      </c>
      <c r="E445">
        <f t="shared" si="12"/>
        <v>1993</v>
      </c>
      <c r="F445">
        <f t="shared" ca="1" si="13"/>
        <v>33</v>
      </c>
      <c r="G445">
        <f>COUNTIF(BRON!A:A,'schades-leeftijd'!A445)</f>
        <v>2</v>
      </c>
    </row>
    <row r="446" spans="1:7" x14ac:dyDescent="0.25">
      <c r="A446">
        <v>39928</v>
      </c>
      <c r="B446" t="s">
        <v>2043</v>
      </c>
      <c r="C446" t="s">
        <v>1583</v>
      </c>
      <c r="D446" s="3">
        <v>35796</v>
      </c>
      <c r="E446">
        <f t="shared" si="12"/>
        <v>1998</v>
      </c>
      <c r="F446">
        <f t="shared" ca="1" si="13"/>
        <v>28</v>
      </c>
      <c r="G446">
        <f>COUNTIF(BRON!A:A,'schades-leeftijd'!A446)</f>
        <v>2</v>
      </c>
    </row>
    <row r="447" spans="1:7" x14ac:dyDescent="0.25">
      <c r="A447">
        <v>39929</v>
      </c>
      <c r="B447" t="s">
        <v>2044</v>
      </c>
      <c r="C447" t="s">
        <v>2045</v>
      </c>
      <c r="D447" s="3">
        <v>30553</v>
      </c>
      <c r="E447">
        <f t="shared" si="12"/>
        <v>1983</v>
      </c>
      <c r="F447">
        <f t="shared" ca="1" si="13"/>
        <v>43</v>
      </c>
      <c r="G447">
        <f>COUNTIF(BRON!A:A,'schades-leeftijd'!A447)</f>
        <v>9</v>
      </c>
    </row>
    <row r="448" spans="1:7" x14ac:dyDescent="0.25">
      <c r="A448">
        <v>39930</v>
      </c>
      <c r="B448" t="s">
        <v>2046</v>
      </c>
      <c r="C448" t="s">
        <v>2047</v>
      </c>
      <c r="D448" s="3">
        <v>33604</v>
      </c>
      <c r="E448">
        <f t="shared" si="12"/>
        <v>1992</v>
      </c>
      <c r="F448">
        <f t="shared" ca="1" si="13"/>
        <v>34</v>
      </c>
      <c r="G448">
        <f>COUNTIF(BRON!A:A,'schades-leeftijd'!A448)</f>
        <v>3</v>
      </c>
    </row>
    <row r="449" spans="1:7" x14ac:dyDescent="0.25">
      <c r="A449">
        <v>39985</v>
      </c>
      <c r="B449" t="s">
        <v>2048</v>
      </c>
      <c r="C449" t="s">
        <v>2049</v>
      </c>
      <c r="D449" s="3">
        <v>35670</v>
      </c>
      <c r="E449">
        <f t="shared" si="12"/>
        <v>1997</v>
      </c>
      <c r="F449">
        <f t="shared" ca="1" si="13"/>
        <v>29</v>
      </c>
      <c r="G449">
        <f>COUNTIF(BRON!A:A,'schades-leeftijd'!A449)</f>
        <v>0</v>
      </c>
    </row>
    <row r="450" spans="1:7" x14ac:dyDescent="0.25">
      <c r="A450">
        <v>39988</v>
      </c>
      <c r="B450" t="s">
        <v>2050</v>
      </c>
      <c r="C450" t="s">
        <v>1826</v>
      </c>
      <c r="D450" s="3">
        <v>30468</v>
      </c>
      <c r="E450">
        <f t="shared" si="12"/>
        <v>1983</v>
      </c>
      <c r="F450">
        <f t="shared" ca="1" si="13"/>
        <v>43</v>
      </c>
      <c r="G450">
        <f>COUNTIF(BRON!A:A,'schades-leeftijd'!A450)</f>
        <v>0</v>
      </c>
    </row>
    <row r="451" spans="1:7" x14ac:dyDescent="0.25">
      <c r="A451">
        <v>40005</v>
      </c>
      <c r="B451" t="s">
        <v>2051</v>
      </c>
      <c r="C451" t="s">
        <v>1381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35</v>
      </c>
      <c r="G451">
        <f>COUNTIF(BRON!A:A,'schades-leeftijd'!A451)</f>
        <v>2</v>
      </c>
    </row>
    <row r="452" spans="1:7" x14ac:dyDescent="0.25">
      <c r="A452">
        <v>40006</v>
      </c>
      <c r="B452" t="s">
        <v>1504</v>
      </c>
      <c r="C452" t="s">
        <v>2052</v>
      </c>
      <c r="D452" s="3">
        <v>38314</v>
      </c>
      <c r="E452">
        <f t="shared" si="14"/>
        <v>2004</v>
      </c>
      <c r="F452">
        <f t="shared" ca="1" si="15"/>
        <v>22</v>
      </c>
      <c r="G452">
        <f>COUNTIF(BRON!A:A,'schades-leeftijd'!A452)</f>
        <v>1</v>
      </c>
    </row>
    <row r="453" spans="1:7" x14ac:dyDescent="0.25">
      <c r="A453">
        <v>40036</v>
      </c>
      <c r="B453" t="s">
        <v>2053</v>
      </c>
      <c r="C453" t="s">
        <v>2054</v>
      </c>
      <c r="D453" s="3">
        <v>28723</v>
      </c>
      <c r="E453">
        <f t="shared" si="14"/>
        <v>1978</v>
      </c>
      <c r="F453">
        <f t="shared" ca="1" si="15"/>
        <v>48</v>
      </c>
      <c r="G453">
        <f>COUNTIF(BRON!A:A,'schades-leeftijd'!A453)</f>
        <v>2</v>
      </c>
    </row>
    <row r="454" spans="1:7" x14ac:dyDescent="0.25">
      <c r="A454">
        <v>40055</v>
      </c>
      <c r="B454" t="s">
        <v>2055</v>
      </c>
      <c r="C454" t="s">
        <v>2056</v>
      </c>
      <c r="D454" s="3">
        <v>34746</v>
      </c>
      <c r="E454">
        <f t="shared" si="14"/>
        <v>1995</v>
      </c>
      <c r="F454">
        <f t="shared" ca="1" si="15"/>
        <v>31</v>
      </c>
      <c r="G454">
        <f>COUNTIF(BRON!A:A,'schades-leeftijd'!A454)</f>
        <v>2</v>
      </c>
    </row>
    <row r="455" spans="1:7" x14ac:dyDescent="0.25">
      <c r="A455">
        <v>40058</v>
      </c>
      <c r="B455" t="s">
        <v>2057</v>
      </c>
      <c r="C455" t="s">
        <v>2058</v>
      </c>
      <c r="D455" s="3">
        <v>37636</v>
      </c>
      <c r="E455">
        <f t="shared" si="14"/>
        <v>2003</v>
      </c>
      <c r="F455">
        <f t="shared" ca="1" si="15"/>
        <v>23</v>
      </c>
      <c r="G455">
        <f>COUNTIF(BRON!A:A,'schades-leeftijd'!A455)</f>
        <v>3</v>
      </c>
    </row>
    <row r="456" spans="1:7" x14ac:dyDescent="0.25">
      <c r="A456">
        <v>40110</v>
      </c>
      <c r="B456" t="s">
        <v>1441</v>
      </c>
      <c r="C456" t="s">
        <v>1493</v>
      </c>
      <c r="D456" s="3">
        <v>26869</v>
      </c>
      <c r="E456">
        <f t="shared" si="14"/>
        <v>1973</v>
      </c>
      <c r="F456">
        <f t="shared" ca="1" si="15"/>
        <v>53</v>
      </c>
      <c r="G456">
        <f>COUNTIF(BRON!A:A,'schades-leeftijd'!A456)</f>
        <v>7</v>
      </c>
    </row>
    <row r="457" spans="1:7" x14ac:dyDescent="0.25">
      <c r="A457">
        <v>40134</v>
      </c>
      <c r="B457" t="s">
        <v>2059</v>
      </c>
      <c r="C457" t="s">
        <v>2060</v>
      </c>
      <c r="D457" s="3">
        <v>34917</v>
      </c>
      <c r="E457">
        <f t="shared" si="14"/>
        <v>1995</v>
      </c>
      <c r="F457">
        <f t="shared" ca="1" si="15"/>
        <v>31</v>
      </c>
      <c r="G457">
        <f>COUNTIF(BRON!A:A,'schades-leeftijd'!A457)</f>
        <v>4</v>
      </c>
    </row>
    <row r="458" spans="1:7" x14ac:dyDescent="0.25">
      <c r="A458">
        <v>40138</v>
      </c>
      <c r="B458" t="s">
        <v>2061</v>
      </c>
      <c r="C458" t="s">
        <v>2062</v>
      </c>
      <c r="D458" s="3">
        <v>37726</v>
      </c>
      <c r="E458">
        <f t="shared" si="14"/>
        <v>2003</v>
      </c>
      <c r="F458">
        <f t="shared" ca="1" si="15"/>
        <v>23</v>
      </c>
      <c r="G458">
        <f>COUNTIF(BRON!A:A,'schades-leeftijd'!A458)</f>
        <v>10</v>
      </c>
    </row>
    <row r="459" spans="1:7" x14ac:dyDescent="0.25">
      <c r="A459">
        <v>40143</v>
      </c>
      <c r="B459" t="s">
        <v>2063</v>
      </c>
      <c r="C459" t="s">
        <v>1930</v>
      </c>
      <c r="D459" s="3">
        <v>33333</v>
      </c>
      <c r="E459">
        <f t="shared" si="14"/>
        <v>1991</v>
      </c>
      <c r="F459">
        <f t="shared" ca="1" si="15"/>
        <v>35</v>
      </c>
      <c r="G459">
        <f>COUNTIF(BRON!A:A,'schades-leeftijd'!A459)</f>
        <v>0</v>
      </c>
    </row>
    <row r="460" spans="1:7" x14ac:dyDescent="0.25">
      <c r="A460">
        <v>40200</v>
      </c>
      <c r="B460" t="s">
        <v>2064</v>
      </c>
      <c r="C460" t="s">
        <v>2065</v>
      </c>
      <c r="D460" s="3">
        <v>33970</v>
      </c>
      <c r="E460">
        <f t="shared" si="14"/>
        <v>1993</v>
      </c>
      <c r="F460">
        <f t="shared" ca="1" si="15"/>
        <v>33</v>
      </c>
      <c r="G460">
        <f>COUNTIF(BRON!A:A,'schades-leeftijd'!A460)</f>
        <v>2</v>
      </c>
    </row>
    <row r="461" spans="1:7" x14ac:dyDescent="0.25">
      <c r="A461">
        <v>40201</v>
      </c>
      <c r="B461" t="s">
        <v>1425</v>
      </c>
      <c r="C461" t="s">
        <v>2066</v>
      </c>
      <c r="D461" s="3">
        <v>37879</v>
      </c>
      <c r="E461">
        <f t="shared" si="14"/>
        <v>2003</v>
      </c>
      <c r="F461">
        <f t="shared" ca="1" si="15"/>
        <v>23</v>
      </c>
      <c r="G461">
        <f>COUNTIF(BRON!A:A,'schades-leeftijd'!A461)</f>
        <v>0</v>
      </c>
    </row>
    <row r="462" spans="1:7" x14ac:dyDescent="0.25">
      <c r="A462">
        <v>40222</v>
      </c>
      <c r="B462" t="s">
        <v>2067</v>
      </c>
      <c r="C462" t="s">
        <v>2060</v>
      </c>
      <c r="D462" s="3">
        <v>35955</v>
      </c>
      <c r="E462">
        <f t="shared" si="14"/>
        <v>1998</v>
      </c>
      <c r="F462">
        <f t="shared" ca="1" si="15"/>
        <v>28</v>
      </c>
      <c r="G462">
        <f>COUNTIF(BRON!A:A,'schades-leeftijd'!A462)</f>
        <v>2</v>
      </c>
    </row>
    <row r="463" spans="1:7" x14ac:dyDescent="0.25">
      <c r="A463">
        <v>40264</v>
      </c>
      <c r="B463" t="s">
        <v>2068</v>
      </c>
      <c r="C463" t="s">
        <v>2069</v>
      </c>
      <c r="D463" s="3">
        <v>32793</v>
      </c>
      <c r="E463">
        <f t="shared" si="14"/>
        <v>1989</v>
      </c>
      <c r="F463">
        <f t="shared" ca="1" si="15"/>
        <v>37</v>
      </c>
      <c r="G463">
        <f>COUNTIF(BRON!A:A,'schades-leeftijd'!A463)</f>
        <v>0</v>
      </c>
    </row>
    <row r="464" spans="1:7" x14ac:dyDescent="0.25">
      <c r="A464">
        <v>40266</v>
      </c>
      <c r="B464" t="s">
        <v>2070</v>
      </c>
      <c r="C464" t="s">
        <v>2071</v>
      </c>
      <c r="D464" s="3">
        <v>35989</v>
      </c>
      <c r="E464">
        <f t="shared" si="14"/>
        <v>1998</v>
      </c>
      <c r="F464">
        <f t="shared" ca="1" si="15"/>
        <v>28</v>
      </c>
      <c r="G464">
        <f>COUNTIF(BRON!A:A,'schades-leeftijd'!A464)</f>
        <v>3</v>
      </c>
    </row>
    <row r="465" spans="1:7" x14ac:dyDescent="0.25">
      <c r="A465">
        <v>40278</v>
      </c>
      <c r="B465" t="s">
        <v>2072</v>
      </c>
      <c r="C465" t="s">
        <v>2073</v>
      </c>
      <c r="D465" s="3">
        <v>30353</v>
      </c>
      <c r="E465">
        <f t="shared" si="14"/>
        <v>1983</v>
      </c>
      <c r="F465">
        <f t="shared" ca="1" si="15"/>
        <v>43</v>
      </c>
      <c r="G465">
        <f>COUNTIF(BRON!A:A,'schades-leeftijd'!A465)</f>
        <v>5</v>
      </c>
    </row>
    <row r="466" spans="1:7" x14ac:dyDescent="0.25">
      <c r="A466">
        <v>40294</v>
      </c>
      <c r="B466" t="s">
        <v>2074</v>
      </c>
      <c r="C466" t="s">
        <v>2075</v>
      </c>
      <c r="D466" s="3">
        <v>33604</v>
      </c>
      <c r="E466">
        <f t="shared" si="14"/>
        <v>1992</v>
      </c>
      <c r="F466">
        <f t="shared" ca="1" si="15"/>
        <v>34</v>
      </c>
      <c r="G466">
        <f>COUNTIF(BRON!A:A,'schades-leeftijd'!A466)</f>
        <v>2</v>
      </c>
    </row>
    <row r="467" spans="1:7" x14ac:dyDescent="0.25">
      <c r="A467">
        <v>40362</v>
      </c>
      <c r="B467" t="s">
        <v>2076</v>
      </c>
      <c r="C467" t="s">
        <v>1710</v>
      </c>
      <c r="D467" s="3">
        <v>28613</v>
      </c>
      <c r="E467">
        <f t="shared" si="14"/>
        <v>1978</v>
      </c>
      <c r="F467">
        <f t="shared" ca="1" si="15"/>
        <v>48</v>
      </c>
      <c r="G467">
        <f>COUNTIF(BRON!A:A,'schades-leeftijd'!A467)</f>
        <v>3</v>
      </c>
    </row>
    <row r="468" spans="1:7" x14ac:dyDescent="0.25">
      <c r="A468">
        <v>40393</v>
      </c>
      <c r="B468" t="s">
        <v>2077</v>
      </c>
      <c r="C468" t="s">
        <v>2078</v>
      </c>
      <c r="D468" s="3">
        <v>35772</v>
      </c>
      <c r="E468">
        <f t="shared" si="14"/>
        <v>1997</v>
      </c>
      <c r="F468">
        <f t="shared" ca="1" si="15"/>
        <v>29</v>
      </c>
      <c r="G468">
        <f>COUNTIF(BRON!A:A,'schades-leeftijd'!A468)</f>
        <v>1</v>
      </c>
    </row>
    <row r="469" spans="1:7" x14ac:dyDescent="0.25">
      <c r="A469">
        <v>40400</v>
      </c>
      <c r="B469" t="s">
        <v>2079</v>
      </c>
      <c r="C469" t="s">
        <v>2080</v>
      </c>
      <c r="D469" s="3">
        <v>25646</v>
      </c>
      <c r="E469">
        <f t="shared" si="14"/>
        <v>1970</v>
      </c>
      <c r="F469">
        <f t="shared" ca="1" si="15"/>
        <v>56</v>
      </c>
      <c r="G469">
        <f>COUNTIF(BRON!A:A,'schades-leeftijd'!A469)</f>
        <v>0</v>
      </c>
    </row>
    <row r="470" spans="1:7" x14ac:dyDescent="0.25">
      <c r="A470">
        <v>40403</v>
      </c>
      <c r="B470" t="s">
        <v>2081</v>
      </c>
      <c r="C470" t="s">
        <v>2082</v>
      </c>
      <c r="D470" s="3">
        <v>28898</v>
      </c>
      <c r="E470">
        <f t="shared" si="14"/>
        <v>1979</v>
      </c>
      <c r="F470">
        <f t="shared" ca="1" si="15"/>
        <v>47</v>
      </c>
      <c r="G470">
        <f>COUNTIF(BRON!A:A,'schades-leeftijd'!A470)</f>
        <v>3</v>
      </c>
    </row>
    <row r="471" spans="1:7" x14ac:dyDescent="0.25">
      <c r="A471">
        <v>40414</v>
      </c>
      <c r="B471" t="s">
        <v>2083</v>
      </c>
      <c r="C471" t="s">
        <v>2084</v>
      </c>
      <c r="D471" s="3">
        <v>37300</v>
      </c>
      <c r="E471">
        <f t="shared" si="14"/>
        <v>2002</v>
      </c>
      <c r="F471">
        <f t="shared" ca="1" si="15"/>
        <v>24</v>
      </c>
      <c r="G471">
        <f>COUNTIF(BRON!A:A,'schades-leeftijd'!A471)</f>
        <v>1</v>
      </c>
    </row>
    <row r="472" spans="1:7" x14ac:dyDescent="0.25">
      <c r="A472">
        <v>40421</v>
      </c>
      <c r="B472" t="s">
        <v>2085</v>
      </c>
      <c r="C472" t="s">
        <v>1800</v>
      </c>
      <c r="D472" s="3">
        <v>20536</v>
      </c>
      <c r="E472">
        <f t="shared" si="14"/>
        <v>1956</v>
      </c>
      <c r="F472">
        <f t="shared" ca="1" si="15"/>
        <v>70</v>
      </c>
      <c r="G472">
        <f>COUNTIF(BRON!A:A,'schades-leeftijd'!A472)</f>
        <v>0</v>
      </c>
    </row>
    <row r="473" spans="1:7" x14ac:dyDescent="0.25">
      <c r="A473">
        <v>40422</v>
      </c>
      <c r="B473" t="s">
        <v>2086</v>
      </c>
      <c r="C473" t="s">
        <v>2087</v>
      </c>
      <c r="D473" s="3">
        <v>20716</v>
      </c>
      <c r="E473">
        <f t="shared" si="14"/>
        <v>1956</v>
      </c>
      <c r="F473">
        <f t="shared" ca="1" si="15"/>
        <v>70</v>
      </c>
      <c r="G473">
        <f>COUNTIF(BRON!A:A,'schades-leeftijd'!A473)</f>
        <v>0</v>
      </c>
    </row>
    <row r="474" spans="1:7" x14ac:dyDescent="0.25">
      <c r="A474">
        <v>40443</v>
      </c>
      <c r="B474" t="s">
        <v>2088</v>
      </c>
      <c r="C474" t="s">
        <v>1826</v>
      </c>
      <c r="D474" s="3">
        <v>37624</v>
      </c>
      <c r="E474">
        <f t="shared" si="14"/>
        <v>2003</v>
      </c>
      <c r="F474">
        <f t="shared" ca="1" si="15"/>
        <v>23</v>
      </c>
      <c r="G474">
        <f>COUNTIF(BRON!A:A,'schades-leeftijd'!A474)</f>
        <v>1</v>
      </c>
    </row>
    <row r="475" spans="1:7" x14ac:dyDescent="0.25">
      <c r="A475">
        <v>40444</v>
      </c>
      <c r="B475" t="s">
        <v>1839</v>
      </c>
      <c r="C475" t="s">
        <v>1828</v>
      </c>
      <c r="D475" s="3">
        <v>34034</v>
      </c>
      <c r="E475">
        <f t="shared" si="14"/>
        <v>1993</v>
      </c>
      <c r="F475">
        <f t="shared" ca="1" si="15"/>
        <v>33</v>
      </c>
      <c r="G475">
        <f>COUNTIF(BRON!A:A,'schades-leeftijd'!A475)</f>
        <v>1</v>
      </c>
    </row>
    <row r="476" spans="1:7" x14ac:dyDescent="0.25">
      <c r="A476">
        <v>40469</v>
      </c>
      <c r="B476" t="s">
        <v>2089</v>
      </c>
      <c r="C476" t="s">
        <v>2090</v>
      </c>
      <c r="D476" s="3">
        <v>29573</v>
      </c>
      <c r="E476">
        <f t="shared" si="14"/>
        <v>1980</v>
      </c>
      <c r="F476">
        <f t="shared" ca="1" si="15"/>
        <v>46</v>
      </c>
      <c r="G476">
        <f>COUNTIF(BRON!A:A,'schades-leeftijd'!A476)</f>
        <v>0</v>
      </c>
    </row>
    <row r="477" spans="1:7" x14ac:dyDescent="0.25">
      <c r="A477">
        <v>40478</v>
      </c>
      <c r="B477" t="s">
        <v>2091</v>
      </c>
      <c r="C477" t="s">
        <v>2092</v>
      </c>
      <c r="D477" s="3">
        <v>36547</v>
      </c>
      <c r="E477">
        <f t="shared" si="14"/>
        <v>2000</v>
      </c>
      <c r="F477">
        <f t="shared" ca="1" si="15"/>
        <v>26</v>
      </c>
      <c r="G477">
        <f>COUNTIF(BRON!A:A,'schades-leeftijd'!A477)</f>
        <v>4</v>
      </c>
    </row>
    <row r="478" spans="1:7" x14ac:dyDescent="0.25">
      <c r="A478">
        <v>40486</v>
      </c>
      <c r="B478" t="s">
        <v>2093</v>
      </c>
      <c r="C478" t="s">
        <v>2094</v>
      </c>
      <c r="D478" s="3">
        <v>36922</v>
      </c>
      <c r="E478">
        <f t="shared" si="14"/>
        <v>2001</v>
      </c>
      <c r="F478">
        <f t="shared" ca="1" si="15"/>
        <v>25</v>
      </c>
      <c r="G478">
        <f>COUNTIF(BRON!A:A,'schades-leeftijd'!A478)</f>
        <v>1</v>
      </c>
    </row>
    <row r="479" spans="1:7" x14ac:dyDescent="0.25">
      <c r="A479">
        <v>40521</v>
      </c>
      <c r="B479" t="s">
        <v>2095</v>
      </c>
      <c r="C479" t="s">
        <v>1572</v>
      </c>
      <c r="D479" s="3">
        <v>31462</v>
      </c>
      <c r="E479">
        <f t="shared" si="14"/>
        <v>1986</v>
      </c>
      <c r="F479">
        <f t="shared" ca="1" si="15"/>
        <v>40</v>
      </c>
      <c r="G479">
        <f>COUNTIF(BRON!A:A,'schades-leeftijd'!A479)</f>
        <v>2</v>
      </c>
    </row>
    <row r="480" spans="1:7" x14ac:dyDescent="0.25">
      <c r="A480">
        <v>40590</v>
      </c>
      <c r="B480" t="s">
        <v>2096</v>
      </c>
      <c r="C480" t="s">
        <v>2097</v>
      </c>
      <c r="D480" s="3">
        <v>31306</v>
      </c>
      <c r="E480">
        <f t="shared" si="14"/>
        <v>1985</v>
      </c>
      <c r="F480">
        <f t="shared" ca="1" si="15"/>
        <v>41</v>
      </c>
      <c r="G480">
        <f>COUNTIF(BRON!A:A,'schades-leeftijd'!A480)</f>
        <v>0</v>
      </c>
    </row>
    <row r="481" spans="1:7" x14ac:dyDescent="0.25">
      <c r="A481">
        <v>40591</v>
      </c>
      <c r="B481" t="s">
        <v>2098</v>
      </c>
      <c r="C481" t="s">
        <v>1826</v>
      </c>
      <c r="D481" s="3">
        <v>27167</v>
      </c>
      <c r="E481">
        <f t="shared" si="14"/>
        <v>1974</v>
      </c>
      <c r="F481">
        <f t="shared" ca="1" si="15"/>
        <v>52</v>
      </c>
      <c r="G481">
        <f>COUNTIF(BRON!A:A,'schades-leeftijd'!A481)</f>
        <v>2</v>
      </c>
    </row>
    <row r="482" spans="1:7" x14ac:dyDescent="0.25">
      <c r="A482">
        <v>40608</v>
      </c>
      <c r="B482" t="s">
        <v>2099</v>
      </c>
      <c r="C482" t="s">
        <v>2100</v>
      </c>
      <c r="D482" s="3">
        <v>34274</v>
      </c>
      <c r="E482">
        <f t="shared" si="14"/>
        <v>1993</v>
      </c>
      <c r="F482">
        <f t="shared" ca="1" si="15"/>
        <v>33</v>
      </c>
      <c r="G482">
        <f>COUNTIF(BRON!A:A,'schades-leeftijd'!A482)</f>
        <v>1</v>
      </c>
    </row>
    <row r="483" spans="1:7" x14ac:dyDescent="0.25">
      <c r="A483">
        <v>40645</v>
      </c>
      <c r="B483" t="s">
        <v>2101</v>
      </c>
      <c r="C483" t="s">
        <v>2102</v>
      </c>
      <c r="D483" s="3">
        <v>34393</v>
      </c>
      <c r="E483">
        <f t="shared" si="14"/>
        <v>1994</v>
      </c>
      <c r="F483">
        <f t="shared" ca="1" si="15"/>
        <v>32</v>
      </c>
      <c r="G483">
        <f>COUNTIF(BRON!A:A,'schades-leeftijd'!A483)</f>
        <v>2</v>
      </c>
    </row>
    <row r="484" spans="1:7" x14ac:dyDescent="0.25">
      <c r="A484">
        <v>40652</v>
      </c>
      <c r="B484" t="s">
        <v>1839</v>
      </c>
      <c r="C484" t="s">
        <v>2103</v>
      </c>
      <c r="D484" s="3">
        <v>36483</v>
      </c>
      <c r="E484">
        <f t="shared" si="14"/>
        <v>1999</v>
      </c>
      <c r="F484">
        <f t="shared" ca="1" si="15"/>
        <v>27</v>
      </c>
      <c r="G484">
        <f>COUNTIF(BRON!A:A,'schades-leeftijd'!A484)</f>
        <v>8</v>
      </c>
    </row>
    <row r="485" spans="1:7" x14ac:dyDescent="0.25">
      <c r="A485">
        <v>40744</v>
      </c>
      <c r="B485" t="s">
        <v>2104</v>
      </c>
      <c r="C485" t="s">
        <v>2105</v>
      </c>
      <c r="D485" s="3">
        <v>34859</v>
      </c>
      <c r="E485">
        <f t="shared" si="14"/>
        <v>1995</v>
      </c>
      <c r="F485">
        <f t="shared" ca="1" si="15"/>
        <v>31</v>
      </c>
      <c r="G485">
        <f>COUNTIF(BRON!A:A,'schades-leeftijd'!A485)</f>
        <v>6</v>
      </c>
    </row>
    <row r="486" spans="1:7" x14ac:dyDescent="0.25">
      <c r="A486">
        <v>40745</v>
      </c>
      <c r="B486" t="s">
        <v>2106</v>
      </c>
      <c r="C486" t="s">
        <v>1468</v>
      </c>
      <c r="D486" s="3">
        <v>33523</v>
      </c>
      <c r="E486">
        <f t="shared" si="14"/>
        <v>1991</v>
      </c>
      <c r="F486">
        <f t="shared" ca="1" si="15"/>
        <v>35</v>
      </c>
      <c r="G486">
        <f>COUNTIF(BRON!A:A,'schades-leeftijd'!A486)</f>
        <v>1</v>
      </c>
    </row>
    <row r="487" spans="1:7" x14ac:dyDescent="0.25">
      <c r="A487">
        <v>40761</v>
      </c>
      <c r="B487" t="s">
        <v>2107</v>
      </c>
      <c r="C487" t="s">
        <v>1329</v>
      </c>
      <c r="D487" s="3">
        <v>27082</v>
      </c>
      <c r="E487">
        <f t="shared" si="14"/>
        <v>1974</v>
      </c>
      <c r="F487">
        <f t="shared" ca="1" si="15"/>
        <v>52</v>
      </c>
      <c r="G487">
        <f>COUNTIF(BRON!A:A,'schades-leeftijd'!A487)</f>
        <v>1</v>
      </c>
    </row>
    <row r="488" spans="1:7" x14ac:dyDescent="0.25">
      <c r="A488">
        <v>40856</v>
      </c>
      <c r="B488" t="s">
        <v>2108</v>
      </c>
      <c r="C488" t="s">
        <v>2109</v>
      </c>
      <c r="D488" s="3">
        <v>31148</v>
      </c>
      <c r="E488">
        <f t="shared" si="14"/>
        <v>1985</v>
      </c>
      <c r="F488">
        <f t="shared" ca="1" si="15"/>
        <v>41</v>
      </c>
      <c r="G488">
        <f>COUNTIF(BRON!A:A,'schades-leeftijd'!A488)</f>
        <v>5</v>
      </c>
    </row>
    <row r="489" spans="1:7" x14ac:dyDescent="0.25">
      <c r="A489">
        <v>40859</v>
      </c>
      <c r="B489" t="s">
        <v>2110</v>
      </c>
      <c r="C489" t="s">
        <v>2111</v>
      </c>
      <c r="D489" s="3">
        <v>29961</v>
      </c>
      <c r="E489">
        <f t="shared" si="14"/>
        <v>1982</v>
      </c>
      <c r="F489">
        <f t="shared" ca="1" si="15"/>
        <v>44</v>
      </c>
      <c r="G489">
        <f>COUNTIF(BRON!A:A,'schades-leeftijd'!A489)</f>
        <v>4</v>
      </c>
    </row>
    <row r="490" spans="1:7" x14ac:dyDescent="0.25">
      <c r="A490">
        <v>40890</v>
      </c>
      <c r="B490" t="s">
        <v>2112</v>
      </c>
      <c r="C490" t="s">
        <v>2113</v>
      </c>
      <c r="D490" s="3">
        <v>37705</v>
      </c>
      <c r="E490">
        <f t="shared" si="14"/>
        <v>2003</v>
      </c>
      <c r="F490">
        <f t="shared" ca="1" si="15"/>
        <v>23</v>
      </c>
      <c r="G490">
        <f>COUNTIF(BRON!A:A,'schades-leeftijd'!A490)</f>
        <v>0</v>
      </c>
    </row>
    <row r="491" spans="1:7" x14ac:dyDescent="0.25">
      <c r="A491">
        <v>40938</v>
      </c>
      <c r="B491" t="s">
        <v>2114</v>
      </c>
      <c r="C491" t="s">
        <v>2115</v>
      </c>
      <c r="D491" s="3">
        <v>31961</v>
      </c>
      <c r="E491">
        <f t="shared" si="14"/>
        <v>1987</v>
      </c>
      <c r="F491">
        <f t="shared" ca="1" si="15"/>
        <v>39</v>
      </c>
      <c r="G491">
        <f>COUNTIF(BRON!A:A,'schades-leeftijd'!A491)</f>
        <v>4</v>
      </c>
    </row>
    <row r="492" spans="1:7" x14ac:dyDescent="0.25">
      <c r="A492">
        <v>40939</v>
      </c>
      <c r="B492" t="s">
        <v>2116</v>
      </c>
      <c r="C492" t="s">
        <v>2117</v>
      </c>
      <c r="D492" s="3">
        <v>37866</v>
      </c>
      <c r="E492">
        <f t="shared" si="14"/>
        <v>2003</v>
      </c>
      <c r="F492">
        <f t="shared" ca="1" si="15"/>
        <v>23</v>
      </c>
      <c r="G492">
        <f>COUNTIF(BRON!A:A,'schades-leeftijd'!A492)</f>
        <v>4</v>
      </c>
    </row>
    <row r="493" spans="1:7" x14ac:dyDescent="0.25">
      <c r="A493">
        <v>41012</v>
      </c>
      <c r="B493" t="s">
        <v>2118</v>
      </c>
      <c r="C493" t="s">
        <v>2119</v>
      </c>
      <c r="D493" s="3">
        <v>27187</v>
      </c>
      <c r="E493">
        <f t="shared" si="14"/>
        <v>1974</v>
      </c>
      <c r="F493">
        <f t="shared" ca="1" si="15"/>
        <v>52</v>
      </c>
      <c r="G493">
        <f>COUNTIF(BRON!A:A,'schades-leeftijd'!A493)</f>
        <v>2</v>
      </c>
    </row>
    <row r="494" spans="1:7" x14ac:dyDescent="0.25">
      <c r="A494">
        <v>41032</v>
      </c>
      <c r="B494" t="s">
        <v>2120</v>
      </c>
      <c r="C494" t="s">
        <v>2121</v>
      </c>
      <c r="D494" s="3">
        <v>36725</v>
      </c>
      <c r="E494">
        <f t="shared" si="14"/>
        <v>2000</v>
      </c>
      <c r="F494">
        <f t="shared" ca="1" si="15"/>
        <v>26</v>
      </c>
      <c r="G494">
        <f>COUNTIF(BRON!A:A,'schades-leeftijd'!A494)</f>
        <v>4</v>
      </c>
    </row>
    <row r="495" spans="1:7" x14ac:dyDescent="0.25">
      <c r="A495">
        <v>41064</v>
      </c>
      <c r="B495" t="s">
        <v>2122</v>
      </c>
      <c r="C495" t="s">
        <v>2123</v>
      </c>
      <c r="D495" s="3">
        <v>37647</v>
      </c>
      <c r="E495">
        <f t="shared" si="14"/>
        <v>2003</v>
      </c>
      <c r="F495">
        <f t="shared" ca="1" si="15"/>
        <v>23</v>
      </c>
      <c r="G495">
        <f>COUNTIF(BRON!A:A,'schades-leeftijd'!A495)</f>
        <v>2</v>
      </c>
    </row>
    <row r="496" spans="1:7" x14ac:dyDescent="0.25">
      <c r="A496">
        <v>41091</v>
      </c>
      <c r="B496" t="s">
        <v>2124</v>
      </c>
      <c r="C496" t="s">
        <v>2125</v>
      </c>
      <c r="D496" s="3">
        <v>32903</v>
      </c>
      <c r="E496">
        <f t="shared" si="14"/>
        <v>1990</v>
      </c>
      <c r="F496">
        <f t="shared" ca="1" si="15"/>
        <v>36</v>
      </c>
      <c r="G496">
        <f>COUNTIF(BRON!A:A,'schades-leeftijd'!A496)</f>
        <v>2</v>
      </c>
    </row>
    <row r="497" spans="1:7" x14ac:dyDescent="0.25">
      <c r="A497">
        <v>41092</v>
      </c>
      <c r="B497" t="s">
        <v>2126</v>
      </c>
      <c r="C497" t="s">
        <v>2127</v>
      </c>
      <c r="D497" s="3">
        <v>29089</v>
      </c>
      <c r="E497">
        <f t="shared" si="14"/>
        <v>1979</v>
      </c>
      <c r="F497">
        <f t="shared" ca="1" si="15"/>
        <v>47</v>
      </c>
      <c r="G497">
        <f>COUNTIF(BRON!A:A,'schades-leeftijd'!A497)</f>
        <v>9</v>
      </c>
    </row>
    <row r="498" spans="1:7" x14ac:dyDescent="0.25">
      <c r="A498">
        <v>41101</v>
      </c>
      <c r="B498" t="s">
        <v>2128</v>
      </c>
      <c r="C498" t="s">
        <v>2129</v>
      </c>
      <c r="D498" s="3">
        <v>35419</v>
      </c>
      <c r="E498">
        <f t="shared" si="14"/>
        <v>1996</v>
      </c>
      <c r="F498">
        <f t="shared" ca="1" si="15"/>
        <v>30</v>
      </c>
      <c r="G498">
        <f>COUNTIF(BRON!A:A,'schades-leeftijd'!A498)</f>
        <v>1</v>
      </c>
    </row>
    <row r="499" spans="1:7" x14ac:dyDescent="0.25">
      <c r="A499">
        <v>41137</v>
      </c>
      <c r="B499" t="s">
        <v>2130</v>
      </c>
      <c r="C499" t="s">
        <v>1385</v>
      </c>
      <c r="D499" s="3">
        <v>25087</v>
      </c>
      <c r="E499">
        <f t="shared" si="14"/>
        <v>1968</v>
      </c>
      <c r="F499">
        <f t="shared" ca="1" si="15"/>
        <v>58</v>
      </c>
      <c r="G499">
        <f>COUNTIF(BRON!A:A,'schades-leeftijd'!A499)</f>
        <v>1</v>
      </c>
    </row>
    <row r="500" spans="1:7" x14ac:dyDescent="0.25">
      <c r="A500">
        <v>41162</v>
      </c>
      <c r="B500" t="s">
        <v>2131</v>
      </c>
      <c r="C500" t="s">
        <v>1409</v>
      </c>
      <c r="D500" s="3">
        <v>28323</v>
      </c>
      <c r="E500">
        <f t="shared" si="14"/>
        <v>1977</v>
      </c>
      <c r="F500">
        <f t="shared" ca="1" si="15"/>
        <v>49</v>
      </c>
      <c r="G500">
        <f>COUNTIF(BRON!A:A,'schades-leeftijd'!A500)</f>
        <v>5</v>
      </c>
    </row>
    <row r="501" spans="1:7" x14ac:dyDescent="0.25">
      <c r="A501">
        <v>41230</v>
      </c>
      <c r="B501" t="s">
        <v>2132</v>
      </c>
      <c r="C501" t="s">
        <v>1497</v>
      </c>
      <c r="D501" s="3">
        <v>27424</v>
      </c>
      <c r="E501">
        <f t="shared" si="14"/>
        <v>1975</v>
      </c>
      <c r="F501">
        <f t="shared" ca="1" si="15"/>
        <v>51</v>
      </c>
      <c r="G501">
        <f>COUNTIF(BRON!A:A,'schades-leeftijd'!A501)</f>
        <v>2</v>
      </c>
    </row>
    <row r="502" spans="1:7" x14ac:dyDescent="0.25">
      <c r="A502">
        <v>41246</v>
      </c>
      <c r="B502" t="s">
        <v>1991</v>
      </c>
      <c r="C502" t="s">
        <v>2133</v>
      </c>
      <c r="D502" s="3">
        <v>36623</v>
      </c>
      <c r="E502">
        <f t="shared" si="14"/>
        <v>2000</v>
      </c>
      <c r="F502">
        <f t="shared" ca="1" si="15"/>
        <v>26</v>
      </c>
      <c r="G502">
        <f>COUNTIF(BRON!A:A,'schades-leeftijd'!A502)</f>
        <v>3</v>
      </c>
    </row>
    <row r="503" spans="1:7" x14ac:dyDescent="0.25">
      <c r="A503">
        <v>41296</v>
      </c>
      <c r="B503" t="s">
        <v>2134</v>
      </c>
      <c r="C503" t="s">
        <v>2135</v>
      </c>
      <c r="D503" s="3">
        <v>36719</v>
      </c>
      <c r="E503">
        <f t="shared" si="14"/>
        <v>2000</v>
      </c>
      <c r="F503">
        <f t="shared" ca="1" si="15"/>
        <v>26</v>
      </c>
      <c r="G503">
        <f>COUNTIF(BRON!A:A,'schades-leeftijd'!A503)</f>
        <v>2</v>
      </c>
    </row>
    <row r="504" spans="1:7" x14ac:dyDescent="0.25">
      <c r="A504">
        <v>41344</v>
      </c>
      <c r="B504" t="s">
        <v>2136</v>
      </c>
      <c r="C504" t="s">
        <v>2137</v>
      </c>
      <c r="D504" s="3">
        <v>34983</v>
      </c>
      <c r="E504">
        <f t="shared" si="14"/>
        <v>1995</v>
      </c>
      <c r="F504">
        <f t="shared" ca="1" si="15"/>
        <v>31</v>
      </c>
      <c r="G504">
        <f>COUNTIF(BRON!A:A,'schades-leeftijd'!A504)</f>
        <v>0</v>
      </c>
    </row>
    <row r="505" spans="1:7" x14ac:dyDescent="0.25">
      <c r="A505">
        <v>41348</v>
      </c>
      <c r="B505" t="s">
        <v>2138</v>
      </c>
      <c r="C505" t="s">
        <v>2139</v>
      </c>
      <c r="D505" s="3">
        <v>35443</v>
      </c>
      <c r="E505">
        <f t="shared" si="14"/>
        <v>1997</v>
      </c>
      <c r="F505">
        <f t="shared" ca="1" si="15"/>
        <v>29</v>
      </c>
      <c r="G505">
        <f>COUNTIF(BRON!A:A,'schades-leeftijd'!A505)</f>
        <v>1</v>
      </c>
    </row>
    <row r="506" spans="1:7" x14ac:dyDescent="0.25">
      <c r="A506">
        <v>41357</v>
      </c>
      <c r="B506" t="s">
        <v>2140</v>
      </c>
      <c r="C506" t="s">
        <v>1070</v>
      </c>
      <c r="D506" s="3">
        <v>35947</v>
      </c>
      <c r="E506">
        <f t="shared" si="14"/>
        <v>1998</v>
      </c>
      <c r="F506">
        <f t="shared" ca="1" si="15"/>
        <v>28</v>
      </c>
      <c r="G506">
        <f>COUNTIF(BRON!A:A,'schades-leeftijd'!A506)</f>
        <v>1</v>
      </c>
    </row>
    <row r="507" spans="1:7" x14ac:dyDescent="0.25">
      <c r="A507">
        <v>41383</v>
      </c>
      <c r="B507" t="s">
        <v>1638</v>
      </c>
      <c r="C507" t="s">
        <v>1326</v>
      </c>
      <c r="D507" s="3">
        <v>25272</v>
      </c>
      <c r="E507">
        <f t="shared" si="14"/>
        <v>1969</v>
      </c>
      <c r="F507">
        <f t="shared" ca="1" si="15"/>
        <v>57</v>
      </c>
      <c r="G507">
        <f>COUNTIF(BRON!A:A,'schades-leeftijd'!A507)</f>
        <v>1</v>
      </c>
    </row>
    <row r="508" spans="1:7" x14ac:dyDescent="0.25">
      <c r="A508">
        <v>41384</v>
      </c>
      <c r="B508" t="s">
        <v>2141</v>
      </c>
      <c r="C508" t="s">
        <v>2142</v>
      </c>
      <c r="D508" s="3">
        <v>37981</v>
      </c>
      <c r="E508">
        <f t="shared" si="14"/>
        <v>2003</v>
      </c>
      <c r="F508">
        <f t="shared" ca="1" si="15"/>
        <v>23</v>
      </c>
      <c r="G508">
        <f>COUNTIF(BRON!A:A,'schades-leeftijd'!A508)</f>
        <v>4</v>
      </c>
    </row>
    <row r="509" spans="1:7" x14ac:dyDescent="0.25">
      <c r="A509">
        <v>41482</v>
      </c>
      <c r="B509" t="s">
        <v>2143</v>
      </c>
      <c r="C509" t="s">
        <v>1589</v>
      </c>
      <c r="D509" s="3">
        <v>28837</v>
      </c>
      <c r="E509">
        <f t="shared" si="14"/>
        <v>1978</v>
      </c>
      <c r="F509">
        <f t="shared" ca="1" si="15"/>
        <v>48</v>
      </c>
      <c r="G509">
        <f>COUNTIF(BRON!A:A,'schades-leeftijd'!A509)</f>
        <v>3</v>
      </c>
    </row>
    <row r="510" spans="1:7" x14ac:dyDescent="0.25">
      <c r="A510">
        <v>41520</v>
      </c>
      <c r="B510" t="s">
        <v>2144</v>
      </c>
      <c r="C510" t="s">
        <v>2145</v>
      </c>
      <c r="D510" s="3">
        <v>35076</v>
      </c>
      <c r="E510">
        <f t="shared" si="14"/>
        <v>1996</v>
      </c>
      <c r="F510">
        <f t="shared" ca="1" si="15"/>
        <v>30</v>
      </c>
      <c r="G510">
        <f>COUNTIF(BRON!A:A,'schades-leeftijd'!A510)</f>
        <v>3</v>
      </c>
    </row>
    <row r="511" spans="1:7" x14ac:dyDescent="0.25">
      <c r="A511">
        <v>41521</v>
      </c>
      <c r="B511" t="s">
        <v>2036</v>
      </c>
      <c r="C511" t="s">
        <v>2146</v>
      </c>
      <c r="D511" s="3">
        <v>31115</v>
      </c>
      <c r="E511">
        <f t="shared" si="14"/>
        <v>1985</v>
      </c>
      <c r="F511">
        <f t="shared" ca="1" si="15"/>
        <v>41</v>
      </c>
      <c r="G511">
        <f>COUNTIF(BRON!A:A,'schades-leeftijd'!A511)</f>
        <v>0</v>
      </c>
    </row>
    <row r="512" spans="1:7" x14ac:dyDescent="0.25">
      <c r="A512">
        <v>41550</v>
      </c>
      <c r="B512" t="s">
        <v>2147</v>
      </c>
      <c r="C512" t="s">
        <v>1903</v>
      </c>
      <c r="D512" s="3">
        <v>31677</v>
      </c>
      <c r="E512">
        <f t="shared" si="14"/>
        <v>1986</v>
      </c>
      <c r="F512">
        <f t="shared" ca="1" si="15"/>
        <v>40</v>
      </c>
      <c r="G512">
        <f>COUNTIF(BRON!A:A,'schades-leeftijd'!A512)</f>
        <v>0</v>
      </c>
    </row>
    <row r="513" spans="1:7" x14ac:dyDescent="0.25">
      <c r="A513">
        <v>41588</v>
      </c>
      <c r="B513" t="s">
        <v>2148</v>
      </c>
      <c r="C513" t="s">
        <v>1561</v>
      </c>
      <c r="D513" s="3">
        <v>24023</v>
      </c>
      <c r="E513">
        <f t="shared" si="14"/>
        <v>1965</v>
      </c>
      <c r="F513">
        <f t="shared" ca="1" si="15"/>
        <v>61</v>
      </c>
      <c r="G513">
        <f>COUNTIF(BRON!A:A,'schades-leeftijd'!A513)</f>
        <v>3</v>
      </c>
    </row>
    <row r="514" spans="1:7" x14ac:dyDescent="0.25">
      <c r="A514">
        <v>41619</v>
      </c>
      <c r="B514" t="s">
        <v>2149</v>
      </c>
      <c r="C514" t="s">
        <v>2150</v>
      </c>
      <c r="D514" s="3">
        <v>33204</v>
      </c>
      <c r="E514">
        <f t="shared" si="14"/>
        <v>1990</v>
      </c>
      <c r="F514">
        <f t="shared" ca="1" si="15"/>
        <v>36</v>
      </c>
      <c r="G514">
        <f>COUNTIF(BRON!A:A,'schades-leeftijd'!A514)</f>
        <v>4</v>
      </c>
    </row>
    <row r="515" spans="1:7" x14ac:dyDescent="0.25">
      <c r="A515">
        <v>41632</v>
      </c>
      <c r="B515" t="s">
        <v>2151</v>
      </c>
      <c r="C515" t="s">
        <v>2152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59</v>
      </c>
      <c r="G515">
        <f>COUNTIF(BRON!A:A,'schades-leeftijd'!A515)</f>
        <v>0</v>
      </c>
    </row>
    <row r="516" spans="1:7" x14ac:dyDescent="0.25">
      <c r="A516">
        <v>41671</v>
      </c>
      <c r="B516" t="s">
        <v>2153</v>
      </c>
      <c r="C516" t="s">
        <v>2154</v>
      </c>
      <c r="D516" s="3">
        <v>32357</v>
      </c>
      <c r="E516">
        <f t="shared" si="16"/>
        <v>1988</v>
      </c>
      <c r="F516">
        <f t="shared" ca="1" si="17"/>
        <v>38</v>
      </c>
      <c r="G516">
        <f>COUNTIF(BRON!A:A,'schades-leeftijd'!A516)</f>
        <v>1</v>
      </c>
    </row>
    <row r="517" spans="1:7" x14ac:dyDescent="0.25">
      <c r="A517">
        <v>41685</v>
      </c>
      <c r="B517" t="s">
        <v>2155</v>
      </c>
      <c r="C517" t="s">
        <v>2156</v>
      </c>
      <c r="D517" s="3">
        <v>37767</v>
      </c>
      <c r="E517">
        <f t="shared" si="16"/>
        <v>2003</v>
      </c>
      <c r="F517">
        <f t="shared" ca="1" si="17"/>
        <v>23</v>
      </c>
      <c r="G517">
        <f>COUNTIF(BRON!A:A,'schades-leeftijd'!A517)</f>
        <v>2</v>
      </c>
    </row>
    <row r="518" spans="1:7" x14ac:dyDescent="0.25">
      <c r="A518">
        <v>41690</v>
      </c>
      <c r="B518" t="s">
        <v>2157</v>
      </c>
      <c r="C518" t="s">
        <v>1981</v>
      </c>
      <c r="D518" s="3">
        <v>31471</v>
      </c>
      <c r="E518">
        <f t="shared" si="16"/>
        <v>1986</v>
      </c>
      <c r="F518">
        <f t="shared" ca="1" si="17"/>
        <v>40</v>
      </c>
      <c r="G518">
        <f>COUNTIF(BRON!A:A,'schades-leeftijd'!A518)</f>
        <v>1</v>
      </c>
    </row>
    <row r="519" spans="1:7" x14ac:dyDescent="0.25">
      <c r="A519">
        <v>41710</v>
      </c>
      <c r="B519" t="s">
        <v>1779</v>
      </c>
      <c r="C519" t="s">
        <v>2158</v>
      </c>
      <c r="D519" s="3">
        <v>25405</v>
      </c>
      <c r="E519">
        <f t="shared" si="16"/>
        <v>1969</v>
      </c>
      <c r="F519">
        <f t="shared" ca="1" si="17"/>
        <v>57</v>
      </c>
      <c r="G519">
        <f>COUNTIF(BRON!A:A,'schades-leeftijd'!A519)</f>
        <v>1</v>
      </c>
    </row>
    <row r="520" spans="1:7" x14ac:dyDescent="0.25">
      <c r="A520">
        <v>41721</v>
      </c>
      <c r="B520" t="s">
        <v>2159</v>
      </c>
      <c r="C520" t="s">
        <v>2160</v>
      </c>
      <c r="D520" s="3">
        <v>26073</v>
      </c>
      <c r="E520">
        <f t="shared" si="16"/>
        <v>1971</v>
      </c>
      <c r="F520">
        <f t="shared" ca="1" si="17"/>
        <v>55</v>
      </c>
      <c r="G520">
        <f>COUNTIF(BRON!A:A,'schades-leeftijd'!A520)</f>
        <v>1</v>
      </c>
    </row>
    <row r="521" spans="1:7" x14ac:dyDescent="0.25">
      <c r="A521">
        <v>41786</v>
      </c>
      <c r="B521" t="s">
        <v>2161</v>
      </c>
      <c r="C521" t="s">
        <v>1709</v>
      </c>
      <c r="D521" s="3">
        <v>34724</v>
      </c>
      <c r="E521">
        <f t="shared" si="16"/>
        <v>1995</v>
      </c>
      <c r="F521">
        <f t="shared" ca="1" si="17"/>
        <v>31</v>
      </c>
      <c r="G521">
        <f>COUNTIF(BRON!A:A,'schades-leeftijd'!A521)</f>
        <v>1</v>
      </c>
    </row>
    <row r="522" spans="1:7" x14ac:dyDescent="0.25">
      <c r="A522">
        <v>41821</v>
      </c>
      <c r="B522" t="s">
        <v>2162</v>
      </c>
      <c r="C522" t="s">
        <v>2163</v>
      </c>
      <c r="D522" s="3">
        <v>37792</v>
      </c>
      <c r="E522">
        <f t="shared" si="16"/>
        <v>2003</v>
      </c>
      <c r="F522">
        <f t="shared" ca="1" si="17"/>
        <v>23</v>
      </c>
      <c r="G522">
        <f>COUNTIF(BRON!A:A,'schades-leeftijd'!A522)</f>
        <v>0</v>
      </c>
    </row>
    <row r="523" spans="1:7" x14ac:dyDescent="0.25">
      <c r="A523">
        <v>41870</v>
      </c>
      <c r="B523" t="s">
        <v>1545</v>
      </c>
      <c r="C523" t="s">
        <v>2164</v>
      </c>
      <c r="D523" s="3">
        <v>36390</v>
      </c>
      <c r="E523">
        <f t="shared" si="16"/>
        <v>1999</v>
      </c>
      <c r="F523">
        <f t="shared" ca="1" si="17"/>
        <v>27</v>
      </c>
      <c r="G523">
        <f>COUNTIF(BRON!A:A,'schades-leeftijd'!A523)</f>
        <v>1</v>
      </c>
    </row>
    <row r="524" spans="1:7" x14ac:dyDescent="0.25">
      <c r="A524">
        <v>41871</v>
      </c>
      <c r="B524" t="s">
        <v>2165</v>
      </c>
      <c r="C524" t="s">
        <v>2166</v>
      </c>
      <c r="D524" s="3">
        <v>36357</v>
      </c>
      <c r="E524">
        <f t="shared" si="16"/>
        <v>1999</v>
      </c>
      <c r="F524">
        <f t="shared" ca="1" si="17"/>
        <v>27</v>
      </c>
      <c r="G524">
        <f>COUNTIF(BRON!A:A,'schades-leeftijd'!A524)</f>
        <v>2</v>
      </c>
    </row>
    <row r="525" spans="1:7" x14ac:dyDescent="0.25">
      <c r="A525">
        <v>41874</v>
      </c>
      <c r="B525" t="s">
        <v>2167</v>
      </c>
      <c r="C525" t="s">
        <v>1591</v>
      </c>
      <c r="D525" s="3">
        <v>26143</v>
      </c>
      <c r="E525">
        <f t="shared" si="16"/>
        <v>1971</v>
      </c>
      <c r="F525">
        <f t="shared" ca="1" si="17"/>
        <v>55</v>
      </c>
      <c r="G525">
        <f>COUNTIF(BRON!A:A,'schades-leeftijd'!A525)</f>
        <v>3</v>
      </c>
    </row>
    <row r="526" spans="1:7" x14ac:dyDescent="0.25">
      <c r="A526">
        <v>41882</v>
      </c>
      <c r="B526" t="s">
        <v>2168</v>
      </c>
      <c r="C526" t="s">
        <v>1453</v>
      </c>
      <c r="D526" s="3">
        <v>32479</v>
      </c>
      <c r="E526">
        <f t="shared" si="16"/>
        <v>1988</v>
      </c>
      <c r="F526">
        <f t="shared" ca="1" si="17"/>
        <v>38</v>
      </c>
      <c r="G526">
        <f>COUNTIF(BRON!A:A,'schades-leeftijd'!A526)</f>
        <v>1</v>
      </c>
    </row>
    <row r="527" spans="1:7" x14ac:dyDescent="0.25">
      <c r="A527">
        <v>41888</v>
      </c>
      <c r="B527" t="s">
        <v>2169</v>
      </c>
      <c r="C527" t="s">
        <v>1903</v>
      </c>
      <c r="D527" s="3">
        <v>28560</v>
      </c>
      <c r="E527">
        <f t="shared" si="16"/>
        <v>1978</v>
      </c>
      <c r="F527">
        <f t="shared" ca="1" si="17"/>
        <v>48</v>
      </c>
      <c r="G527">
        <f>COUNTIF(BRON!A:A,'schades-leeftijd'!A527)</f>
        <v>1</v>
      </c>
    </row>
    <row r="528" spans="1:7" x14ac:dyDescent="0.25">
      <c r="A528">
        <v>41918</v>
      </c>
      <c r="B528" t="s">
        <v>2170</v>
      </c>
      <c r="C528" t="s">
        <v>2171</v>
      </c>
      <c r="D528" s="3">
        <v>30683</v>
      </c>
      <c r="E528">
        <f t="shared" si="16"/>
        <v>1984</v>
      </c>
      <c r="F528">
        <f t="shared" ca="1" si="17"/>
        <v>42</v>
      </c>
      <c r="G528">
        <f>COUNTIF(BRON!A:A,'schades-leeftijd'!A528)</f>
        <v>2</v>
      </c>
    </row>
    <row r="529" spans="1:7" x14ac:dyDescent="0.25">
      <c r="A529">
        <v>41944</v>
      </c>
      <c r="B529" t="s">
        <v>2172</v>
      </c>
      <c r="C529" t="s">
        <v>2173</v>
      </c>
      <c r="D529" s="3">
        <v>36537</v>
      </c>
      <c r="E529">
        <f t="shared" si="16"/>
        <v>2000</v>
      </c>
      <c r="F529">
        <f t="shared" ca="1" si="17"/>
        <v>26</v>
      </c>
      <c r="G529">
        <f>COUNTIF(BRON!A:A,'schades-leeftijd'!A529)</f>
        <v>0</v>
      </c>
    </row>
    <row r="530" spans="1:7" x14ac:dyDescent="0.25">
      <c r="A530">
        <v>41948</v>
      </c>
      <c r="B530" t="s">
        <v>2174</v>
      </c>
      <c r="C530" t="s">
        <v>1329</v>
      </c>
      <c r="D530" s="3">
        <v>24230</v>
      </c>
      <c r="E530">
        <f t="shared" si="16"/>
        <v>1966</v>
      </c>
      <c r="F530">
        <f t="shared" ca="1" si="17"/>
        <v>60</v>
      </c>
      <c r="G530">
        <f>COUNTIF(BRON!A:A,'schades-leeftijd'!A530)</f>
        <v>3</v>
      </c>
    </row>
    <row r="531" spans="1:7" x14ac:dyDescent="0.25">
      <c r="A531">
        <v>41949</v>
      </c>
      <c r="B531" t="s">
        <v>2175</v>
      </c>
      <c r="C531" t="s">
        <v>1503</v>
      </c>
      <c r="D531" s="3">
        <v>32049</v>
      </c>
      <c r="E531">
        <f t="shared" si="16"/>
        <v>1987</v>
      </c>
      <c r="F531">
        <f t="shared" ca="1" si="17"/>
        <v>39</v>
      </c>
      <c r="G531">
        <f>COUNTIF(BRON!A:A,'schades-leeftijd'!A531)</f>
        <v>0</v>
      </c>
    </row>
    <row r="532" spans="1:7" x14ac:dyDescent="0.25">
      <c r="A532">
        <v>42002</v>
      </c>
      <c r="B532" t="s">
        <v>2176</v>
      </c>
      <c r="C532" t="s">
        <v>1696</v>
      </c>
      <c r="D532" s="3">
        <v>37670</v>
      </c>
      <c r="E532">
        <f t="shared" si="16"/>
        <v>2003</v>
      </c>
      <c r="F532">
        <f t="shared" ca="1" si="17"/>
        <v>23</v>
      </c>
      <c r="G532">
        <f>COUNTIF(BRON!A:A,'schades-leeftijd'!A532)</f>
        <v>3</v>
      </c>
    </row>
    <row r="533" spans="1:7" x14ac:dyDescent="0.25">
      <c r="A533">
        <v>42015</v>
      </c>
      <c r="B533" t="s">
        <v>2177</v>
      </c>
      <c r="C533" t="s">
        <v>1932</v>
      </c>
      <c r="D533" s="3">
        <v>31325</v>
      </c>
      <c r="E533">
        <f t="shared" si="16"/>
        <v>1985</v>
      </c>
      <c r="F533">
        <f t="shared" ca="1" si="17"/>
        <v>41</v>
      </c>
      <c r="G533">
        <f>COUNTIF(BRON!A:A,'schades-leeftijd'!A533)</f>
        <v>1</v>
      </c>
    </row>
    <row r="534" spans="1:7" x14ac:dyDescent="0.25">
      <c r="A534">
        <v>42022</v>
      </c>
      <c r="B534" t="s">
        <v>2178</v>
      </c>
      <c r="C534" t="s">
        <v>2179</v>
      </c>
      <c r="D534" s="3">
        <v>36225</v>
      </c>
      <c r="E534">
        <f t="shared" si="16"/>
        <v>1999</v>
      </c>
      <c r="F534">
        <f t="shared" ca="1" si="17"/>
        <v>27</v>
      </c>
      <c r="G534">
        <f>COUNTIF(BRON!A:A,'schades-leeftijd'!A534)</f>
        <v>1</v>
      </c>
    </row>
    <row r="535" spans="1:7" x14ac:dyDescent="0.25">
      <c r="A535">
        <v>42044</v>
      </c>
      <c r="B535" t="s">
        <v>2180</v>
      </c>
      <c r="C535" t="s">
        <v>2181</v>
      </c>
      <c r="D535" s="3">
        <v>33500</v>
      </c>
      <c r="E535">
        <f t="shared" si="16"/>
        <v>1991</v>
      </c>
      <c r="F535">
        <f t="shared" ca="1" si="17"/>
        <v>35</v>
      </c>
      <c r="G535">
        <f>COUNTIF(BRON!A:A,'schades-leeftijd'!A535)</f>
        <v>1</v>
      </c>
    </row>
    <row r="536" spans="1:7" x14ac:dyDescent="0.25">
      <c r="A536">
        <v>42082</v>
      </c>
      <c r="B536" t="s">
        <v>1949</v>
      </c>
      <c r="C536" t="s">
        <v>2182</v>
      </c>
      <c r="D536" s="3">
        <v>37796</v>
      </c>
      <c r="E536">
        <f t="shared" si="16"/>
        <v>2003</v>
      </c>
      <c r="F536">
        <f t="shared" ca="1" si="17"/>
        <v>23</v>
      </c>
      <c r="G536">
        <f>COUNTIF(BRON!A:A,'schades-leeftijd'!A536)</f>
        <v>1</v>
      </c>
    </row>
    <row r="537" spans="1:7" x14ac:dyDescent="0.25">
      <c r="A537">
        <v>42120</v>
      </c>
      <c r="B537" t="s">
        <v>2183</v>
      </c>
      <c r="C537" t="s">
        <v>1706</v>
      </c>
      <c r="D537" s="3">
        <v>38832</v>
      </c>
      <c r="E537">
        <f t="shared" si="16"/>
        <v>2006</v>
      </c>
      <c r="F537">
        <f t="shared" ca="1" si="17"/>
        <v>20</v>
      </c>
      <c r="G537">
        <f>COUNTIF(BRON!A:A,'schades-leeftijd'!A537)</f>
        <v>3</v>
      </c>
    </row>
    <row r="538" spans="1:7" x14ac:dyDescent="0.25">
      <c r="A538">
        <v>42141</v>
      </c>
      <c r="B538" t="s">
        <v>2184</v>
      </c>
      <c r="C538" t="s">
        <v>1503</v>
      </c>
      <c r="D538" s="3">
        <v>34485</v>
      </c>
      <c r="E538">
        <f t="shared" si="16"/>
        <v>1994</v>
      </c>
      <c r="F538">
        <f t="shared" ca="1" si="17"/>
        <v>32</v>
      </c>
      <c r="G538">
        <f>COUNTIF(BRON!A:A,'schades-leeftijd'!A538)</f>
        <v>0</v>
      </c>
    </row>
    <row r="539" spans="1:7" x14ac:dyDescent="0.25">
      <c r="A539">
        <v>42143</v>
      </c>
      <c r="B539" t="s">
        <v>2185</v>
      </c>
      <c r="C539" t="s">
        <v>2186</v>
      </c>
      <c r="D539" s="3">
        <v>32154</v>
      </c>
      <c r="E539">
        <f t="shared" si="16"/>
        <v>1988</v>
      </c>
      <c r="F539">
        <f t="shared" ca="1" si="17"/>
        <v>38</v>
      </c>
      <c r="G539">
        <f>COUNTIF(BRON!A:A,'schades-leeftijd'!A539)</f>
        <v>1</v>
      </c>
    </row>
    <row r="540" spans="1:7" x14ac:dyDescent="0.25">
      <c r="A540">
        <v>42144</v>
      </c>
      <c r="B540" t="s">
        <v>2187</v>
      </c>
      <c r="C540" t="s">
        <v>2188</v>
      </c>
      <c r="D540" s="3">
        <v>35367</v>
      </c>
      <c r="E540">
        <f t="shared" si="16"/>
        <v>1996</v>
      </c>
      <c r="F540">
        <f t="shared" ca="1" si="17"/>
        <v>30</v>
      </c>
      <c r="G540">
        <f>COUNTIF(BRON!A:A,'schades-leeftijd'!A540)</f>
        <v>0</v>
      </c>
    </row>
    <row r="541" spans="1:7" x14ac:dyDescent="0.25">
      <c r="A541">
        <v>42145</v>
      </c>
      <c r="B541" t="s">
        <v>2189</v>
      </c>
      <c r="C541" t="s">
        <v>2190</v>
      </c>
      <c r="D541" s="3">
        <v>36894</v>
      </c>
      <c r="E541">
        <f t="shared" si="16"/>
        <v>2001</v>
      </c>
      <c r="F541">
        <f t="shared" ca="1" si="17"/>
        <v>25</v>
      </c>
      <c r="G541">
        <f>COUNTIF(BRON!A:A,'schades-leeftijd'!A541)</f>
        <v>2</v>
      </c>
    </row>
    <row r="542" spans="1:7" x14ac:dyDescent="0.25">
      <c r="A542">
        <v>42146</v>
      </c>
      <c r="B542" t="s">
        <v>2191</v>
      </c>
      <c r="C542" t="s">
        <v>2192</v>
      </c>
      <c r="D542" s="3">
        <v>34251</v>
      </c>
      <c r="E542">
        <f t="shared" si="16"/>
        <v>1993</v>
      </c>
      <c r="F542">
        <f t="shared" ca="1" si="17"/>
        <v>33</v>
      </c>
      <c r="G542">
        <f>COUNTIF(BRON!A:A,'schades-leeftijd'!A542)</f>
        <v>3</v>
      </c>
    </row>
    <row r="543" spans="1:7" x14ac:dyDescent="0.25">
      <c r="A543">
        <v>42164</v>
      </c>
      <c r="B543" t="s">
        <v>2193</v>
      </c>
      <c r="C543" t="s">
        <v>2194</v>
      </c>
      <c r="D543" s="3">
        <v>30767</v>
      </c>
      <c r="E543">
        <f t="shared" si="16"/>
        <v>1984</v>
      </c>
      <c r="F543">
        <f t="shared" ca="1" si="17"/>
        <v>42</v>
      </c>
      <c r="G543">
        <f>COUNTIF(BRON!A:A,'schades-leeftijd'!A543)</f>
        <v>0</v>
      </c>
    </row>
    <row r="544" spans="1:7" x14ac:dyDescent="0.25">
      <c r="A544">
        <v>42195</v>
      </c>
      <c r="B544" t="s">
        <v>2195</v>
      </c>
      <c r="C544" t="s">
        <v>2196</v>
      </c>
      <c r="D544" s="3">
        <v>33465</v>
      </c>
      <c r="E544">
        <f t="shared" si="16"/>
        <v>1991</v>
      </c>
      <c r="F544">
        <f t="shared" ca="1" si="17"/>
        <v>35</v>
      </c>
      <c r="G544">
        <f>COUNTIF(BRON!A:A,'schades-leeftijd'!A544)</f>
        <v>0</v>
      </c>
    </row>
    <row r="545" spans="1:7" x14ac:dyDescent="0.25">
      <c r="A545">
        <v>42196</v>
      </c>
      <c r="B545" t="s">
        <v>2197</v>
      </c>
      <c r="C545" t="s">
        <v>2198</v>
      </c>
      <c r="D545" s="3">
        <v>37251</v>
      </c>
      <c r="E545">
        <f t="shared" si="16"/>
        <v>2001</v>
      </c>
      <c r="F545">
        <f t="shared" ca="1" si="17"/>
        <v>25</v>
      </c>
      <c r="G545">
        <f>COUNTIF(BRON!A:A,'schades-leeftijd'!A545)</f>
        <v>0</v>
      </c>
    </row>
    <row r="546" spans="1:7" x14ac:dyDescent="0.25">
      <c r="A546">
        <v>42211</v>
      </c>
      <c r="B546" t="s">
        <v>2199</v>
      </c>
      <c r="C546" t="s">
        <v>2200</v>
      </c>
      <c r="D546" s="3">
        <v>36604</v>
      </c>
      <c r="E546">
        <f t="shared" si="16"/>
        <v>2000</v>
      </c>
      <c r="F546">
        <f t="shared" ca="1" si="17"/>
        <v>26</v>
      </c>
      <c r="G546">
        <f>COUNTIF(BRON!A:A,'schades-leeftijd'!A546)</f>
        <v>0</v>
      </c>
    </row>
    <row r="547" spans="1:7" x14ac:dyDescent="0.25">
      <c r="A547">
        <v>42218</v>
      </c>
      <c r="B547" t="s">
        <v>1669</v>
      </c>
      <c r="C547" t="s">
        <v>2201</v>
      </c>
      <c r="D547" s="3">
        <v>37215</v>
      </c>
      <c r="E547">
        <f t="shared" si="16"/>
        <v>2001</v>
      </c>
      <c r="F547">
        <f t="shared" ca="1" si="17"/>
        <v>25</v>
      </c>
      <c r="G547">
        <f>COUNTIF(BRON!A:A,'schades-leeftijd'!A547)</f>
        <v>1</v>
      </c>
    </row>
    <row r="548" spans="1:7" x14ac:dyDescent="0.25">
      <c r="A548">
        <v>42249</v>
      </c>
      <c r="B548" t="s">
        <v>2202</v>
      </c>
      <c r="C548" t="s">
        <v>1900</v>
      </c>
      <c r="D548" s="3">
        <v>24857</v>
      </c>
      <c r="E548">
        <f t="shared" si="16"/>
        <v>1968</v>
      </c>
      <c r="F548">
        <f t="shared" ca="1" si="17"/>
        <v>58</v>
      </c>
      <c r="G548">
        <f>COUNTIF(BRON!A:A,'schades-leeftijd'!A548)</f>
        <v>1</v>
      </c>
    </row>
    <row r="549" spans="1:7" x14ac:dyDescent="0.25">
      <c r="A549">
        <v>42252</v>
      </c>
      <c r="B549" t="s">
        <v>2203</v>
      </c>
      <c r="C549" t="s">
        <v>1583</v>
      </c>
      <c r="D549" s="3">
        <v>37782</v>
      </c>
      <c r="E549">
        <f t="shared" si="16"/>
        <v>2003</v>
      </c>
      <c r="F549">
        <f t="shared" ca="1" si="17"/>
        <v>23</v>
      </c>
      <c r="G549">
        <f>COUNTIF(BRON!A:A,'schades-leeftijd'!A549)</f>
        <v>5</v>
      </c>
    </row>
    <row r="550" spans="1:7" x14ac:dyDescent="0.25">
      <c r="A550">
        <v>42269</v>
      </c>
      <c r="B550" t="s">
        <v>1470</v>
      </c>
      <c r="C550" t="s">
        <v>2204</v>
      </c>
      <c r="D550" s="3">
        <v>36642</v>
      </c>
      <c r="E550">
        <f t="shared" si="16"/>
        <v>2000</v>
      </c>
      <c r="F550">
        <f t="shared" ca="1" si="17"/>
        <v>26</v>
      </c>
      <c r="G550">
        <f>COUNTIF(BRON!A:A,'schades-leeftijd'!A550)</f>
        <v>0</v>
      </c>
    </row>
    <row r="551" spans="1:7" x14ac:dyDescent="0.25">
      <c r="A551">
        <v>42277</v>
      </c>
      <c r="B551" t="s">
        <v>2205</v>
      </c>
      <c r="C551" t="s">
        <v>2206</v>
      </c>
      <c r="D551" s="3">
        <v>30518</v>
      </c>
      <c r="E551">
        <f t="shared" si="16"/>
        <v>1983</v>
      </c>
      <c r="F551">
        <f t="shared" ca="1" si="17"/>
        <v>43</v>
      </c>
      <c r="G551">
        <f>COUNTIF(BRON!A:A,'schades-leeftijd'!A551)</f>
        <v>1</v>
      </c>
    </row>
    <row r="552" spans="1:7" x14ac:dyDescent="0.25">
      <c r="A552">
        <v>42307</v>
      </c>
      <c r="B552" t="s">
        <v>2027</v>
      </c>
      <c r="C552" t="s">
        <v>1971</v>
      </c>
      <c r="D552" s="3">
        <v>36846</v>
      </c>
      <c r="E552">
        <f t="shared" si="16"/>
        <v>2000</v>
      </c>
      <c r="F552">
        <f t="shared" ca="1" si="17"/>
        <v>26</v>
      </c>
      <c r="G552">
        <f>COUNTIF(BRON!A:A,'schades-leeftijd'!A552)</f>
        <v>3</v>
      </c>
    </row>
    <row r="553" spans="1:7" x14ac:dyDescent="0.25">
      <c r="A553">
        <v>42336</v>
      </c>
      <c r="B553" t="s">
        <v>2207</v>
      </c>
      <c r="C553" t="s">
        <v>2208</v>
      </c>
      <c r="D553" s="3">
        <v>38253</v>
      </c>
      <c r="E553">
        <f t="shared" si="16"/>
        <v>2004</v>
      </c>
      <c r="F553">
        <f t="shared" ca="1" si="17"/>
        <v>22</v>
      </c>
      <c r="G553">
        <f>COUNTIF(BRON!A:A,'schades-leeftijd'!A553)</f>
        <v>1</v>
      </c>
    </row>
    <row r="554" spans="1:7" x14ac:dyDescent="0.25">
      <c r="A554">
        <v>42358</v>
      </c>
      <c r="B554" t="s">
        <v>2209</v>
      </c>
      <c r="C554" t="s">
        <v>2210</v>
      </c>
      <c r="D554" s="3">
        <v>38840</v>
      </c>
      <c r="E554">
        <f t="shared" si="16"/>
        <v>2006</v>
      </c>
      <c r="F554">
        <f t="shared" ca="1" si="17"/>
        <v>20</v>
      </c>
      <c r="G554">
        <f>COUNTIF(BRON!A:A,'schades-leeftijd'!A554)</f>
        <v>0</v>
      </c>
    </row>
    <row r="555" spans="1:7" x14ac:dyDescent="0.25">
      <c r="A555">
        <v>42391</v>
      </c>
      <c r="B555" t="s">
        <v>2211</v>
      </c>
      <c r="C555" t="s">
        <v>1389</v>
      </c>
      <c r="D555" s="3">
        <v>22587</v>
      </c>
      <c r="E555">
        <f t="shared" si="16"/>
        <v>1961</v>
      </c>
      <c r="F555">
        <f t="shared" ca="1" si="17"/>
        <v>65</v>
      </c>
      <c r="G555">
        <f>COUNTIF(BRON!A:A,'schades-leeftijd'!A555)</f>
        <v>0</v>
      </c>
    </row>
    <row r="556" spans="1:7" x14ac:dyDescent="0.25">
      <c r="A556">
        <v>42393</v>
      </c>
      <c r="B556" t="s">
        <v>2212</v>
      </c>
      <c r="C556" t="s">
        <v>1861</v>
      </c>
      <c r="D556" s="3">
        <v>28987</v>
      </c>
      <c r="E556">
        <f t="shared" si="16"/>
        <v>1979</v>
      </c>
      <c r="F556">
        <f t="shared" ca="1" si="17"/>
        <v>47</v>
      </c>
      <c r="G556">
        <f>COUNTIF(BRON!A:A,'schades-leeftijd'!A556)</f>
        <v>1</v>
      </c>
    </row>
    <row r="557" spans="1:7" x14ac:dyDescent="0.25">
      <c r="A557">
        <v>42558</v>
      </c>
      <c r="B557" t="s">
        <v>2213</v>
      </c>
      <c r="C557" t="s">
        <v>2214</v>
      </c>
      <c r="D557" s="3">
        <v>37794</v>
      </c>
      <c r="E557">
        <f t="shared" si="16"/>
        <v>2003</v>
      </c>
      <c r="F557">
        <f t="shared" ca="1" si="17"/>
        <v>23</v>
      </c>
      <c r="G557">
        <f>COUNTIF(BRON!A:A,'schades-leeftijd'!A557)</f>
        <v>0</v>
      </c>
    </row>
    <row r="558" spans="1:7" x14ac:dyDescent="0.25">
      <c r="A558">
        <v>4419</v>
      </c>
      <c r="B558" t="s">
        <v>2215</v>
      </c>
      <c r="C558" t="s">
        <v>2216</v>
      </c>
      <c r="D558" s="3">
        <v>23958</v>
      </c>
      <c r="E558">
        <f t="shared" si="16"/>
        <v>1965</v>
      </c>
      <c r="F558">
        <f t="shared" ca="1" si="17"/>
        <v>61</v>
      </c>
      <c r="G558">
        <f>COUNTIF(BRON!A:A,'schades-leeftijd'!A558)</f>
        <v>4</v>
      </c>
    </row>
    <row r="559" spans="1:7" x14ac:dyDescent="0.25">
      <c r="A559">
        <v>4525</v>
      </c>
      <c r="B559" t="s">
        <v>2217</v>
      </c>
      <c r="C559" t="s">
        <v>1458</v>
      </c>
      <c r="D559" s="3">
        <v>24001</v>
      </c>
      <c r="E559">
        <f t="shared" si="16"/>
        <v>1965</v>
      </c>
      <c r="F559">
        <f t="shared" ca="1" si="17"/>
        <v>61</v>
      </c>
      <c r="G559">
        <f>COUNTIF(BRON!A:A,'schades-leeftijd'!A559)</f>
        <v>0</v>
      </c>
    </row>
    <row r="560" spans="1:7" x14ac:dyDescent="0.25">
      <c r="A560">
        <v>4608</v>
      </c>
      <c r="B560" t="s">
        <v>2218</v>
      </c>
      <c r="C560" t="s">
        <v>1544</v>
      </c>
      <c r="D560" s="3">
        <v>23029</v>
      </c>
      <c r="E560">
        <f t="shared" si="16"/>
        <v>1963</v>
      </c>
      <c r="F560">
        <f t="shared" ca="1" si="17"/>
        <v>63</v>
      </c>
      <c r="G560">
        <f>COUNTIF(BRON!A:A,'schades-leeftijd'!A560)</f>
        <v>1</v>
      </c>
    </row>
    <row r="561" spans="1:7" x14ac:dyDescent="0.25">
      <c r="A561">
        <v>4720</v>
      </c>
      <c r="B561" t="s">
        <v>2086</v>
      </c>
      <c r="C561" t="s">
        <v>2219</v>
      </c>
      <c r="D561" s="3">
        <v>24146</v>
      </c>
      <c r="E561">
        <f t="shared" si="16"/>
        <v>1966</v>
      </c>
      <c r="F561">
        <f t="shared" ca="1" si="17"/>
        <v>60</v>
      </c>
      <c r="G561">
        <f>COUNTIF(BRON!A:A,'schades-leeftijd'!A561)</f>
        <v>1</v>
      </c>
    </row>
    <row r="562" spans="1:7" x14ac:dyDescent="0.25">
      <c r="A562">
        <v>4764</v>
      </c>
      <c r="B562" t="s">
        <v>2220</v>
      </c>
      <c r="C562" t="s">
        <v>1485</v>
      </c>
      <c r="D562" s="3">
        <v>24539</v>
      </c>
      <c r="E562">
        <f t="shared" si="16"/>
        <v>1967</v>
      </c>
      <c r="F562">
        <f t="shared" ca="1" si="17"/>
        <v>59</v>
      </c>
      <c r="G562">
        <f>COUNTIF(BRON!A:A,'schades-leeftijd'!A562)</f>
        <v>0</v>
      </c>
    </row>
    <row r="563" spans="1:7" x14ac:dyDescent="0.25">
      <c r="A563">
        <v>4793</v>
      </c>
      <c r="B563" t="s">
        <v>2221</v>
      </c>
      <c r="C563" t="s">
        <v>1493</v>
      </c>
      <c r="D563" s="3">
        <v>25160</v>
      </c>
      <c r="E563">
        <f t="shared" si="16"/>
        <v>1968</v>
      </c>
      <c r="F563">
        <f t="shared" ca="1" si="17"/>
        <v>58</v>
      </c>
      <c r="G563">
        <f>COUNTIF(BRON!A:A,'schades-leeftijd'!A563)</f>
        <v>0</v>
      </c>
    </row>
    <row r="564" spans="1:7" x14ac:dyDescent="0.25">
      <c r="A564">
        <v>4943</v>
      </c>
      <c r="B564" t="s">
        <v>2222</v>
      </c>
      <c r="C564" t="s">
        <v>2223</v>
      </c>
      <c r="D564" s="3">
        <v>22990</v>
      </c>
      <c r="E564">
        <f t="shared" si="16"/>
        <v>1962</v>
      </c>
      <c r="F564">
        <f t="shared" ca="1" si="17"/>
        <v>64</v>
      </c>
      <c r="G564">
        <f>COUNTIF(BRON!A:A,'schades-leeftijd'!A564)</f>
        <v>0</v>
      </c>
    </row>
    <row r="565" spans="1:7" x14ac:dyDescent="0.25">
      <c r="A565">
        <v>5061</v>
      </c>
      <c r="B565" t="s">
        <v>1456</v>
      </c>
      <c r="C565" t="s">
        <v>1389</v>
      </c>
      <c r="D565" s="3">
        <v>24557</v>
      </c>
      <c r="E565">
        <f t="shared" si="16"/>
        <v>1967</v>
      </c>
      <c r="F565">
        <f t="shared" ca="1" si="17"/>
        <v>59</v>
      </c>
      <c r="G565">
        <f>COUNTIF(BRON!A:A,'schades-leeftijd'!A565)</f>
        <v>0</v>
      </c>
    </row>
    <row r="566" spans="1:7" x14ac:dyDescent="0.25">
      <c r="A566">
        <v>5063</v>
      </c>
      <c r="B566" t="s">
        <v>2224</v>
      </c>
      <c r="C566" t="s">
        <v>1497</v>
      </c>
      <c r="D566" s="3">
        <v>25160</v>
      </c>
      <c r="E566">
        <f t="shared" si="16"/>
        <v>1968</v>
      </c>
      <c r="F566">
        <f t="shared" ca="1" si="17"/>
        <v>58</v>
      </c>
      <c r="G566">
        <f>COUNTIF(BRON!A:A,'schades-leeftijd'!A566)</f>
        <v>1</v>
      </c>
    </row>
    <row r="567" spans="1:7" x14ac:dyDescent="0.25">
      <c r="A567">
        <v>5080</v>
      </c>
      <c r="B567" t="s">
        <v>1839</v>
      </c>
      <c r="C567" t="s">
        <v>2225</v>
      </c>
      <c r="D567" s="3">
        <v>24420</v>
      </c>
      <c r="E567">
        <f t="shared" si="16"/>
        <v>1966</v>
      </c>
      <c r="F567">
        <f t="shared" ca="1" si="17"/>
        <v>60</v>
      </c>
      <c r="G567">
        <f>COUNTIF(BRON!A:A,'schades-leeftijd'!A567)</f>
        <v>0</v>
      </c>
    </row>
    <row r="568" spans="1:7" x14ac:dyDescent="0.25">
      <c r="A568">
        <v>5559</v>
      </c>
      <c r="B568" t="s">
        <v>1775</v>
      </c>
      <c r="C568" t="s">
        <v>1411</v>
      </c>
      <c r="D568" s="3">
        <v>24869</v>
      </c>
      <c r="E568">
        <f t="shared" si="16"/>
        <v>1968</v>
      </c>
      <c r="F568">
        <f t="shared" ca="1" si="17"/>
        <v>58</v>
      </c>
      <c r="G568">
        <f>COUNTIF(BRON!A:A,'schades-leeftijd'!A568)</f>
        <v>2</v>
      </c>
    </row>
    <row r="569" spans="1:7" x14ac:dyDescent="0.25">
      <c r="A569">
        <v>5599</v>
      </c>
      <c r="B569" t="s">
        <v>2226</v>
      </c>
      <c r="C569" t="s">
        <v>2160</v>
      </c>
      <c r="D569" s="3">
        <v>24551</v>
      </c>
      <c r="E569">
        <f t="shared" si="16"/>
        <v>1967</v>
      </c>
      <c r="F569">
        <f t="shared" ca="1" si="17"/>
        <v>59</v>
      </c>
      <c r="G569">
        <f>COUNTIF(BRON!A:A,'schades-leeftijd'!A569)</f>
        <v>1</v>
      </c>
    </row>
    <row r="570" spans="1:7" x14ac:dyDescent="0.25">
      <c r="A570">
        <v>5718</v>
      </c>
      <c r="B570" t="s">
        <v>1641</v>
      </c>
      <c r="C570" t="s">
        <v>2227</v>
      </c>
      <c r="D570" s="3">
        <v>25098</v>
      </c>
      <c r="E570">
        <f t="shared" si="16"/>
        <v>1968</v>
      </c>
      <c r="F570">
        <f t="shared" ca="1" si="17"/>
        <v>58</v>
      </c>
      <c r="G570">
        <f>COUNTIF(BRON!A:A,'schades-leeftijd'!A570)</f>
        <v>2</v>
      </c>
    </row>
    <row r="571" spans="1:7" x14ac:dyDescent="0.25">
      <c r="A571">
        <v>5813</v>
      </c>
      <c r="B571" t="s">
        <v>2228</v>
      </c>
      <c r="C571" t="s">
        <v>1372</v>
      </c>
      <c r="D571" s="3">
        <v>24961</v>
      </c>
      <c r="E571">
        <f t="shared" si="16"/>
        <v>1968</v>
      </c>
      <c r="F571">
        <f t="shared" ca="1" si="17"/>
        <v>58</v>
      </c>
      <c r="G571">
        <f>COUNTIF(BRON!A:A,'schades-leeftijd'!A571)</f>
        <v>1</v>
      </c>
    </row>
    <row r="572" spans="1:7" x14ac:dyDescent="0.25">
      <c r="A572">
        <v>6049</v>
      </c>
      <c r="B572" t="s">
        <v>2229</v>
      </c>
      <c r="C572" t="s">
        <v>2230</v>
      </c>
      <c r="D572" s="3">
        <v>23942</v>
      </c>
      <c r="E572">
        <f t="shared" si="16"/>
        <v>1965</v>
      </c>
      <c r="F572">
        <f t="shared" ca="1" si="17"/>
        <v>61</v>
      </c>
      <c r="G572">
        <f>COUNTIF(BRON!A:A,'schades-leeftijd'!A572)</f>
        <v>0</v>
      </c>
    </row>
    <row r="573" spans="1:7" x14ac:dyDescent="0.25">
      <c r="A573">
        <v>6067</v>
      </c>
      <c r="B573" t="s">
        <v>2231</v>
      </c>
      <c r="C573" t="s">
        <v>2232</v>
      </c>
      <c r="D573" s="3">
        <v>25610</v>
      </c>
      <c r="E573">
        <f t="shared" si="16"/>
        <v>1970</v>
      </c>
      <c r="F573">
        <f t="shared" ca="1" si="17"/>
        <v>56</v>
      </c>
      <c r="G573">
        <f>COUNTIF(BRON!A:A,'schades-leeftijd'!A573)</f>
        <v>0</v>
      </c>
    </row>
    <row r="574" spans="1:7" x14ac:dyDescent="0.25">
      <c r="A574">
        <v>6092</v>
      </c>
      <c r="B574" t="s">
        <v>2233</v>
      </c>
      <c r="C574" t="s">
        <v>1347</v>
      </c>
      <c r="D574" s="3">
        <v>23986</v>
      </c>
      <c r="E574">
        <f t="shared" si="16"/>
        <v>1965</v>
      </c>
      <c r="F574">
        <f t="shared" ca="1" si="17"/>
        <v>61</v>
      </c>
      <c r="G574">
        <f>COUNTIF(BRON!A:A,'schades-leeftijd'!A574)</f>
        <v>0</v>
      </c>
    </row>
    <row r="575" spans="1:7" x14ac:dyDescent="0.25">
      <c r="A575">
        <v>6229</v>
      </c>
      <c r="B575" t="s">
        <v>1127</v>
      </c>
      <c r="C575" t="s">
        <v>2234</v>
      </c>
      <c r="D575" s="3">
        <v>20773</v>
      </c>
      <c r="E575">
        <f t="shared" si="16"/>
        <v>1956</v>
      </c>
      <c r="F575">
        <f t="shared" ca="1" si="17"/>
        <v>70</v>
      </c>
      <c r="G575">
        <f>COUNTIF(BRON!A:A,'schades-leeftijd'!A575)</f>
        <v>1</v>
      </c>
    </row>
    <row r="576" spans="1:7" x14ac:dyDescent="0.25">
      <c r="A576">
        <v>6309</v>
      </c>
      <c r="B576" t="s">
        <v>2235</v>
      </c>
      <c r="C576" t="s">
        <v>1385</v>
      </c>
      <c r="D576" s="3">
        <v>26147</v>
      </c>
      <c r="E576">
        <f t="shared" si="16"/>
        <v>1971</v>
      </c>
      <c r="F576">
        <f t="shared" ca="1" si="17"/>
        <v>55</v>
      </c>
      <c r="G576">
        <f>COUNTIF(BRON!A:A,'schades-leeftijd'!A576)</f>
        <v>0</v>
      </c>
    </row>
    <row r="577" spans="1:7" x14ac:dyDescent="0.25">
      <c r="A577">
        <v>7422</v>
      </c>
      <c r="B577" t="s">
        <v>1671</v>
      </c>
      <c r="C577" t="s">
        <v>1401</v>
      </c>
      <c r="D577" s="3">
        <v>26956</v>
      </c>
      <c r="E577">
        <f t="shared" si="16"/>
        <v>1973</v>
      </c>
      <c r="F577">
        <f t="shared" ca="1" si="17"/>
        <v>53</v>
      </c>
      <c r="G577">
        <f>COUNTIF(BRON!A:A,'schades-leeftijd'!A577)</f>
        <v>0</v>
      </c>
    </row>
    <row r="578" spans="1:7" x14ac:dyDescent="0.25">
      <c r="A578">
        <v>7746</v>
      </c>
      <c r="B578" t="s">
        <v>1604</v>
      </c>
      <c r="C578" t="s">
        <v>2236</v>
      </c>
      <c r="D578" s="3">
        <v>23497</v>
      </c>
      <c r="E578">
        <f t="shared" si="16"/>
        <v>1964</v>
      </c>
      <c r="F578">
        <f t="shared" ca="1" si="17"/>
        <v>62</v>
      </c>
      <c r="G578">
        <f>COUNTIF(BRON!A:A,'schades-leeftijd'!A578)</f>
        <v>1</v>
      </c>
    </row>
    <row r="579" spans="1:7" x14ac:dyDescent="0.25">
      <c r="A579">
        <v>7748</v>
      </c>
      <c r="B579" t="s">
        <v>2237</v>
      </c>
      <c r="C579" t="s">
        <v>2238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57</v>
      </c>
      <c r="G579">
        <f>COUNTIF(BRON!A:A,'schades-leeftijd'!A579)</f>
        <v>0</v>
      </c>
    </row>
    <row r="580" spans="1:7" x14ac:dyDescent="0.25">
      <c r="A580">
        <v>8016</v>
      </c>
      <c r="B580" t="s">
        <v>2239</v>
      </c>
      <c r="C580" t="s">
        <v>1596</v>
      </c>
      <c r="D580" s="3">
        <v>24555</v>
      </c>
      <c r="E580">
        <f t="shared" si="18"/>
        <v>1967</v>
      </c>
      <c r="F580">
        <f t="shared" ca="1" si="19"/>
        <v>59</v>
      </c>
      <c r="G580">
        <f>COUNTIF(BRON!A:A,'schades-leeftijd'!A580)</f>
        <v>2</v>
      </c>
    </row>
    <row r="581" spans="1:7" x14ac:dyDescent="0.25">
      <c r="A581">
        <v>8196</v>
      </c>
      <c r="B581" t="s">
        <v>2240</v>
      </c>
      <c r="C581" t="s">
        <v>1329</v>
      </c>
      <c r="D581" s="3">
        <v>25922</v>
      </c>
      <c r="E581">
        <f t="shared" si="18"/>
        <v>1970</v>
      </c>
      <c r="F581">
        <f t="shared" ca="1" si="19"/>
        <v>56</v>
      </c>
      <c r="G581">
        <f>COUNTIF(BRON!A:A,'schades-leeftijd'!A581)</f>
        <v>0</v>
      </c>
    </row>
    <row r="582" spans="1:7" x14ac:dyDescent="0.25">
      <c r="A582">
        <v>8391</v>
      </c>
      <c r="B582" t="s">
        <v>2241</v>
      </c>
      <c r="C582" t="s">
        <v>2242</v>
      </c>
      <c r="D582" s="3">
        <v>25627</v>
      </c>
      <c r="E582">
        <f t="shared" si="18"/>
        <v>1970</v>
      </c>
      <c r="F582">
        <f t="shared" ca="1" si="19"/>
        <v>56</v>
      </c>
      <c r="G582">
        <f>COUNTIF(BRON!A:A,'schades-leeftijd'!A582)</f>
        <v>1</v>
      </c>
    </row>
    <row r="583" spans="1:7" x14ac:dyDescent="0.25">
      <c r="A583">
        <v>8393</v>
      </c>
      <c r="B583" t="s">
        <v>2243</v>
      </c>
      <c r="C583" t="s">
        <v>1493</v>
      </c>
      <c r="D583" s="3">
        <v>26380</v>
      </c>
      <c r="E583">
        <f t="shared" si="18"/>
        <v>1972</v>
      </c>
      <c r="F583">
        <f t="shared" ca="1" si="19"/>
        <v>54</v>
      </c>
      <c r="G583">
        <f>COUNTIF(BRON!A:A,'schades-leeftijd'!A583)</f>
        <v>0</v>
      </c>
    </row>
    <row r="584" spans="1:7" x14ac:dyDescent="0.25">
      <c r="A584">
        <v>8394</v>
      </c>
      <c r="B584" t="s">
        <v>2244</v>
      </c>
      <c r="C584" t="s">
        <v>2234</v>
      </c>
      <c r="D584" s="3">
        <v>26996</v>
      </c>
      <c r="E584">
        <f t="shared" si="18"/>
        <v>1973</v>
      </c>
      <c r="F584">
        <f t="shared" ca="1" si="19"/>
        <v>53</v>
      </c>
      <c r="G584">
        <f>COUNTIF(BRON!A:A,'schades-leeftijd'!A584)</f>
        <v>4</v>
      </c>
    </row>
    <row r="585" spans="1:7" x14ac:dyDescent="0.25">
      <c r="A585">
        <v>8708</v>
      </c>
      <c r="B585" t="s">
        <v>2245</v>
      </c>
      <c r="C585" t="s">
        <v>1426</v>
      </c>
      <c r="D585" s="3">
        <v>27571</v>
      </c>
      <c r="E585">
        <f t="shared" si="18"/>
        <v>1975</v>
      </c>
      <c r="F585">
        <f t="shared" ca="1" si="19"/>
        <v>51</v>
      </c>
      <c r="G585">
        <f>COUNTIF(BRON!A:A,'schades-leeftijd'!A585)</f>
        <v>1</v>
      </c>
    </row>
    <row r="586" spans="1:7" x14ac:dyDescent="0.25">
      <c r="A586">
        <v>8792</v>
      </c>
      <c r="B586" t="s">
        <v>1425</v>
      </c>
      <c r="C586" t="s">
        <v>2246</v>
      </c>
      <c r="D586" s="3">
        <v>27910</v>
      </c>
      <c r="E586">
        <f t="shared" si="18"/>
        <v>1976</v>
      </c>
      <c r="F586">
        <f t="shared" ca="1" si="19"/>
        <v>50</v>
      </c>
      <c r="G586">
        <f>COUNTIF(BRON!A:A,'schades-leeftijd'!A586)</f>
        <v>0</v>
      </c>
    </row>
    <row r="587" spans="1:7" x14ac:dyDescent="0.25">
      <c r="A587">
        <v>8918</v>
      </c>
      <c r="B587" t="s">
        <v>2247</v>
      </c>
      <c r="C587" t="s">
        <v>1511</v>
      </c>
      <c r="D587" s="3">
        <v>23172</v>
      </c>
      <c r="E587">
        <f t="shared" si="18"/>
        <v>1963</v>
      </c>
      <c r="F587">
        <f t="shared" ca="1" si="19"/>
        <v>63</v>
      </c>
      <c r="G587">
        <f>COUNTIF(BRON!A:A,'schades-leeftijd'!A587)</f>
        <v>1</v>
      </c>
    </row>
    <row r="588" spans="1:7" x14ac:dyDescent="0.25">
      <c r="A588">
        <v>9062</v>
      </c>
      <c r="B588" t="s">
        <v>2248</v>
      </c>
      <c r="C588" t="s">
        <v>1430</v>
      </c>
      <c r="D588" s="3">
        <v>26633</v>
      </c>
      <c r="E588">
        <f t="shared" si="18"/>
        <v>1972</v>
      </c>
      <c r="F588">
        <f t="shared" ca="1" si="19"/>
        <v>54</v>
      </c>
      <c r="G588">
        <f>COUNTIF(BRON!A:A,'schades-leeftijd'!A588)</f>
        <v>1</v>
      </c>
    </row>
    <row r="589" spans="1:7" x14ac:dyDescent="0.25">
      <c r="A589">
        <v>9065</v>
      </c>
      <c r="B589" t="s">
        <v>2249</v>
      </c>
      <c r="C589" t="s">
        <v>1505</v>
      </c>
      <c r="D589" s="3">
        <v>24694</v>
      </c>
      <c r="E589">
        <f t="shared" si="18"/>
        <v>1967</v>
      </c>
      <c r="F589">
        <f t="shared" ca="1" si="19"/>
        <v>59</v>
      </c>
      <c r="G589">
        <f>COUNTIF(BRON!A:A,'schades-leeftijd'!A589)</f>
        <v>1</v>
      </c>
    </row>
    <row r="590" spans="1:7" x14ac:dyDescent="0.25">
      <c r="A590">
        <v>9158</v>
      </c>
      <c r="B590" t="s">
        <v>805</v>
      </c>
      <c r="C590" t="s">
        <v>1367</v>
      </c>
      <c r="D590" s="3">
        <v>26119</v>
      </c>
      <c r="E590">
        <f t="shared" si="18"/>
        <v>1971</v>
      </c>
      <c r="F590">
        <f t="shared" ca="1" si="19"/>
        <v>55</v>
      </c>
      <c r="G590">
        <f>COUNTIF(BRON!A:A,'schades-leeftijd'!A590)</f>
        <v>1</v>
      </c>
    </row>
    <row r="591" spans="1:7" x14ac:dyDescent="0.25">
      <c r="A591">
        <v>9667</v>
      </c>
      <c r="B591" t="s">
        <v>2250</v>
      </c>
      <c r="C591" t="s">
        <v>2251</v>
      </c>
      <c r="D591" s="3">
        <v>26311</v>
      </c>
      <c r="E591">
        <f t="shared" si="18"/>
        <v>1972</v>
      </c>
      <c r="F591">
        <f t="shared" ca="1" si="19"/>
        <v>54</v>
      </c>
      <c r="G591">
        <f>COUNTIF(BRON!A:A,'schades-leeftijd'!A591)</f>
        <v>0</v>
      </c>
    </row>
    <row r="592" spans="1:7" x14ac:dyDescent="0.25">
      <c r="A592">
        <v>9824</v>
      </c>
      <c r="B592" t="s">
        <v>1878</v>
      </c>
      <c r="C592" t="s">
        <v>1800</v>
      </c>
      <c r="D592" s="3">
        <v>23784</v>
      </c>
      <c r="E592">
        <f t="shared" si="18"/>
        <v>1965</v>
      </c>
      <c r="F592">
        <f t="shared" ca="1" si="19"/>
        <v>61</v>
      </c>
      <c r="G592">
        <f>COUNTIF(BRON!A:A,'schades-leeftijd'!A592)</f>
        <v>1</v>
      </c>
    </row>
    <row r="593" spans="1:7" x14ac:dyDescent="0.25">
      <c r="A593">
        <v>9979</v>
      </c>
      <c r="B593" t="s">
        <v>2252</v>
      </c>
      <c r="C593" t="s">
        <v>1329</v>
      </c>
      <c r="D593" s="3">
        <v>28053</v>
      </c>
      <c r="E593">
        <f t="shared" si="18"/>
        <v>1976</v>
      </c>
      <c r="F593">
        <f t="shared" ca="1" si="19"/>
        <v>50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G1" zoomScale="90" zoomScaleNormal="90" workbookViewId="0">
      <selection activeCell="K11" sqref="K11"/>
    </sheetView>
  </sheetViews>
  <sheetFormatPr defaultRowHeight="15" x14ac:dyDescent="0.25"/>
  <cols>
    <col min="1" max="1" width="28" style="18" customWidth="1"/>
    <col min="2" max="3" width="14" style="18" customWidth="1"/>
    <col min="4" max="4" width="28" style="18" customWidth="1"/>
    <col min="5" max="5" width="18.7109375" style="18" bestFit="1" customWidth="1"/>
    <col min="6" max="6" width="16.28515625" style="3" bestFit="1" customWidth="1"/>
    <col min="7" max="7" width="16.28515625" style="20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2253</v>
      </c>
      <c r="B1" t="s">
        <v>2254</v>
      </c>
      <c r="C1" t="s">
        <v>2255</v>
      </c>
      <c r="D1" t="s">
        <v>2256</v>
      </c>
      <c r="E1" t="s">
        <v>2257</v>
      </c>
      <c r="F1" s="3" t="s">
        <v>2258</v>
      </c>
      <c r="G1" s="20" t="s">
        <v>2259</v>
      </c>
      <c r="H1" t="s">
        <v>1324</v>
      </c>
    </row>
    <row r="2" spans="1:11" x14ac:dyDescent="0.25">
      <c r="A2" s="18" t="s">
        <v>2260</v>
      </c>
      <c r="B2" s="18" t="s">
        <v>1511</v>
      </c>
      <c r="C2" s="18" t="s">
        <v>1456</v>
      </c>
      <c r="D2">
        <v>3926</v>
      </c>
      <c r="E2" s="18" t="s">
        <v>2261</v>
      </c>
      <c r="F2" s="3">
        <v>29885.041666666701</v>
      </c>
      <c r="G2" s="20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18" t="s">
        <v>2262</v>
      </c>
      <c r="B3" s="18" t="s">
        <v>2216</v>
      </c>
      <c r="C3" s="18" t="s">
        <v>2215</v>
      </c>
      <c r="D3">
        <v>4419</v>
      </c>
      <c r="E3" s="18" t="s">
        <v>2263</v>
      </c>
      <c r="F3" s="3">
        <v>32223.041666666701</v>
      </c>
      <c r="G3" s="20">
        <f t="shared" ca="1" si="0"/>
        <v>37</v>
      </c>
      <c r="H3">
        <f>COUNTIF(BRON!A:A,Tabel6[[#This Row],[Personeelsnummer]])</f>
        <v>4</v>
      </c>
      <c r="J3" s="1" t="s">
        <v>0</v>
      </c>
      <c r="K3" t="s">
        <v>1327</v>
      </c>
    </row>
    <row r="4" spans="1:11" x14ac:dyDescent="0.25">
      <c r="A4" s="18" t="s">
        <v>2264</v>
      </c>
      <c r="B4" s="18" t="s">
        <v>1458</v>
      </c>
      <c r="C4" s="18" t="s">
        <v>2217</v>
      </c>
      <c r="D4">
        <v>4525</v>
      </c>
      <c r="E4" s="18" t="s">
        <v>2265</v>
      </c>
      <c r="F4" s="3">
        <v>32489.041666666701</v>
      </c>
      <c r="G4" s="20">
        <f t="shared" ca="1" si="0"/>
        <v>37</v>
      </c>
      <c r="H4">
        <f>COUNTIF(BRON!A:A,Tabel6[[#This Row],[Personeelsnummer]])</f>
        <v>0</v>
      </c>
      <c r="J4" s="21" t="s">
        <v>2266</v>
      </c>
      <c r="K4" s="19">
        <v>2.07421875</v>
      </c>
    </row>
    <row r="5" spans="1:11" x14ac:dyDescent="0.25">
      <c r="A5" s="18" t="s">
        <v>2267</v>
      </c>
      <c r="B5" s="18" t="s">
        <v>1544</v>
      </c>
      <c r="C5" s="18" t="s">
        <v>2218</v>
      </c>
      <c r="D5">
        <v>4608</v>
      </c>
      <c r="E5" s="18" t="s">
        <v>2263</v>
      </c>
      <c r="F5" s="3">
        <v>32644.083333333299</v>
      </c>
      <c r="G5" s="20">
        <f t="shared" ca="1" si="0"/>
        <v>36</v>
      </c>
      <c r="H5">
        <f>COUNTIF(BRON!A:A,Tabel6[[#This Row],[Personeelsnummer]])</f>
        <v>1</v>
      </c>
      <c r="J5" s="21" t="s">
        <v>2268</v>
      </c>
      <c r="K5" s="19">
        <v>1.5473684210526315</v>
      </c>
    </row>
    <row r="6" spans="1:11" x14ac:dyDescent="0.25">
      <c r="A6" s="18" t="s">
        <v>2269</v>
      </c>
      <c r="B6" s="18" t="s">
        <v>2219</v>
      </c>
      <c r="C6" s="18" t="s">
        <v>2086</v>
      </c>
      <c r="D6">
        <v>4720</v>
      </c>
      <c r="E6" s="18" t="s">
        <v>2270</v>
      </c>
      <c r="F6" s="3">
        <v>32797.083333333299</v>
      </c>
      <c r="G6" s="20">
        <f t="shared" ca="1" si="0"/>
        <v>36</v>
      </c>
      <c r="H6">
        <f>COUNTIF(BRON!A:A,Tabel6[[#This Row],[Personeelsnummer]])</f>
        <v>1</v>
      </c>
      <c r="J6" s="21" t="s">
        <v>2271</v>
      </c>
      <c r="K6" s="19">
        <v>1.0597014925373134</v>
      </c>
    </row>
    <row r="7" spans="1:11" x14ac:dyDescent="0.25">
      <c r="A7" s="18" t="s">
        <v>2272</v>
      </c>
      <c r="B7" s="18" t="s">
        <v>1485</v>
      </c>
      <c r="C7" s="18" t="s">
        <v>2220</v>
      </c>
      <c r="D7">
        <v>4764</v>
      </c>
      <c r="E7" s="18" t="s">
        <v>2261</v>
      </c>
      <c r="F7" s="3">
        <v>32924.041666666701</v>
      </c>
      <c r="G7" s="20">
        <f t="shared" ca="1" si="0"/>
        <v>35</v>
      </c>
      <c r="H7">
        <f>COUNTIF(BRON!A:A,Tabel6[[#This Row],[Personeelsnummer]])</f>
        <v>0</v>
      </c>
      <c r="J7" s="21" t="s">
        <v>2273</v>
      </c>
      <c r="K7" s="19">
        <v>0.9213483146067416</v>
      </c>
    </row>
    <row r="8" spans="1:11" x14ac:dyDescent="0.25">
      <c r="A8" s="18" t="s">
        <v>2274</v>
      </c>
      <c r="B8" s="18" t="s">
        <v>1493</v>
      </c>
      <c r="C8" s="18" t="s">
        <v>2221</v>
      </c>
      <c r="D8">
        <v>4793</v>
      </c>
      <c r="E8" s="18" t="s">
        <v>2263</v>
      </c>
      <c r="F8" s="3">
        <v>32951.041666666701</v>
      </c>
      <c r="G8" s="20">
        <f t="shared" ca="1" si="0"/>
        <v>35</v>
      </c>
      <c r="H8">
        <f>COUNTIF(BRON!A:A,Tabel6[[#This Row],[Personeelsnummer]])</f>
        <v>0</v>
      </c>
      <c r="J8" s="21" t="s">
        <v>2275</v>
      </c>
      <c r="K8" s="19">
        <v>0.98113207547169812</v>
      </c>
    </row>
    <row r="9" spans="1:11" x14ac:dyDescent="0.25">
      <c r="A9" s="18" t="s">
        <v>2276</v>
      </c>
      <c r="B9" s="18" t="s">
        <v>2223</v>
      </c>
      <c r="C9" s="18" t="s">
        <v>2222</v>
      </c>
      <c r="D9">
        <v>4943</v>
      </c>
      <c r="E9" s="18" t="s">
        <v>2277</v>
      </c>
      <c r="F9" s="3">
        <v>33098.083333333299</v>
      </c>
      <c r="G9" s="20">
        <f t="shared" ca="1" si="0"/>
        <v>35</v>
      </c>
      <c r="H9">
        <f>COUNTIF(BRON!A:A,Tabel6[[#This Row],[Personeelsnummer]])</f>
        <v>0</v>
      </c>
      <c r="J9" s="21" t="s">
        <v>2278</v>
      </c>
      <c r="K9" s="19">
        <v>1.2</v>
      </c>
    </row>
    <row r="10" spans="1:11" x14ac:dyDescent="0.25">
      <c r="A10" s="18" t="s">
        <v>2279</v>
      </c>
      <c r="B10" s="18" t="s">
        <v>1389</v>
      </c>
      <c r="C10" s="18" t="s">
        <v>1456</v>
      </c>
      <c r="D10">
        <v>5061</v>
      </c>
      <c r="E10" s="18" t="s">
        <v>2265</v>
      </c>
      <c r="F10" s="3">
        <v>33287.041666666701</v>
      </c>
      <c r="G10" s="20">
        <f t="shared" ca="1" si="0"/>
        <v>34</v>
      </c>
      <c r="H10">
        <f>COUNTIF(BRON!A:A,Tabel6[[#This Row],[Personeelsnummer]])</f>
        <v>0</v>
      </c>
      <c r="J10" s="21" t="s">
        <v>2280</v>
      </c>
      <c r="K10" s="19">
        <v>0.6875</v>
      </c>
    </row>
    <row r="11" spans="1:11" x14ac:dyDescent="0.25">
      <c r="A11" s="18" t="s">
        <v>2281</v>
      </c>
      <c r="B11" s="18" t="s">
        <v>1497</v>
      </c>
      <c r="C11" s="18" t="s">
        <v>2224</v>
      </c>
      <c r="D11">
        <v>5063</v>
      </c>
      <c r="E11" s="18" t="s">
        <v>2263</v>
      </c>
      <c r="F11" s="3">
        <v>33287.041666666701</v>
      </c>
      <c r="G11" s="20">
        <f t="shared" ca="1" si="0"/>
        <v>34</v>
      </c>
      <c r="H11">
        <f>COUNTIF(BRON!A:A,Tabel6[[#This Row],[Personeelsnummer]])</f>
        <v>1</v>
      </c>
      <c r="J11" s="21" t="s">
        <v>2282</v>
      </c>
      <c r="K11" s="19">
        <v>0.8571428571428571</v>
      </c>
    </row>
    <row r="12" spans="1:11" x14ac:dyDescent="0.25">
      <c r="A12" s="18" t="s">
        <v>2283</v>
      </c>
      <c r="B12" s="18" t="s">
        <v>2225</v>
      </c>
      <c r="C12" s="18" t="s">
        <v>1839</v>
      </c>
      <c r="D12">
        <v>5080</v>
      </c>
      <c r="E12" s="18" t="s">
        <v>2270</v>
      </c>
      <c r="F12" s="3">
        <v>33308.041666666701</v>
      </c>
      <c r="G12" s="20">
        <f t="shared" ca="1" si="0"/>
        <v>34</v>
      </c>
      <c r="H12">
        <f>COUNTIF(BRON!A:A,Tabel6[[#This Row],[Personeelsnummer]])</f>
        <v>0</v>
      </c>
      <c r="J12" s="21" t="s">
        <v>2284</v>
      </c>
      <c r="K12" s="19">
        <v>0</v>
      </c>
    </row>
    <row r="13" spans="1:11" x14ac:dyDescent="0.25">
      <c r="A13" s="18" t="s">
        <v>2285</v>
      </c>
      <c r="B13" s="18" t="s">
        <v>1411</v>
      </c>
      <c r="C13" s="18" t="s">
        <v>1775</v>
      </c>
      <c r="D13">
        <v>5559</v>
      </c>
      <c r="E13" s="18" t="s">
        <v>2286</v>
      </c>
      <c r="F13" s="3">
        <v>33546.041666666701</v>
      </c>
      <c r="G13" s="20">
        <f t="shared" ca="1" si="0"/>
        <v>34</v>
      </c>
      <c r="H13">
        <f>COUNTIF(BRON!A:A,Tabel6[[#This Row],[Personeelsnummer]])</f>
        <v>2</v>
      </c>
      <c r="J13" s="21" t="s">
        <v>6</v>
      </c>
      <c r="K13">
        <v>1.5244299674267101</v>
      </c>
    </row>
    <row r="14" spans="1:11" x14ac:dyDescent="0.25">
      <c r="A14" s="18" t="s">
        <v>2287</v>
      </c>
      <c r="B14" s="18" t="s">
        <v>2160</v>
      </c>
      <c r="C14" s="18" t="s">
        <v>2226</v>
      </c>
      <c r="D14">
        <v>5599</v>
      </c>
      <c r="E14" s="18" t="s">
        <v>2286</v>
      </c>
      <c r="F14" s="3">
        <v>33609.041666666701</v>
      </c>
      <c r="G14" s="20">
        <f t="shared" ca="1" si="0"/>
        <v>34</v>
      </c>
      <c r="H14">
        <f>COUNTIF(BRON!A:A,Tabel6[[#This Row],[Personeelsnummer]])</f>
        <v>1</v>
      </c>
    </row>
    <row r="15" spans="1:11" x14ac:dyDescent="0.25">
      <c r="A15" s="18" t="s">
        <v>2288</v>
      </c>
      <c r="B15" s="18" t="s">
        <v>2227</v>
      </c>
      <c r="C15" s="18" t="s">
        <v>1641</v>
      </c>
      <c r="D15">
        <v>5718</v>
      </c>
      <c r="E15" s="18" t="s">
        <v>2265</v>
      </c>
      <c r="F15" s="3">
        <v>33707.083333333299</v>
      </c>
      <c r="G15" s="20">
        <f t="shared" ca="1" si="0"/>
        <v>33</v>
      </c>
      <c r="H15">
        <f>COUNTIF(BRON!A:A,Tabel6[[#This Row],[Personeelsnummer]])</f>
        <v>2</v>
      </c>
    </row>
    <row r="16" spans="1:11" x14ac:dyDescent="0.25">
      <c r="A16" s="18" t="s">
        <v>2289</v>
      </c>
      <c r="B16" s="18" t="s">
        <v>1372</v>
      </c>
      <c r="C16" s="18" t="s">
        <v>2228</v>
      </c>
      <c r="D16">
        <v>5813</v>
      </c>
      <c r="E16" s="18" t="s">
        <v>2263</v>
      </c>
      <c r="F16" s="3">
        <v>33742.083333333299</v>
      </c>
      <c r="G16" s="20">
        <f t="shared" ca="1" si="0"/>
        <v>33</v>
      </c>
      <c r="H16">
        <f>COUNTIF(BRON!A:A,Tabel6[[#This Row],[Personeelsnummer]])</f>
        <v>1</v>
      </c>
    </row>
    <row r="17" spans="1:8" x14ac:dyDescent="0.25">
      <c r="A17" s="18" t="s">
        <v>2290</v>
      </c>
      <c r="B17" s="18" t="s">
        <v>2230</v>
      </c>
      <c r="C17" s="18" t="s">
        <v>2229</v>
      </c>
      <c r="D17">
        <v>6049</v>
      </c>
      <c r="E17" s="18" t="s">
        <v>2263</v>
      </c>
      <c r="F17" s="3">
        <v>33819.083333333299</v>
      </c>
      <c r="G17" s="20">
        <f t="shared" ca="1" si="0"/>
        <v>33</v>
      </c>
      <c r="H17">
        <f>COUNTIF(BRON!A:A,Tabel6[[#This Row],[Personeelsnummer]])</f>
        <v>0</v>
      </c>
    </row>
    <row r="18" spans="1:8" x14ac:dyDescent="0.25">
      <c r="A18" s="18" t="s">
        <v>2291</v>
      </c>
      <c r="B18" s="18" t="s">
        <v>2232</v>
      </c>
      <c r="C18" s="18" t="s">
        <v>2231</v>
      </c>
      <c r="D18">
        <v>6067</v>
      </c>
      <c r="E18" s="18" t="s">
        <v>2263</v>
      </c>
      <c r="F18" s="3">
        <v>33848.083333333299</v>
      </c>
      <c r="G18" s="20">
        <f t="shared" ca="1" si="0"/>
        <v>33</v>
      </c>
      <c r="H18">
        <f>COUNTIF(BRON!A:A,Tabel6[[#This Row],[Personeelsnummer]])</f>
        <v>0</v>
      </c>
    </row>
    <row r="19" spans="1:8" x14ac:dyDescent="0.25">
      <c r="A19" s="18" t="s">
        <v>2292</v>
      </c>
      <c r="B19" s="18" t="s">
        <v>1347</v>
      </c>
      <c r="C19" s="18" t="s">
        <v>2233</v>
      </c>
      <c r="D19">
        <v>6092</v>
      </c>
      <c r="E19" s="18" t="s">
        <v>2286</v>
      </c>
      <c r="F19" s="3">
        <v>33868.083333333299</v>
      </c>
      <c r="G19" s="20">
        <f t="shared" ca="1" si="0"/>
        <v>33</v>
      </c>
      <c r="H19">
        <f>COUNTIF(BRON!A:A,Tabel6[[#This Row],[Personeelsnummer]])</f>
        <v>0</v>
      </c>
    </row>
    <row r="20" spans="1:8" x14ac:dyDescent="0.25">
      <c r="A20" s="18" t="s">
        <v>2293</v>
      </c>
      <c r="B20" s="18" t="s">
        <v>2234</v>
      </c>
      <c r="C20" s="18" t="s">
        <v>1127</v>
      </c>
      <c r="D20">
        <v>6229</v>
      </c>
      <c r="E20" s="18" t="s">
        <v>2270</v>
      </c>
      <c r="F20" s="3">
        <v>34008.041666666701</v>
      </c>
      <c r="G20" s="20">
        <f t="shared" ca="1" si="0"/>
        <v>32</v>
      </c>
      <c r="H20">
        <f>COUNTIF(BRON!A:A,Tabel6[[#This Row],[Personeelsnummer]])</f>
        <v>1</v>
      </c>
    </row>
    <row r="21" spans="1:8" x14ac:dyDescent="0.25">
      <c r="A21" s="18" t="s">
        <v>2294</v>
      </c>
      <c r="B21" s="18" t="s">
        <v>1385</v>
      </c>
      <c r="C21" s="18" t="s">
        <v>2235</v>
      </c>
      <c r="D21">
        <v>6309</v>
      </c>
      <c r="E21" s="18" t="s">
        <v>2265</v>
      </c>
      <c r="F21" s="3">
        <v>34078.083333333299</v>
      </c>
      <c r="G21" s="20">
        <f t="shared" ca="1" si="0"/>
        <v>32</v>
      </c>
      <c r="H21">
        <f>COUNTIF(BRON!A:A,Tabel6[[#This Row],[Personeelsnummer]])</f>
        <v>0</v>
      </c>
    </row>
    <row r="22" spans="1:8" x14ac:dyDescent="0.25">
      <c r="A22" s="18" t="s">
        <v>2295</v>
      </c>
      <c r="B22" s="18" t="s">
        <v>1401</v>
      </c>
      <c r="C22" s="18" t="s">
        <v>1671</v>
      </c>
      <c r="D22">
        <v>7422</v>
      </c>
      <c r="E22" s="18" t="s">
        <v>2261</v>
      </c>
      <c r="F22" s="3">
        <v>34834.083333333299</v>
      </c>
      <c r="G22" s="20">
        <f t="shared" ca="1" si="0"/>
        <v>30</v>
      </c>
      <c r="H22">
        <f>COUNTIF(BRON!A:A,Tabel6[[#This Row],[Personeelsnummer]])</f>
        <v>0</v>
      </c>
    </row>
    <row r="23" spans="1:8" x14ac:dyDescent="0.25">
      <c r="A23" s="18" t="s">
        <v>2296</v>
      </c>
      <c r="B23" s="18" t="s">
        <v>2236</v>
      </c>
      <c r="C23" s="18" t="s">
        <v>1604</v>
      </c>
      <c r="D23">
        <v>7746</v>
      </c>
      <c r="E23" s="18" t="s">
        <v>2297</v>
      </c>
      <c r="F23" s="3">
        <v>34932.083333333299</v>
      </c>
      <c r="G23" s="20">
        <f t="shared" ca="1" si="0"/>
        <v>30</v>
      </c>
      <c r="H23">
        <f>COUNTIF(BRON!A:A,Tabel6[[#This Row],[Personeelsnummer]])</f>
        <v>1</v>
      </c>
    </row>
    <row r="24" spans="1:8" x14ac:dyDescent="0.25">
      <c r="A24" s="18" t="s">
        <v>2298</v>
      </c>
      <c r="B24" s="18" t="s">
        <v>2238</v>
      </c>
      <c r="C24" s="18" t="s">
        <v>2237</v>
      </c>
      <c r="D24">
        <v>7748</v>
      </c>
      <c r="E24" s="18" t="s">
        <v>2263</v>
      </c>
      <c r="F24" s="3">
        <v>34932.083333333299</v>
      </c>
      <c r="G24" s="20">
        <f t="shared" ca="1" si="0"/>
        <v>30</v>
      </c>
      <c r="H24">
        <f>COUNTIF(BRON!A:A,Tabel6[[#This Row],[Personeelsnummer]])</f>
        <v>0</v>
      </c>
    </row>
    <row r="25" spans="1:8" x14ac:dyDescent="0.25">
      <c r="A25" s="18" t="s">
        <v>2299</v>
      </c>
      <c r="B25" s="18" t="s">
        <v>1596</v>
      </c>
      <c r="C25" s="18" t="s">
        <v>2239</v>
      </c>
      <c r="D25">
        <v>8016</v>
      </c>
      <c r="E25" s="18" t="s">
        <v>2300</v>
      </c>
      <c r="F25" s="3">
        <v>35065.041666666701</v>
      </c>
      <c r="G25" s="20">
        <f t="shared" ca="1" si="0"/>
        <v>30</v>
      </c>
      <c r="H25">
        <f>COUNTIF(BRON!A:A,Tabel6[[#This Row],[Personeelsnummer]])</f>
        <v>2</v>
      </c>
    </row>
    <row r="26" spans="1:8" x14ac:dyDescent="0.25">
      <c r="A26" s="18" t="s">
        <v>2301</v>
      </c>
      <c r="B26" s="18" t="s">
        <v>1329</v>
      </c>
      <c r="C26" s="18" t="s">
        <v>2240</v>
      </c>
      <c r="D26">
        <v>8196</v>
      </c>
      <c r="E26" s="18" t="s">
        <v>2297</v>
      </c>
      <c r="F26" s="3">
        <v>35177.083333333299</v>
      </c>
      <c r="G26" s="20">
        <f t="shared" ca="1" si="0"/>
        <v>29</v>
      </c>
      <c r="H26">
        <f>COUNTIF(BRON!A:A,Tabel6[[#This Row],[Personeelsnummer]])</f>
        <v>0</v>
      </c>
    </row>
    <row r="27" spans="1:8" x14ac:dyDescent="0.25">
      <c r="A27" s="18" t="s">
        <v>2302</v>
      </c>
      <c r="B27" s="18" t="s">
        <v>2242</v>
      </c>
      <c r="C27" s="18" t="s">
        <v>2241</v>
      </c>
      <c r="D27">
        <v>8391</v>
      </c>
      <c r="E27" s="18" t="s">
        <v>2270</v>
      </c>
      <c r="F27" s="3">
        <v>35219.083333333299</v>
      </c>
      <c r="G27" s="20">
        <f t="shared" ca="1" si="0"/>
        <v>29</v>
      </c>
      <c r="H27">
        <f>COUNTIF(BRON!A:A,Tabel6[[#This Row],[Personeelsnummer]])</f>
        <v>1</v>
      </c>
    </row>
    <row r="28" spans="1:8" x14ac:dyDescent="0.25">
      <c r="A28" s="18" t="s">
        <v>2303</v>
      </c>
      <c r="B28" s="18" t="s">
        <v>1493</v>
      </c>
      <c r="C28" s="18" t="s">
        <v>2243</v>
      </c>
      <c r="D28">
        <v>8393</v>
      </c>
      <c r="E28" s="18" t="s">
        <v>2286</v>
      </c>
      <c r="F28" s="3">
        <v>35219.083333333299</v>
      </c>
      <c r="G28" s="20">
        <f t="shared" ca="1" si="0"/>
        <v>29</v>
      </c>
      <c r="H28">
        <f>COUNTIF(BRON!A:A,Tabel6[[#This Row],[Personeelsnummer]])</f>
        <v>0</v>
      </c>
    </row>
    <row r="29" spans="1:8" x14ac:dyDescent="0.25">
      <c r="A29" s="18" t="s">
        <v>2304</v>
      </c>
      <c r="B29" s="18" t="s">
        <v>2234</v>
      </c>
      <c r="C29" s="18" t="s">
        <v>2244</v>
      </c>
      <c r="D29">
        <v>8394</v>
      </c>
      <c r="E29" s="18" t="s">
        <v>2263</v>
      </c>
      <c r="F29" s="3">
        <v>35219.083333333299</v>
      </c>
      <c r="G29" s="20">
        <f t="shared" ca="1" si="0"/>
        <v>29</v>
      </c>
      <c r="H29">
        <f>COUNTIF(BRON!A:A,Tabel6[[#This Row],[Personeelsnummer]])</f>
        <v>4</v>
      </c>
    </row>
    <row r="30" spans="1:8" x14ac:dyDescent="0.25">
      <c r="A30" s="18" t="s">
        <v>2305</v>
      </c>
      <c r="B30" s="18" t="s">
        <v>1426</v>
      </c>
      <c r="C30" s="18" t="s">
        <v>2245</v>
      </c>
      <c r="D30">
        <v>8708</v>
      </c>
      <c r="E30" s="18" t="s">
        <v>2263</v>
      </c>
      <c r="F30" s="3">
        <v>35303.083333333299</v>
      </c>
      <c r="G30" s="20">
        <f t="shared" ca="1" si="0"/>
        <v>29</v>
      </c>
      <c r="H30">
        <f>COUNTIF(BRON!A:A,Tabel6[[#This Row],[Personeelsnummer]])</f>
        <v>1</v>
      </c>
    </row>
    <row r="31" spans="1:8" x14ac:dyDescent="0.25">
      <c r="A31" s="18" t="s">
        <v>2306</v>
      </c>
      <c r="B31" s="18" t="s">
        <v>2246</v>
      </c>
      <c r="C31" s="18" t="s">
        <v>1425</v>
      </c>
      <c r="D31">
        <v>8792</v>
      </c>
      <c r="E31" s="18" t="s">
        <v>2261</v>
      </c>
      <c r="F31" s="3">
        <v>35338.083333333299</v>
      </c>
      <c r="G31" s="20">
        <f t="shared" ca="1" si="0"/>
        <v>29</v>
      </c>
      <c r="H31">
        <f>COUNTIF(BRON!A:A,Tabel6[[#This Row],[Personeelsnummer]])</f>
        <v>0</v>
      </c>
    </row>
    <row r="32" spans="1:8" x14ac:dyDescent="0.25">
      <c r="A32" s="18" t="s">
        <v>2307</v>
      </c>
      <c r="B32" s="18" t="s">
        <v>1511</v>
      </c>
      <c r="C32" s="18" t="s">
        <v>2247</v>
      </c>
      <c r="D32">
        <v>8918</v>
      </c>
      <c r="E32" s="18" t="s">
        <v>2265</v>
      </c>
      <c r="F32" s="3">
        <v>35394.041666666701</v>
      </c>
      <c r="G32" s="20">
        <f t="shared" ca="1" si="0"/>
        <v>29</v>
      </c>
      <c r="H32">
        <f>COUNTIF(BRON!A:A,Tabel6[[#This Row],[Personeelsnummer]])</f>
        <v>1</v>
      </c>
    </row>
    <row r="33" spans="1:8" x14ac:dyDescent="0.25">
      <c r="A33" s="18" t="s">
        <v>2308</v>
      </c>
      <c r="B33" s="18" t="s">
        <v>2251</v>
      </c>
      <c r="C33" s="18" t="s">
        <v>2250</v>
      </c>
      <c r="D33">
        <v>9667</v>
      </c>
      <c r="E33" s="18" t="s">
        <v>2265</v>
      </c>
      <c r="F33" s="3">
        <v>35667.083333333299</v>
      </c>
      <c r="G33" s="20">
        <f t="shared" ca="1" si="0"/>
        <v>28</v>
      </c>
      <c r="H33">
        <f>COUNTIF(BRON!A:A,Tabel6[[#This Row],[Personeelsnummer]])</f>
        <v>0</v>
      </c>
    </row>
    <row r="34" spans="1:8" x14ac:dyDescent="0.25">
      <c r="A34" s="18" t="s">
        <v>2309</v>
      </c>
      <c r="B34" s="18" t="s">
        <v>1430</v>
      </c>
      <c r="C34" s="18" t="s">
        <v>2248</v>
      </c>
      <c r="D34">
        <v>9062</v>
      </c>
      <c r="E34" s="18" t="s">
        <v>2265</v>
      </c>
      <c r="F34" s="3">
        <v>35478.041666666701</v>
      </c>
      <c r="G34" s="20">
        <f t="shared" ca="1" si="0"/>
        <v>28</v>
      </c>
      <c r="H34">
        <f>COUNTIF(BRON!A:A,Tabel6[[#This Row],[Personeelsnummer]])</f>
        <v>1</v>
      </c>
    </row>
    <row r="35" spans="1:8" x14ac:dyDescent="0.25">
      <c r="A35" s="18" t="s">
        <v>2310</v>
      </c>
      <c r="B35" s="18" t="s">
        <v>1505</v>
      </c>
      <c r="C35" s="18" t="s">
        <v>2249</v>
      </c>
      <c r="D35">
        <v>9065</v>
      </c>
      <c r="E35" s="18" t="s">
        <v>2270</v>
      </c>
      <c r="F35" s="3">
        <v>35478.041666666701</v>
      </c>
      <c r="G35" s="20">
        <f t="shared" ca="1" si="0"/>
        <v>28</v>
      </c>
      <c r="H35">
        <f>COUNTIF(BRON!A:A,Tabel6[[#This Row],[Personeelsnummer]])</f>
        <v>1</v>
      </c>
    </row>
    <row r="36" spans="1:8" x14ac:dyDescent="0.25">
      <c r="A36" s="18" t="s">
        <v>2311</v>
      </c>
      <c r="B36" s="18" t="s">
        <v>1367</v>
      </c>
      <c r="C36" s="18" t="s">
        <v>805</v>
      </c>
      <c r="D36">
        <v>9158</v>
      </c>
      <c r="E36" s="18" t="s">
        <v>2286</v>
      </c>
      <c r="F36" s="3">
        <v>35513.041666666701</v>
      </c>
      <c r="G36" s="20">
        <f t="shared" ca="1" si="0"/>
        <v>28</v>
      </c>
      <c r="H36">
        <f>COUNTIF(BRON!A:A,Tabel6[[#This Row],[Personeelsnummer]])</f>
        <v>1</v>
      </c>
    </row>
    <row r="37" spans="1:8" x14ac:dyDescent="0.25">
      <c r="A37" s="18" t="s">
        <v>2312</v>
      </c>
      <c r="B37" s="18" t="s">
        <v>1800</v>
      </c>
      <c r="C37" s="18" t="s">
        <v>1878</v>
      </c>
      <c r="D37">
        <v>9824</v>
      </c>
      <c r="E37" s="18" t="s">
        <v>2286</v>
      </c>
      <c r="F37" s="3">
        <v>35723.083333333299</v>
      </c>
      <c r="G37" s="20">
        <f t="shared" ca="1" si="0"/>
        <v>28</v>
      </c>
      <c r="H37">
        <f>COUNTIF(BRON!A:A,Tabel6[[#This Row],[Personeelsnummer]])</f>
        <v>1</v>
      </c>
    </row>
    <row r="38" spans="1:8" x14ac:dyDescent="0.25">
      <c r="A38" s="18" t="s">
        <v>2313</v>
      </c>
      <c r="B38" s="18" t="s">
        <v>1329</v>
      </c>
      <c r="C38" s="18" t="s">
        <v>2252</v>
      </c>
      <c r="D38">
        <v>9979</v>
      </c>
      <c r="E38" s="18" t="s">
        <v>2261</v>
      </c>
      <c r="F38" s="3">
        <v>35796.041666666701</v>
      </c>
      <c r="G38" s="20">
        <f t="shared" ca="1" si="0"/>
        <v>28</v>
      </c>
      <c r="H38">
        <f>COUNTIF(BRON!A:A,Tabel6[[#This Row],[Personeelsnummer]])</f>
        <v>0</v>
      </c>
    </row>
    <row r="39" spans="1:8" x14ac:dyDescent="0.25">
      <c r="A39" s="18" t="s">
        <v>2314</v>
      </c>
      <c r="B39" s="18" t="s">
        <v>1326</v>
      </c>
      <c r="C39" s="18" t="s">
        <v>1325</v>
      </c>
      <c r="D39">
        <v>10150</v>
      </c>
      <c r="E39" s="18" t="s">
        <v>2286</v>
      </c>
      <c r="F39" s="3">
        <v>35891.083333333299</v>
      </c>
      <c r="G39" s="20">
        <f t="shared" ca="1" si="0"/>
        <v>27</v>
      </c>
      <c r="H39">
        <f>COUNTIF(BRON!A:A,Tabel6[[#This Row],[Personeelsnummer]])</f>
        <v>1</v>
      </c>
    </row>
    <row r="40" spans="1:8" x14ac:dyDescent="0.25">
      <c r="A40" s="18" t="s">
        <v>2315</v>
      </c>
      <c r="B40" s="18" t="s">
        <v>1329</v>
      </c>
      <c r="C40" s="18" t="s">
        <v>1328</v>
      </c>
      <c r="D40">
        <v>10324</v>
      </c>
      <c r="E40" s="18" t="s">
        <v>2261</v>
      </c>
      <c r="F40" s="3">
        <v>35948.083333333299</v>
      </c>
      <c r="G40" s="20">
        <f t="shared" ca="1" si="0"/>
        <v>27</v>
      </c>
      <c r="H40">
        <f>COUNTIF(BRON!A:A,Tabel6[[#This Row],[Personeelsnummer]])</f>
        <v>1</v>
      </c>
    </row>
    <row r="41" spans="1:8" x14ac:dyDescent="0.25">
      <c r="A41" s="18" t="s">
        <v>2316</v>
      </c>
      <c r="B41" s="18" t="s">
        <v>1331</v>
      </c>
      <c r="C41" s="18" t="s">
        <v>1330</v>
      </c>
      <c r="D41">
        <v>10326</v>
      </c>
      <c r="E41" s="18" t="s">
        <v>2261</v>
      </c>
      <c r="F41" s="3">
        <v>35948.083333333299</v>
      </c>
      <c r="G41" s="20">
        <f t="shared" ca="1" si="0"/>
        <v>27</v>
      </c>
      <c r="H41">
        <f>COUNTIF(BRON!A:A,Tabel6[[#This Row],[Personeelsnummer]])</f>
        <v>0</v>
      </c>
    </row>
    <row r="42" spans="1:8" x14ac:dyDescent="0.25">
      <c r="A42" s="18" t="s">
        <v>2317</v>
      </c>
      <c r="B42" s="18" t="s">
        <v>1333</v>
      </c>
      <c r="C42" s="18" t="s">
        <v>1332</v>
      </c>
      <c r="D42">
        <v>10782</v>
      </c>
      <c r="E42" s="18" t="s">
        <v>2265</v>
      </c>
      <c r="F42" s="3">
        <v>36080.083333333299</v>
      </c>
      <c r="G42" s="20">
        <f t="shared" ca="1" si="0"/>
        <v>27</v>
      </c>
      <c r="H42">
        <f>COUNTIF(BRON!A:A,Tabel6[[#This Row],[Personeelsnummer]])</f>
        <v>1</v>
      </c>
    </row>
    <row r="43" spans="1:8" x14ac:dyDescent="0.25">
      <c r="A43" s="18" t="s">
        <v>2318</v>
      </c>
      <c r="B43" s="18" t="s">
        <v>1335</v>
      </c>
      <c r="C43" s="18" t="s">
        <v>1334</v>
      </c>
      <c r="D43">
        <v>11021</v>
      </c>
      <c r="E43" s="18" t="s">
        <v>2286</v>
      </c>
      <c r="F43" s="3">
        <v>36227.041666666701</v>
      </c>
      <c r="G43" s="20">
        <f t="shared" ca="1" si="0"/>
        <v>26</v>
      </c>
      <c r="H43">
        <f>COUNTIF(BRON!A:A,Tabel6[[#This Row],[Personeelsnummer]])</f>
        <v>1</v>
      </c>
    </row>
    <row r="44" spans="1:8" x14ac:dyDescent="0.25">
      <c r="A44" s="18" t="s">
        <v>2319</v>
      </c>
      <c r="B44" s="18" t="s">
        <v>1337</v>
      </c>
      <c r="C44" s="18" t="s">
        <v>1336</v>
      </c>
      <c r="D44">
        <v>11023</v>
      </c>
      <c r="E44" s="18" t="s">
        <v>2270</v>
      </c>
      <c r="F44" s="3">
        <v>36227.041666666701</v>
      </c>
      <c r="G44" s="20">
        <f t="shared" ca="1" si="0"/>
        <v>26</v>
      </c>
      <c r="H44">
        <f>COUNTIF(BRON!A:A,Tabel6[[#This Row],[Personeelsnummer]])</f>
        <v>1</v>
      </c>
    </row>
    <row r="45" spans="1:8" x14ac:dyDescent="0.25">
      <c r="A45" s="18" t="s">
        <v>2320</v>
      </c>
      <c r="B45" s="18" t="s">
        <v>1339</v>
      </c>
      <c r="C45" s="18" t="s">
        <v>1338</v>
      </c>
      <c r="D45">
        <v>11120</v>
      </c>
      <c r="E45" s="18" t="s">
        <v>2263</v>
      </c>
      <c r="F45" s="3">
        <v>36262.083333333299</v>
      </c>
      <c r="G45" s="20">
        <f t="shared" ca="1" si="0"/>
        <v>26</v>
      </c>
      <c r="H45">
        <f>COUNTIF(BRON!A:A,Tabel6[[#This Row],[Personeelsnummer]])</f>
        <v>1</v>
      </c>
    </row>
    <row r="46" spans="1:8" x14ac:dyDescent="0.25">
      <c r="A46" s="18" t="s">
        <v>2321</v>
      </c>
      <c r="B46" s="18" t="s">
        <v>1341</v>
      </c>
      <c r="C46" s="18" t="s">
        <v>1340</v>
      </c>
      <c r="D46">
        <v>11213</v>
      </c>
      <c r="E46" s="18" t="s">
        <v>2261</v>
      </c>
      <c r="F46" s="3">
        <v>36311.083333333299</v>
      </c>
      <c r="G46" s="20">
        <f t="shared" ca="1" si="0"/>
        <v>26</v>
      </c>
      <c r="H46">
        <f>COUNTIF(BRON!A:A,Tabel6[[#This Row],[Personeelsnummer]])</f>
        <v>1</v>
      </c>
    </row>
    <row r="47" spans="1:8" x14ac:dyDescent="0.25">
      <c r="A47" s="18" t="s">
        <v>2322</v>
      </c>
      <c r="B47" s="18" t="s">
        <v>1343</v>
      </c>
      <c r="C47" s="18" t="s">
        <v>1342</v>
      </c>
      <c r="D47">
        <v>11236</v>
      </c>
      <c r="E47" s="18" t="s">
        <v>2261</v>
      </c>
      <c r="F47" s="3">
        <v>36332.083333333299</v>
      </c>
      <c r="G47" s="20">
        <f t="shared" ca="1" si="0"/>
        <v>26</v>
      </c>
      <c r="H47">
        <f>COUNTIF(BRON!A:A,Tabel6[[#This Row],[Personeelsnummer]])</f>
        <v>4</v>
      </c>
    </row>
    <row r="48" spans="1:8" x14ac:dyDescent="0.25">
      <c r="A48" s="18" t="s">
        <v>2323</v>
      </c>
      <c r="B48" s="18" t="s">
        <v>1345</v>
      </c>
      <c r="C48" s="18" t="s">
        <v>1344</v>
      </c>
      <c r="D48">
        <v>11508</v>
      </c>
      <c r="E48" s="18" t="s">
        <v>2263</v>
      </c>
      <c r="F48" s="3">
        <v>36388.083333333299</v>
      </c>
      <c r="G48" s="20">
        <f t="shared" ca="1" si="0"/>
        <v>26</v>
      </c>
      <c r="H48">
        <f>COUNTIF(BRON!A:A,Tabel6[[#This Row],[Personeelsnummer]])</f>
        <v>1</v>
      </c>
    </row>
    <row r="49" spans="1:8" x14ac:dyDescent="0.25">
      <c r="A49" s="18" t="s">
        <v>2324</v>
      </c>
      <c r="B49" s="18" t="s">
        <v>1347</v>
      </c>
      <c r="C49" s="18" t="s">
        <v>1346</v>
      </c>
      <c r="D49">
        <v>11866</v>
      </c>
      <c r="E49" s="18" t="s">
        <v>2263</v>
      </c>
      <c r="F49" s="3">
        <v>36542.041666666701</v>
      </c>
      <c r="G49" s="20">
        <f t="shared" ca="1" si="0"/>
        <v>26</v>
      </c>
      <c r="H49">
        <f>COUNTIF(BRON!A:A,Tabel6[[#This Row],[Personeelsnummer]])</f>
        <v>1</v>
      </c>
    </row>
    <row r="50" spans="1:8" x14ac:dyDescent="0.25">
      <c r="A50" s="18" t="s">
        <v>2325</v>
      </c>
      <c r="B50" s="18" t="s">
        <v>1349</v>
      </c>
      <c r="C50" s="18" t="s">
        <v>1348</v>
      </c>
      <c r="D50">
        <v>12024</v>
      </c>
      <c r="E50" s="18" t="s">
        <v>2263</v>
      </c>
      <c r="F50" s="3">
        <v>36612.083333333299</v>
      </c>
      <c r="G50" s="20">
        <f t="shared" ca="1" si="0"/>
        <v>25</v>
      </c>
      <c r="H50">
        <f>COUNTIF(BRON!A:A,Tabel6[[#This Row],[Personeelsnummer]])</f>
        <v>1</v>
      </c>
    </row>
    <row r="51" spans="1:8" x14ac:dyDescent="0.25">
      <c r="A51" s="18" t="s">
        <v>2326</v>
      </c>
      <c r="B51" s="18" t="s">
        <v>1351</v>
      </c>
      <c r="C51" s="18" t="s">
        <v>1350</v>
      </c>
      <c r="D51">
        <v>12124</v>
      </c>
      <c r="E51" s="18" t="s">
        <v>2286</v>
      </c>
      <c r="F51" s="3">
        <v>36654.083333333299</v>
      </c>
      <c r="G51" s="20">
        <f t="shared" ca="1" si="0"/>
        <v>25</v>
      </c>
      <c r="H51">
        <f>COUNTIF(BRON!A:A,Tabel6[[#This Row],[Personeelsnummer]])</f>
        <v>5</v>
      </c>
    </row>
    <row r="52" spans="1:8" x14ac:dyDescent="0.25">
      <c r="A52" s="18" t="s">
        <v>2327</v>
      </c>
      <c r="B52" s="18" t="s">
        <v>1353</v>
      </c>
      <c r="C52" s="18" t="s">
        <v>1352</v>
      </c>
      <c r="D52">
        <v>12173</v>
      </c>
      <c r="E52" s="18" t="s">
        <v>2270</v>
      </c>
      <c r="F52" s="3">
        <v>36690.083333333299</v>
      </c>
      <c r="G52" s="20">
        <f t="shared" ca="1" si="0"/>
        <v>25</v>
      </c>
      <c r="H52">
        <f>COUNTIF(BRON!A:A,Tabel6[[#This Row],[Personeelsnummer]])</f>
        <v>1</v>
      </c>
    </row>
    <row r="53" spans="1:8" x14ac:dyDescent="0.25">
      <c r="A53" s="18" t="s">
        <v>2328</v>
      </c>
      <c r="B53" s="18" t="s">
        <v>1355</v>
      </c>
      <c r="C53" s="18" t="s">
        <v>1354</v>
      </c>
      <c r="D53">
        <v>12514</v>
      </c>
      <c r="E53" s="18" t="s">
        <v>2263</v>
      </c>
      <c r="F53" s="3">
        <v>36759.083333333299</v>
      </c>
      <c r="G53" s="20">
        <f t="shared" ca="1" si="0"/>
        <v>25</v>
      </c>
      <c r="H53">
        <f>COUNTIF(BRON!A:A,Tabel6[[#This Row],[Personeelsnummer]])</f>
        <v>1</v>
      </c>
    </row>
    <row r="54" spans="1:8" x14ac:dyDescent="0.25">
      <c r="A54" s="18" t="s">
        <v>2329</v>
      </c>
      <c r="B54" s="18" t="s">
        <v>1357</v>
      </c>
      <c r="C54" s="18" t="s">
        <v>1356</v>
      </c>
      <c r="D54">
        <v>12684</v>
      </c>
      <c r="E54" s="18" t="s">
        <v>2270</v>
      </c>
      <c r="F54" s="3">
        <v>36815.083333333299</v>
      </c>
      <c r="G54" s="20">
        <f t="shared" ca="1" si="0"/>
        <v>25</v>
      </c>
      <c r="H54">
        <f>COUNTIF(BRON!A:A,Tabel6[[#This Row],[Personeelsnummer]])</f>
        <v>3</v>
      </c>
    </row>
    <row r="55" spans="1:8" x14ac:dyDescent="0.25">
      <c r="A55" s="18" t="s">
        <v>2330</v>
      </c>
      <c r="B55" s="18" t="s">
        <v>1353</v>
      </c>
      <c r="C55" s="18" t="s">
        <v>1358</v>
      </c>
      <c r="D55">
        <v>12819</v>
      </c>
      <c r="E55" s="18" t="s">
        <v>2261</v>
      </c>
      <c r="F55" s="3">
        <v>36853.041666666701</v>
      </c>
      <c r="G55" s="20">
        <f t="shared" ca="1" si="0"/>
        <v>25</v>
      </c>
      <c r="H55">
        <f>COUNTIF(BRON!A:A,Tabel6[[#This Row],[Personeelsnummer]])</f>
        <v>1</v>
      </c>
    </row>
    <row r="56" spans="1:8" x14ac:dyDescent="0.25">
      <c r="A56" s="18" t="s">
        <v>2331</v>
      </c>
      <c r="B56" s="18" t="s">
        <v>393</v>
      </c>
      <c r="C56" s="18" t="s">
        <v>1359</v>
      </c>
      <c r="D56">
        <v>13017</v>
      </c>
      <c r="E56" s="18" t="s">
        <v>2265</v>
      </c>
      <c r="F56" s="3">
        <v>36923.041666666701</v>
      </c>
      <c r="G56" s="20">
        <f t="shared" ca="1" si="0"/>
        <v>24</v>
      </c>
      <c r="H56">
        <f>COUNTIF(BRON!A:A,Tabel6[[#This Row],[Personeelsnummer]])</f>
        <v>0</v>
      </c>
    </row>
    <row r="57" spans="1:8" x14ac:dyDescent="0.25">
      <c r="A57" s="18" t="s">
        <v>2332</v>
      </c>
      <c r="B57" s="18" t="s">
        <v>1361</v>
      </c>
      <c r="C57" s="18" t="s">
        <v>1360</v>
      </c>
      <c r="D57">
        <v>13088</v>
      </c>
      <c r="E57" s="18" t="s">
        <v>2300</v>
      </c>
      <c r="F57" s="3">
        <v>36948.041666666701</v>
      </c>
      <c r="G57" s="20">
        <f t="shared" ca="1" si="0"/>
        <v>24</v>
      </c>
      <c r="H57">
        <f>COUNTIF(BRON!A:A,Tabel6[[#This Row],[Personeelsnummer]])</f>
        <v>2</v>
      </c>
    </row>
    <row r="58" spans="1:8" x14ac:dyDescent="0.25">
      <c r="A58" s="18" t="s">
        <v>2333</v>
      </c>
      <c r="B58" s="18" t="s">
        <v>1363</v>
      </c>
      <c r="C58" s="18" t="s">
        <v>1362</v>
      </c>
      <c r="D58">
        <v>13089</v>
      </c>
      <c r="E58" s="18" t="s">
        <v>2297</v>
      </c>
      <c r="F58" s="3">
        <v>36948.041666666701</v>
      </c>
      <c r="G58" s="20">
        <f t="shared" ca="1" si="0"/>
        <v>24</v>
      </c>
      <c r="H58">
        <f>COUNTIF(BRON!A:A,Tabel6[[#This Row],[Personeelsnummer]])</f>
        <v>1</v>
      </c>
    </row>
    <row r="59" spans="1:8" x14ac:dyDescent="0.25">
      <c r="A59" s="18" t="s">
        <v>2334</v>
      </c>
      <c r="B59" s="18" t="s">
        <v>1365</v>
      </c>
      <c r="C59" s="18" t="s">
        <v>1364</v>
      </c>
      <c r="D59">
        <v>13257</v>
      </c>
      <c r="E59" s="18" t="s">
        <v>2265</v>
      </c>
      <c r="F59" s="3">
        <v>36998.083333333299</v>
      </c>
      <c r="G59" s="20">
        <f t="shared" ca="1" si="0"/>
        <v>24</v>
      </c>
      <c r="H59">
        <f>COUNTIF(BRON!A:A,Tabel6[[#This Row],[Personeelsnummer]])</f>
        <v>0</v>
      </c>
    </row>
    <row r="60" spans="1:8" x14ac:dyDescent="0.25">
      <c r="A60" s="18" t="s">
        <v>2335</v>
      </c>
      <c r="B60" s="18" t="s">
        <v>1367</v>
      </c>
      <c r="C60" s="18" t="s">
        <v>1366</v>
      </c>
      <c r="D60">
        <v>13345</v>
      </c>
      <c r="E60" s="18" t="s">
        <v>2265</v>
      </c>
      <c r="F60" s="3">
        <v>37018.083333333299</v>
      </c>
      <c r="G60" s="20">
        <f t="shared" ca="1" si="0"/>
        <v>24</v>
      </c>
      <c r="H60">
        <f>COUNTIF(BRON!A:A,Tabel6[[#This Row],[Personeelsnummer]])</f>
        <v>1</v>
      </c>
    </row>
    <row r="61" spans="1:8" x14ac:dyDescent="0.25">
      <c r="A61" s="18" t="s">
        <v>2336</v>
      </c>
      <c r="B61" s="18" t="s">
        <v>1070</v>
      </c>
      <c r="C61" s="18" t="s">
        <v>1368</v>
      </c>
      <c r="D61">
        <v>13398</v>
      </c>
      <c r="E61" s="18" t="s">
        <v>2300</v>
      </c>
      <c r="F61" s="3">
        <v>37047.083333333299</v>
      </c>
      <c r="G61" s="20">
        <f t="shared" ca="1" si="0"/>
        <v>24</v>
      </c>
      <c r="H61">
        <f>COUNTIF(BRON!A:A,Tabel6[[#This Row],[Personeelsnummer]])</f>
        <v>1</v>
      </c>
    </row>
    <row r="62" spans="1:8" x14ac:dyDescent="0.25">
      <c r="A62" s="18" t="s">
        <v>2337</v>
      </c>
      <c r="B62" s="18" t="s">
        <v>1370</v>
      </c>
      <c r="C62" s="18" t="s">
        <v>1369</v>
      </c>
      <c r="D62">
        <v>14021</v>
      </c>
      <c r="E62" s="18" t="s">
        <v>2286</v>
      </c>
      <c r="F62" s="3">
        <v>37193.041666666701</v>
      </c>
      <c r="G62" s="20">
        <f t="shared" ca="1" si="0"/>
        <v>24</v>
      </c>
      <c r="H62">
        <f>COUNTIF(BRON!A:A,Tabel6[[#This Row],[Personeelsnummer]])</f>
        <v>0</v>
      </c>
    </row>
    <row r="63" spans="1:8" x14ac:dyDescent="0.25">
      <c r="A63" s="18" t="s">
        <v>2338</v>
      </c>
      <c r="B63" s="18" t="s">
        <v>1372</v>
      </c>
      <c r="C63" s="18" t="s">
        <v>1371</v>
      </c>
      <c r="D63">
        <v>14070</v>
      </c>
      <c r="E63" s="18" t="s">
        <v>2277</v>
      </c>
      <c r="F63" s="3">
        <v>37214.041666666701</v>
      </c>
      <c r="G63" s="20">
        <f t="shared" ca="1" si="0"/>
        <v>24</v>
      </c>
      <c r="H63">
        <f>COUNTIF(BRON!A:A,Tabel6[[#This Row],[Personeelsnummer]])</f>
        <v>0</v>
      </c>
    </row>
    <row r="64" spans="1:8" x14ac:dyDescent="0.25">
      <c r="A64" s="18" t="s">
        <v>2339</v>
      </c>
      <c r="B64" s="18" t="s">
        <v>1374</v>
      </c>
      <c r="C64" s="18" t="s">
        <v>1373</v>
      </c>
      <c r="D64">
        <v>14072</v>
      </c>
      <c r="E64" s="18" t="s">
        <v>2263</v>
      </c>
      <c r="F64" s="3">
        <v>37214.041666666701</v>
      </c>
      <c r="G64" s="20">
        <f t="shared" ca="1" si="0"/>
        <v>24</v>
      </c>
      <c r="H64">
        <f>COUNTIF(BRON!A:A,Tabel6[[#This Row],[Personeelsnummer]])</f>
        <v>1</v>
      </c>
    </row>
    <row r="65" spans="1:8" x14ac:dyDescent="0.25">
      <c r="A65" s="18" t="s">
        <v>2340</v>
      </c>
      <c r="B65" s="18" t="s">
        <v>1376</v>
      </c>
      <c r="C65" s="18" t="s">
        <v>1375</v>
      </c>
      <c r="D65">
        <v>14261</v>
      </c>
      <c r="E65" s="18" t="s">
        <v>2270</v>
      </c>
      <c r="F65" s="3">
        <v>37284.041666666701</v>
      </c>
      <c r="G65" s="20">
        <f t="shared" ca="1" si="0"/>
        <v>23</v>
      </c>
      <c r="H65">
        <f>COUNTIF(BRON!A:A,Tabel6[[#This Row],[Personeelsnummer]])</f>
        <v>2</v>
      </c>
    </row>
    <row r="66" spans="1:8" x14ac:dyDescent="0.25">
      <c r="A66" s="18" t="s">
        <v>2341</v>
      </c>
      <c r="B66" s="18" t="s">
        <v>1377</v>
      </c>
      <c r="C66" s="18" t="s">
        <v>1375</v>
      </c>
      <c r="D66">
        <v>14425</v>
      </c>
      <c r="E66" s="18" t="s">
        <v>2261</v>
      </c>
      <c r="F66" s="3">
        <v>37333.041666666701</v>
      </c>
      <c r="G66" s="20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18" t="s">
        <v>2342</v>
      </c>
      <c r="B67" s="18" t="s">
        <v>1379</v>
      </c>
      <c r="C67" s="18" t="s">
        <v>1378</v>
      </c>
      <c r="D67">
        <v>14625</v>
      </c>
      <c r="E67" s="18" t="s">
        <v>2263</v>
      </c>
      <c r="F67" s="3">
        <v>37397.083333333299</v>
      </c>
      <c r="G67" s="20">
        <f t="shared" ca="1" si="1"/>
        <v>23</v>
      </c>
      <c r="H67">
        <f>COUNTIF(BRON!A:A,Tabel6[[#This Row],[Personeelsnummer]])</f>
        <v>1</v>
      </c>
    </row>
    <row r="68" spans="1:8" x14ac:dyDescent="0.25">
      <c r="A68" s="18" t="s">
        <v>2343</v>
      </c>
      <c r="B68" s="18" t="s">
        <v>1381</v>
      </c>
      <c r="C68" s="18" t="s">
        <v>1380</v>
      </c>
      <c r="D68">
        <v>14665</v>
      </c>
      <c r="E68" s="18" t="s">
        <v>2261</v>
      </c>
      <c r="F68" s="3">
        <v>37424.083333333299</v>
      </c>
      <c r="G68" s="20">
        <f t="shared" ca="1" si="1"/>
        <v>23</v>
      </c>
      <c r="H68">
        <f>COUNTIF(BRON!A:A,Tabel6[[#This Row],[Personeelsnummer]])</f>
        <v>2</v>
      </c>
    </row>
    <row r="69" spans="1:8" x14ac:dyDescent="0.25">
      <c r="A69" s="18" t="s">
        <v>2344</v>
      </c>
      <c r="B69" s="18" t="s">
        <v>1383</v>
      </c>
      <c r="C69" s="18" t="s">
        <v>1382</v>
      </c>
      <c r="D69">
        <v>14667</v>
      </c>
      <c r="E69" s="18" t="s">
        <v>2277</v>
      </c>
      <c r="F69" s="3">
        <v>37424.083333333299</v>
      </c>
      <c r="G69" s="20">
        <f t="shared" ca="1" si="1"/>
        <v>23</v>
      </c>
      <c r="H69">
        <f>COUNTIF(BRON!A:A,Tabel6[[#This Row],[Personeelsnummer]])</f>
        <v>0</v>
      </c>
    </row>
    <row r="70" spans="1:8" x14ac:dyDescent="0.25">
      <c r="A70" s="18" t="s">
        <v>2345</v>
      </c>
      <c r="B70" s="18" t="s">
        <v>1385</v>
      </c>
      <c r="C70" s="18" t="s">
        <v>1384</v>
      </c>
      <c r="D70">
        <v>15088</v>
      </c>
      <c r="E70" s="18" t="s">
        <v>2270</v>
      </c>
      <c r="F70" s="3">
        <v>37501.083333333299</v>
      </c>
      <c r="G70" s="20">
        <f t="shared" ca="1" si="1"/>
        <v>23</v>
      </c>
      <c r="H70">
        <f>COUNTIF(BRON!A:A,Tabel6[[#This Row],[Personeelsnummer]])</f>
        <v>2</v>
      </c>
    </row>
    <row r="71" spans="1:8" x14ac:dyDescent="0.25">
      <c r="A71" s="18" t="s">
        <v>2346</v>
      </c>
      <c r="B71" s="18" t="s">
        <v>1387</v>
      </c>
      <c r="C71" s="18" t="s">
        <v>1386</v>
      </c>
      <c r="D71">
        <v>15218</v>
      </c>
      <c r="E71" s="18" t="s">
        <v>2270</v>
      </c>
      <c r="F71" s="3">
        <v>37543.083333333299</v>
      </c>
      <c r="G71" s="20">
        <f t="shared" ca="1" si="1"/>
        <v>23</v>
      </c>
      <c r="H71">
        <f>COUNTIF(BRON!A:A,Tabel6[[#This Row],[Personeelsnummer]])</f>
        <v>0</v>
      </c>
    </row>
    <row r="72" spans="1:8" x14ac:dyDescent="0.25">
      <c r="A72" s="18" t="s">
        <v>2347</v>
      </c>
      <c r="B72" s="18" t="s">
        <v>1389</v>
      </c>
      <c r="C72" s="18" t="s">
        <v>1388</v>
      </c>
      <c r="D72">
        <v>15219</v>
      </c>
      <c r="E72" s="18" t="s">
        <v>2261</v>
      </c>
      <c r="F72" s="3">
        <v>37543.083333333299</v>
      </c>
      <c r="G72" s="20">
        <f t="shared" ca="1" si="1"/>
        <v>23</v>
      </c>
      <c r="H72">
        <f>COUNTIF(BRON!A:A,Tabel6[[#This Row],[Personeelsnummer]])</f>
        <v>1</v>
      </c>
    </row>
    <row r="73" spans="1:8" x14ac:dyDescent="0.25">
      <c r="A73" s="18" t="s">
        <v>2348</v>
      </c>
      <c r="B73" s="18" t="s">
        <v>1391</v>
      </c>
      <c r="C73" s="18" t="s">
        <v>1390</v>
      </c>
      <c r="D73">
        <v>15220</v>
      </c>
      <c r="E73" s="18" t="s">
        <v>2300</v>
      </c>
      <c r="F73" s="3">
        <v>37543.083333333299</v>
      </c>
      <c r="G73" s="20">
        <f t="shared" ca="1" si="1"/>
        <v>23</v>
      </c>
      <c r="H73">
        <f>COUNTIF(BRON!A:A,Tabel6[[#This Row],[Personeelsnummer]])</f>
        <v>1</v>
      </c>
    </row>
    <row r="74" spans="1:8" x14ac:dyDescent="0.25">
      <c r="A74" s="18" t="s">
        <v>2349</v>
      </c>
      <c r="B74" s="18" t="s">
        <v>1393</v>
      </c>
      <c r="C74" s="18" t="s">
        <v>1392</v>
      </c>
      <c r="D74">
        <v>15282</v>
      </c>
      <c r="E74" s="18" t="s">
        <v>2265</v>
      </c>
      <c r="F74" s="3">
        <v>37564.041666666701</v>
      </c>
      <c r="G74" s="20">
        <f t="shared" ca="1" si="1"/>
        <v>23</v>
      </c>
      <c r="H74">
        <f>COUNTIF(BRON!A:A,Tabel6[[#This Row],[Personeelsnummer]])</f>
        <v>2</v>
      </c>
    </row>
    <row r="75" spans="1:8" x14ac:dyDescent="0.25">
      <c r="A75" s="18" t="s">
        <v>2350</v>
      </c>
      <c r="B75" s="18" t="s">
        <v>1395</v>
      </c>
      <c r="C75" s="18" t="s">
        <v>1394</v>
      </c>
      <c r="D75">
        <v>15320</v>
      </c>
      <c r="E75" s="18" t="s">
        <v>2270</v>
      </c>
      <c r="F75" s="3">
        <v>37585.041666666701</v>
      </c>
      <c r="G75" s="20">
        <f t="shared" ca="1" si="1"/>
        <v>23</v>
      </c>
      <c r="H75">
        <f>COUNTIF(BRON!A:A,Tabel6[[#This Row],[Personeelsnummer]])</f>
        <v>2</v>
      </c>
    </row>
    <row r="76" spans="1:8" x14ac:dyDescent="0.25">
      <c r="A76" s="18" t="s">
        <v>2351</v>
      </c>
      <c r="B76" s="18" t="s">
        <v>1397</v>
      </c>
      <c r="C76" s="18" t="s">
        <v>1396</v>
      </c>
      <c r="D76">
        <v>15412</v>
      </c>
      <c r="E76" s="18" t="s">
        <v>2261</v>
      </c>
      <c r="F76" s="3">
        <v>37634.041666666701</v>
      </c>
      <c r="G76" s="20">
        <f t="shared" ca="1" si="1"/>
        <v>23</v>
      </c>
      <c r="H76">
        <f>COUNTIF(BRON!A:A,Tabel6[[#This Row],[Personeelsnummer]])</f>
        <v>2</v>
      </c>
    </row>
    <row r="77" spans="1:8" x14ac:dyDescent="0.25">
      <c r="A77" s="18" t="s">
        <v>2352</v>
      </c>
      <c r="B77" s="18" t="s">
        <v>1399</v>
      </c>
      <c r="C77" s="18" t="s">
        <v>1398</v>
      </c>
      <c r="D77">
        <v>15626</v>
      </c>
      <c r="E77" s="18" t="s">
        <v>2261</v>
      </c>
      <c r="F77" s="3">
        <v>37718.083333333299</v>
      </c>
      <c r="G77" s="20">
        <f t="shared" ca="1" si="1"/>
        <v>22</v>
      </c>
      <c r="H77">
        <f>COUNTIF(BRON!A:A,Tabel6[[#This Row],[Personeelsnummer]])</f>
        <v>0</v>
      </c>
    </row>
    <row r="78" spans="1:8" x14ac:dyDescent="0.25">
      <c r="A78" s="18" t="s">
        <v>2353</v>
      </c>
      <c r="B78" s="18" t="s">
        <v>1401</v>
      </c>
      <c r="C78" s="18" t="s">
        <v>1400</v>
      </c>
      <c r="D78">
        <v>15628</v>
      </c>
      <c r="E78" s="18" t="s">
        <v>2265</v>
      </c>
      <c r="F78" s="3">
        <v>37718.083333333299</v>
      </c>
      <c r="G78" s="20">
        <f t="shared" ca="1" si="1"/>
        <v>22</v>
      </c>
      <c r="H78">
        <f>COUNTIF(BRON!A:A,Tabel6[[#This Row],[Personeelsnummer]])</f>
        <v>3</v>
      </c>
    </row>
    <row r="79" spans="1:8" x14ac:dyDescent="0.25">
      <c r="A79" s="18" t="s">
        <v>2354</v>
      </c>
      <c r="B79" s="18" t="s">
        <v>1326</v>
      </c>
      <c r="C79" s="18" t="s">
        <v>1402</v>
      </c>
      <c r="D79">
        <v>15676</v>
      </c>
      <c r="E79" s="18" t="s">
        <v>2263</v>
      </c>
      <c r="F79" s="3">
        <v>37739.083333333299</v>
      </c>
      <c r="G79" s="20">
        <f t="shared" ca="1" si="1"/>
        <v>22</v>
      </c>
      <c r="H79">
        <f>COUNTIF(BRON!A:A,Tabel6[[#This Row],[Personeelsnummer]])</f>
        <v>1</v>
      </c>
    </row>
    <row r="80" spans="1:8" x14ac:dyDescent="0.25">
      <c r="A80" s="18" t="s">
        <v>2355</v>
      </c>
      <c r="B80" s="18" t="s">
        <v>1404</v>
      </c>
      <c r="C80" s="18" t="s">
        <v>1403</v>
      </c>
      <c r="D80">
        <v>15726</v>
      </c>
      <c r="E80" s="18" t="s">
        <v>2261</v>
      </c>
      <c r="F80" s="3">
        <v>37767.083333333299</v>
      </c>
      <c r="G80" s="20">
        <f t="shared" ca="1" si="1"/>
        <v>22</v>
      </c>
      <c r="H80">
        <f>COUNTIF(BRON!A:A,Tabel6[[#This Row],[Personeelsnummer]])</f>
        <v>0</v>
      </c>
    </row>
    <row r="81" spans="1:8" x14ac:dyDescent="0.25">
      <c r="A81" s="18" t="s">
        <v>2356</v>
      </c>
      <c r="B81" s="18" t="s">
        <v>1406</v>
      </c>
      <c r="C81" s="18" t="s">
        <v>1405</v>
      </c>
      <c r="D81">
        <v>15852</v>
      </c>
      <c r="E81" s="18" t="s">
        <v>2265</v>
      </c>
      <c r="F81" s="3">
        <v>37788.083333333299</v>
      </c>
      <c r="G81" s="20">
        <f t="shared" ca="1" si="1"/>
        <v>22</v>
      </c>
      <c r="H81">
        <f>COUNTIF(BRON!A:A,Tabel6[[#This Row],[Personeelsnummer]])</f>
        <v>1</v>
      </c>
    </row>
    <row r="82" spans="1:8" x14ac:dyDescent="0.25">
      <c r="A82" s="18" t="s">
        <v>2357</v>
      </c>
      <c r="B82" s="18" t="s">
        <v>1389</v>
      </c>
      <c r="C82" s="18" t="s">
        <v>1407</v>
      </c>
      <c r="D82">
        <v>16094</v>
      </c>
      <c r="E82" s="18" t="s">
        <v>2265</v>
      </c>
      <c r="F82" s="3">
        <v>37830.083333333299</v>
      </c>
      <c r="G82" s="20">
        <f t="shared" ca="1" si="1"/>
        <v>22</v>
      </c>
      <c r="H82">
        <f>COUNTIF(BRON!A:A,Tabel6[[#This Row],[Personeelsnummer]])</f>
        <v>0</v>
      </c>
    </row>
    <row r="83" spans="1:8" x14ac:dyDescent="0.25">
      <c r="A83" s="18" t="s">
        <v>2358</v>
      </c>
      <c r="B83" s="18" t="s">
        <v>1409</v>
      </c>
      <c r="C83" s="18" t="s">
        <v>1408</v>
      </c>
      <c r="D83">
        <v>16095</v>
      </c>
      <c r="E83" s="18" t="s">
        <v>2265</v>
      </c>
      <c r="F83" s="3">
        <v>37830.083333333299</v>
      </c>
      <c r="G83" s="20">
        <f t="shared" ca="1" si="1"/>
        <v>22</v>
      </c>
      <c r="H83">
        <f>COUNTIF(BRON!A:A,Tabel6[[#This Row],[Personeelsnummer]])</f>
        <v>0</v>
      </c>
    </row>
    <row r="84" spans="1:8" x14ac:dyDescent="0.25">
      <c r="A84" s="18" t="s">
        <v>2359</v>
      </c>
      <c r="B84" s="18" t="s">
        <v>1411</v>
      </c>
      <c r="C84" s="18" t="s">
        <v>1410</v>
      </c>
      <c r="D84">
        <v>16098</v>
      </c>
      <c r="E84" s="18" t="s">
        <v>2297</v>
      </c>
      <c r="F84" s="3">
        <v>37830.083333333299</v>
      </c>
      <c r="G84" s="20">
        <f t="shared" ca="1" si="1"/>
        <v>22</v>
      </c>
      <c r="H84">
        <f>COUNTIF(BRON!A:A,Tabel6[[#This Row],[Personeelsnummer]])</f>
        <v>0</v>
      </c>
    </row>
    <row r="85" spans="1:8" x14ac:dyDescent="0.25">
      <c r="A85" s="18" t="s">
        <v>2360</v>
      </c>
      <c r="B85" s="18" t="s">
        <v>1404</v>
      </c>
      <c r="C85" s="18" t="s">
        <v>1412</v>
      </c>
      <c r="D85">
        <v>16275</v>
      </c>
      <c r="E85" s="18" t="s">
        <v>2277</v>
      </c>
      <c r="F85" s="3">
        <v>37886.083333333299</v>
      </c>
      <c r="G85" s="20">
        <f t="shared" ca="1" si="1"/>
        <v>22</v>
      </c>
      <c r="H85">
        <f>COUNTIF(BRON!A:A,Tabel6[[#This Row],[Personeelsnummer]])</f>
        <v>1</v>
      </c>
    </row>
    <row r="86" spans="1:8" x14ac:dyDescent="0.25">
      <c r="A86" s="18" t="s">
        <v>2361</v>
      </c>
      <c r="B86" s="18" t="s">
        <v>1414</v>
      </c>
      <c r="C86" s="18" t="s">
        <v>1413</v>
      </c>
      <c r="D86">
        <v>16279</v>
      </c>
      <c r="E86" s="18" t="s">
        <v>2300</v>
      </c>
      <c r="F86" s="3">
        <v>37886.083333333299</v>
      </c>
      <c r="G86" s="20">
        <f t="shared" ca="1" si="1"/>
        <v>22</v>
      </c>
      <c r="H86">
        <f>COUNTIF(BRON!A:A,Tabel6[[#This Row],[Personeelsnummer]])</f>
        <v>0</v>
      </c>
    </row>
    <row r="87" spans="1:8" x14ac:dyDescent="0.25">
      <c r="A87" s="18" t="s">
        <v>2362</v>
      </c>
      <c r="B87" s="18" t="s">
        <v>1416</v>
      </c>
      <c r="C87" s="18" t="s">
        <v>1415</v>
      </c>
      <c r="D87">
        <v>16280</v>
      </c>
      <c r="E87" s="18" t="s">
        <v>2263</v>
      </c>
      <c r="F87" s="3">
        <v>37886.083333333299</v>
      </c>
      <c r="G87" s="20">
        <f t="shared" ca="1" si="1"/>
        <v>22</v>
      </c>
      <c r="H87">
        <f>COUNTIF(BRON!A:A,Tabel6[[#This Row],[Personeelsnummer]])</f>
        <v>1</v>
      </c>
    </row>
    <row r="88" spans="1:8" x14ac:dyDescent="0.25">
      <c r="A88" s="18" t="s">
        <v>2363</v>
      </c>
      <c r="B88" s="18" t="s">
        <v>1418</v>
      </c>
      <c r="C88" s="18" t="s">
        <v>1417</v>
      </c>
      <c r="D88">
        <v>16282</v>
      </c>
      <c r="E88" s="18" t="s">
        <v>2265</v>
      </c>
      <c r="F88" s="3">
        <v>37886.083333333299</v>
      </c>
      <c r="G88" s="20">
        <f t="shared" ca="1" si="1"/>
        <v>22</v>
      </c>
      <c r="H88">
        <f>COUNTIF(BRON!A:A,Tabel6[[#This Row],[Personeelsnummer]])</f>
        <v>1</v>
      </c>
    </row>
    <row r="89" spans="1:8" x14ac:dyDescent="0.25">
      <c r="A89" s="18" t="s">
        <v>2364</v>
      </c>
      <c r="B89" s="18" t="s">
        <v>1420</v>
      </c>
      <c r="C89" s="18" t="s">
        <v>1419</v>
      </c>
      <c r="D89">
        <v>16545</v>
      </c>
      <c r="E89" s="18" t="s">
        <v>2261</v>
      </c>
      <c r="F89" s="3">
        <v>37991.041666666701</v>
      </c>
      <c r="G89" s="20">
        <f t="shared" ca="1" si="1"/>
        <v>22</v>
      </c>
      <c r="H89">
        <f>COUNTIF(BRON!A:A,Tabel6[[#This Row],[Personeelsnummer]])</f>
        <v>2</v>
      </c>
    </row>
    <row r="90" spans="1:8" x14ac:dyDescent="0.25">
      <c r="A90" s="18" t="s">
        <v>2365</v>
      </c>
      <c r="B90" s="18" t="s">
        <v>1421</v>
      </c>
      <c r="C90" s="18" t="s">
        <v>1342</v>
      </c>
      <c r="D90">
        <v>16546</v>
      </c>
      <c r="E90" s="18" t="s">
        <v>2297</v>
      </c>
      <c r="F90" s="3">
        <v>37991.041666666701</v>
      </c>
      <c r="G90" s="20">
        <f t="shared" ca="1" si="1"/>
        <v>22</v>
      </c>
      <c r="H90">
        <f>COUNTIF(BRON!A:A,Tabel6[[#This Row],[Personeelsnummer]])</f>
        <v>2</v>
      </c>
    </row>
    <row r="91" spans="1:8" x14ac:dyDescent="0.25">
      <c r="A91" s="18" t="s">
        <v>2366</v>
      </c>
      <c r="B91" s="18" t="s">
        <v>1423</v>
      </c>
      <c r="C91" s="18" t="s">
        <v>1422</v>
      </c>
      <c r="D91">
        <v>16623</v>
      </c>
      <c r="E91" s="18" t="s">
        <v>2270</v>
      </c>
      <c r="F91" s="3">
        <v>38019.041666666701</v>
      </c>
      <c r="G91" s="20">
        <f t="shared" ca="1" si="1"/>
        <v>21</v>
      </c>
      <c r="H91">
        <f>COUNTIF(BRON!A:A,Tabel6[[#This Row],[Personeelsnummer]])</f>
        <v>0</v>
      </c>
    </row>
    <row r="92" spans="1:8" x14ac:dyDescent="0.25">
      <c r="A92" s="18" t="s">
        <v>2367</v>
      </c>
      <c r="B92" s="18" t="s">
        <v>1343</v>
      </c>
      <c r="C92" s="18" t="s">
        <v>1424</v>
      </c>
      <c r="D92">
        <v>16895</v>
      </c>
      <c r="E92" s="18" t="s">
        <v>2261</v>
      </c>
      <c r="F92" s="3">
        <v>38103.083333333299</v>
      </c>
      <c r="G92" s="20">
        <f t="shared" ca="1" si="1"/>
        <v>21</v>
      </c>
      <c r="H92">
        <f>COUNTIF(BRON!A:A,Tabel6[[#This Row],[Personeelsnummer]])</f>
        <v>6</v>
      </c>
    </row>
    <row r="93" spans="1:8" x14ac:dyDescent="0.25">
      <c r="A93" s="18" t="s">
        <v>2368</v>
      </c>
      <c r="B93" s="18" t="s">
        <v>1426</v>
      </c>
      <c r="C93" s="18" t="s">
        <v>1425</v>
      </c>
      <c r="D93">
        <v>16897</v>
      </c>
      <c r="E93" s="18" t="s">
        <v>2286</v>
      </c>
      <c r="F93" s="3">
        <v>38103.083333333299</v>
      </c>
      <c r="G93" s="20">
        <f t="shared" ca="1" si="1"/>
        <v>21</v>
      </c>
      <c r="H93">
        <f>COUNTIF(BRON!A:A,Tabel6[[#This Row],[Personeelsnummer]])</f>
        <v>2</v>
      </c>
    </row>
    <row r="94" spans="1:8" x14ac:dyDescent="0.25">
      <c r="A94" s="18" t="s">
        <v>2369</v>
      </c>
      <c r="B94" s="18" t="s">
        <v>1428</v>
      </c>
      <c r="C94" s="18" t="s">
        <v>1427</v>
      </c>
      <c r="D94">
        <v>16899</v>
      </c>
      <c r="E94" s="18" t="s">
        <v>2286</v>
      </c>
      <c r="F94" s="3">
        <v>38103.083333333299</v>
      </c>
      <c r="G94" s="20">
        <f t="shared" ca="1" si="1"/>
        <v>21</v>
      </c>
      <c r="H94">
        <f>COUNTIF(BRON!A:A,Tabel6[[#This Row],[Personeelsnummer]])</f>
        <v>0</v>
      </c>
    </row>
    <row r="95" spans="1:8" x14ac:dyDescent="0.25">
      <c r="A95" s="18" t="s">
        <v>2370</v>
      </c>
      <c r="B95" s="18" t="s">
        <v>1430</v>
      </c>
      <c r="C95" s="18" t="s">
        <v>1429</v>
      </c>
      <c r="D95">
        <v>16970</v>
      </c>
      <c r="E95" s="18" t="s">
        <v>2261</v>
      </c>
      <c r="F95" s="3">
        <v>38124.083333333299</v>
      </c>
      <c r="G95" s="20">
        <f t="shared" ca="1" si="1"/>
        <v>21</v>
      </c>
      <c r="H95">
        <f>COUNTIF(BRON!A:A,Tabel6[[#This Row],[Personeelsnummer]])</f>
        <v>0</v>
      </c>
    </row>
    <row r="96" spans="1:8" x14ac:dyDescent="0.25">
      <c r="A96" s="18" t="s">
        <v>2371</v>
      </c>
      <c r="B96" s="18" t="s">
        <v>1432</v>
      </c>
      <c r="C96" s="18" t="s">
        <v>1431</v>
      </c>
      <c r="D96">
        <v>16971</v>
      </c>
      <c r="E96" s="18" t="s">
        <v>2261</v>
      </c>
      <c r="F96" s="3">
        <v>38124.083333333299</v>
      </c>
      <c r="G96" s="20">
        <f t="shared" ca="1" si="1"/>
        <v>21</v>
      </c>
      <c r="H96">
        <f>COUNTIF(BRON!A:A,Tabel6[[#This Row],[Personeelsnummer]])</f>
        <v>0</v>
      </c>
    </row>
    <row r="97" spans="1:8" x14ac:dyDescent="0.25">
      <c r="A97" s="18" t="s">
        <v>2372</v>
      </c>
      <c r="B97" s="18" t="s">
        <v>1434</v>
      </c>
      <c r="C97" s="18" t="s">
        <v>1433</v>
      </c>
      <c r="D97">
        <v>17555</v>
      </c>
      <c r="E97" s="18" t="s">
        <v>2261</v>
      </c>
      <c r="F97" s="3">
        <v>38222.083333333299</v>
      </c>
      <c r="G97" s="20">
        <f t="shared" ca="1" si="1"/>
        <v>21</v>
      </c>
      <c r="H97">
        <f>COUNTIF(BRON!A:A,Tabel6[[#This Row],[Personeelsnummer]])</f>
        <v>1</v>
      </c>
    </row>
    <row r="98" spans="1:8" x14ac:dyDescent="0.25">
      <c r="A98" s="18" t="s">
        <v>2373</v>
      </c>
      <c r="B98" s="18" t="s">
        <v>1436</v>
      </c>
      <c r="C98" s="18" t="s">
        <v>1435</v>
      </c>
      <c r="D98">
        <v>17566</v>
      </c>
      <c r="E98" s="18" t="s">
        <v>2261</v>
      </c>
      <c r="F98" s="3">
        <v>38222.083333333299</v>
      </c>
      <c r="G98" s="20">
        <f t="shared" ca="1" si="1"/>
        <v>21</v>
      </c>
      <c r="H98">
        <f>COUNTIF(BRON!A:A,Tabel6[[#This Row],[Personeelsnummer]])</f>
        <v>2</v>
      </c>
    </row>
    <row r="99" spans="1:8" x14ac:dyDescent="0.25">
      <c r="A99" s="18" t="s">
        <v>2374</v>
      </c>
      <c r="B99" s="18" t="s">
        <v>1511</v>
      </c>
      <c r="C99" s="18" t="s">
        <v>2375</v>
      </c>
      <c r="D99">
        <v>17929</v>
      </c>
      <c r="E99" s="18" t="s">
        <v>2376</v>
      </c>
      <c r="F99" s="3">
        <v>38386.041666666701</v>
      </c>
      <c r="G99" s="20">
        <f t="shared" ca="1" si="1"/>
        <v>20</v>
      </c>
      <c r="H99">
        <f>COUNTIF(BRON!A:A,Tabel6[[#This Row],[Personeelsnummer]])</f>
        <v>0</v>
      </c>
    </row>
    <row r="100" spans="1:8" x14ac:dyDescent="0.25">
      <c r="A100" s="18" t="s">
        <v>2377</v>
      </c>
      <c r="B100" s="18" t="s">
        <v>1438</v>
      </c>
      <c r="C100" s="18" t="s">
        <v>1437</v>
      </c>
      <c r="D100">
        <v>17931</v>
      </c>
      <c r="E100" s="18" t="s">
        <v>2277</v>
      </c>
      <c r="F100" s="3">
        <v>38390.041666666701</v>
      </c>
      <c r="G100" s="20">
        <f t="shared" ca="1" si="1"/>
        <v>20</v>
      </c>
      <c r="H100">
        <f>COUNTIF(BRON!A:A,Tabel6[[#This Row],[Personeelsnummer]])</f>
        <v>2</v>
      </c>
    </row>
    <row r="101" spans="1:8" x14ac:dyDescent="0.25">
      <c r="A101" s="18" t="s">
        <v>2378</v>
      </c>
      <c r="B101" s="18" t="s">
        <v>1440</v>
      </c>
      <c r="C101" s="18" t="s">
        <v>1439</v>
      </c>
      <c r="D101">
        <v>17951</v>
      </c>
      <c r="E101" s="18" t="s">
        <v>2261</v>
      </c>
      <c r="F101" s="3">
        <v>38404.041666666701</v>
      </c>
      <c r="G101" s="20">
        <f t="shared" ca="1" si="1"/>
        <v>20</v>
      </c>
      <c r="H101">
        <f>COUNTIF(BRON!A:A,Tabel6[[#This Row],[Personeelsnummer]])</f>
        <v>1</v>
      </c>
    </row>
    <row r="102" spans="1:8" x14ac:dyDescent="0.25">
      <c r="A102" s="18" t="s">
        <v>2379</v>
      </c>
      <c r="B102" s="18" t="s">
        <v>1442</v>
      </c>
      <c r="C102" s="18" t="s">
        <v>1441</v>
      </c>
      <c r="D102">
        <v>17954</v>
      </c>
      <c r="E102" s="18" t="s">
        <v>2263</v>
      </c>
      <c r="F102" s="3">
        <v>38404.041666666701</v>
      </c>
      <c r="G102" s="20">
        <f t="shared" ca="1" si="1"/>
        <v>20</v>
      </c>
      <c r="H102">
        <f>COUNTIF(BRON!A:A,Tabel6[[#This Row],[Personeelsnummer]])</f>
        <v>1</v>
      </c>
    </row>
    <row r="103" spans="1:8" x14ac:dyDescent="0.25">
      <c r="A103" s="18" t="s">
        <v>2380</v>
      </c>
      <c r="B103" s="18" t="s">
        <v>1464</v>
      </c>
      <c r="C103" s="18" t="s">
        <v>2381</v>
      </c>
      <c r="D103">
        <v>17955</v>
      </c>
      <c r="E103" s="18" t="s">
        <v>2376</v>
      </c>
      <c r="F103" s="3">
        <v>38404.041666666701</v>
      </c>
      <c r="G103" s="20">
        <f t="shared" ca="1" si="1"/>
        <v>20</v>
      </c>
      <c r="H103">
        <f>COUNTIF(BRON!A:A,Tabel6[[#This Row],[Personeelsnummer]])</f>
        <v>0</v>
      </c>
    </row>
    <row r="104" spans="1:8" x14ac:dyDescent="0.25">
      <c r="A104" s="18" t="s">
        <v>2382</v>
      </c>
      <c r="B104" s="18" t="s">
        <v>1395</v>
      </c>
      <c r="C104" s="18" t="s">
        <v>1443</v>
      </c>
      <c r="D104">
        <v>18051</v>
      </c>
      <c r="E104" s="18" t="s">
        <v>2297</v>
      </c>
      <c r="F104" s="3">
        <v>38446.083333333299</v>
      </c>
      <c r="G104" s="20">
        <f t="shared" ca="1" si="1"/>
        <v>20</v>
      </c>
      <c r="H104">
        <f>COUNTIF(BRON!A:A,Tabel6[[#This Row],[Personeelsnummer]])</f>
        <v>3</v>
      </c>
    </row>
    <row r="105" spans="1:8" x14ac:dyDescent="0.25">
      <c r="A105" s="18" t="s">
        <v>2383</v>
      </c>
      <c r="B105" s="18" t="s">
        <v>1349</v>
      </c>
      <c r="C105" s="18" t="s">
        <v>1353</v>
      </c>
      <c r="D105">
        <v>18139</v>
      </c>
      <c r="E105" s="18" t="s">
        <v>2261</v>
      </c>
      <c r="F105" s="3">
        <v>38460.083333333299</v>
      </c>
      <c r="G105" s="20">
        <f t="shared" ca="1" si="1"/>
        <v>20</v>
      </c>
      <c r="H105">
        <f>COUNTIF(BRON!A:A,Tabel6[[#This Row],[Personeelsnummer]])</f>
        <v>0</v>
      </c>
    </row>
    <row r="106" spans="1:8" x14ac:dyDescent="0.25">
      <c r="A106" s="18" t="s">
        <v>2384</v>
      </c>
      <c r="B106" s="18" t="s">
        <v>1445</v>
      </c>
      <c r="C106" s="18" t="s">
        <v>1444</v>
      </c>
      <c r="D106">
        <v>18141</v>
      </c>
      <c r="E106" s="18" t="s">
        <v>2297</v>
      </c>
      <c r="F106" s="3">
        <v>38460.083333333299</v>
      </c>
      <c r="G106" s="20">
        <f t="shared" ca="1" si="1"/>
        <v>20</v>
      </c>
      <c r="H106">
        <f>COUNTIF(BRON!A:A,Tabel6[[#This Row],[Personeelsnummer]])</f>
        <v>0</v>
      </c>
    </row>
    <row r="107" spans="1:8" x14ac:dyDescent="0.25">
      <c r="A107" s="18" t="s">
        <v>2385</v>
      </c>
      <c r="B107" s="18" t="s">
        <v>1447</v>
      </c>
      <c r="C107" s="18" t="s">
        <v>1446</v>
      </c>
      <c r="D107">
        <v>18173</v>
      </c>
      <c r="E107" s="18" t="s">
        <v>2265</v>
      </c>
      <c r="F107" s="3">
        <v>38481.083333333299</v>
      </c>
      <c r="G107" s="20">
        <f t="shared" ca="1" si="1"/>
        <v>20</v>
      </c>
      <c r="H107">
        <f>COUNTIF(BRON!A:A,Tabel6[[#This Row],[Personeelsnummer]])</f>
        <v>1</v>
      </c>
    </row>
    <row r="108" spans="1:8" x14ac:dyDescent="0.25">
      <c r="A108" s="18" t="s">
        <v>2386</v>
      </c>
      <c r="B108" s="18" t="s">
        <v>1449</v>
      </c>
      <c r="C108" s="18" t="s">
        <v>1448</v>
      </c>
      <c r="D108">
        <v>18624</v>
      </c>
      <c r="E108" s="18" t="s">
        <v>2261</v>
      </c>
      <c r="F108" s="3">
        <v>38593.083333333299</v>
      </c>
      <c r="G108" s="20">
        <f t="shared" ca="1" si="1"/>
        <v>20</v>
      </c>
      <c r="H108">
        <f>COUNTIF(BRON!A:A,Tabel6[[#This Row],[Personeelsnummer]])</f>
        <v>0</v>
      </c>
    </row>
    <row r="109" spans="1:8" x14ac:dyDescent="0.25">
      <c r="A109" s="18" t="s">
        <v>2387</v>
      </c>
      <c r="B109" s="18" t="s">
        <v>2388</v>
      </c>
      <c r="C109" s="18" t="s">
        <v>1360</v>
      </c>
      <c r="D109">
        <v>18987</v>
      </c>
      <c r="E109" s="18" t="s">
        <v>2286</v>
      </c>
      <c r="F109" s="3">
        <v>38754.041666666701</v>
      </c>
      <c r="G109" s="20">
        <f t="shared" ca="1" si="1"/>
        <v>19</v>
      </c>
      <c r="H109">
        <f>COUNTIF(BRON!A:A,Tabel6[[#This Row],[Personeelsnummer]])</f>
        <v>3</v>
      </c>
    </row>
    <row r="110" spans="1:8" x14ac:dyDescent="0.25">
      <c r="A110" s="18" t="s">
        <v>2389</v>
      </c>
      <c r="B110" s="18" t="s">
        <v>1451</v>
      </c>
      <c r="C110" s="18" t="s">
        <v>1450</v>
      </c>
      <c r="D110">
        <v>19016</v>
      </c>
      <c r="E110" s="18" t="s">
        <v>2270</v>
      </c>
      <c r="F110" s="3">
        <v>38775.041666666701</v>
      </c>
      <c r="G110" s="20">
        <f t="shared" ca="1" si="1"/>
        <v>19</v>
      </c>
      <c r="H110">
        <f>COUNTIF(BRON!A:A,Tabel6[[#This Row],[Personeelsnummer]])</f>
        <v>0</v>
      </c>
    </row>
    <row r="111" spans="1:8" x14ac:dyDescent="0.25">
      <c r="A111" s="18" t="s">
        <v>2390</v>
      </c>
      <c r="B111" s="18" t="s">
        <v>1453</v>
      </c>
      <c r="C111" s="18" t="s">
        <v>1452</v>
      </c>
      <c r="D111">
        <v>19086</v>
      </c>
      <c r="E111" s="18" t="s">
        <v>2286</v>
      </c>
      <c r="F111" s="3">
        <v>38789.041666666701</v>
      </c>
      <c r="G111" s="20">
        <f t="shared" ca="1" si="1"/>
        <v>19</v>
      </c>
      <c r="H111">
        <f>COUNTIF(BRON!A:A,Tabel6[[#This Row],[Personeelsnummer]])</f>
        <v>0</v>
      </c>
    </row>
    <row r="112" spans="1:8" x14ac:dyDescent="0.25">
      <c r="A112" s="18" t="s">
        <v>2391</v>
      </c>
      <c r="B112" s="18" t="s">
        <v>1389</v>
      </c>
      <c r="C112" s="18" t="s">
        <v>1454</v>
      </c>
      <c r="D112">
        <v>19087</v>
      </c>
      <c r="E112" s="18" t="s">
        <v>2270</v>
      </c>
      <c r="F112" s="3">
        <v>38789.041666666701</v>
      </c>
      <c r="G112" s="20">
        <f t="shared" ca="1" si="1"/>
        <v>19</v>
      </c>
      <c r="H112">
        <f>COUNTIF(BRON!A:A,Tabel6[[#This Row],[Personeelsnummer]])</f>
        <v>1</v>
      </c>
    </row>
    <row r="113" spans="1:8" x14ac:dyDescent="0.25">
      <c r="A113" s="18" t="s">
        <v>2392</v>
      </c>
      <c r="B113" s="18" t="s">
        <v>1353</v>
      </c>
      <c r="C113" s="18" t="s">
        <v>1455</v>
      </c>
      <c r="D113">
        <v>19088</v>
      </c>
      <c r="E113" s="18" t="s">
        <v>2265</v>
      </c>
      <c r="F113" s="3">
        <v>38789.041666666701</v>
      </c>
      <c r="G113" s="20">
        <f t="shared" ca="1" si="1"/>
        <v>19</v>
      </c>
      <c r="H113">
        <f>COUNTIF(BRON!A:A,Tabel6[[#This Row],[Personeelsnummer]])</f>
        <v>1</v>
      </c>
    </row>
    <row r="114" spans="1:8" x14ac:dyDescent="0.25">
      <c r="A114" s="18" t="s">
        <v>2393</v>
      </c>
      <c r="B114" s="18" t="s">
        <v>1434</v>
      </c>
      <c r="C114" s="18" t="s">
        <v>1456</v>
      </c>
      <c r="D114">
        <v>19127</v>
      </c>
      <c r="E114" s="18" t="s">
        <v>2297</v>
      </c>
      <c r="F114" s="3">
        <v>38810.083333333299</v>
      </c>
      <c r="G114" s="20">
        <f t="shared" ca="1" si="1"/>
        <v>19</v>
      </c>
      <c r="H114">
        <f>COUNTIF(BRON!A:A,Tabel6[[#This Row],[Personeelsnummer]])</f>
        <v>0</v>
      </c>
    </row>
    <row r="115" spans="1:8" x14ac:dyDescent="0.25">
      <c r="A115" s="18" t="s">
        <v>2394</v>
      </c>
      <c r="B115" s="18" t="s">
        <v>1458</v>
      </c>
      <c r="C115" s="18" t="s">
        <v>1457</v>
      </c>
      <c r="D115">
        <v>19219</v>
      </c>
      <c r="E115" s="18" t="s">
        <v>2263</v>
      </c>
      <c r="F115" s="3">
        <v>38831.083333333299</v>
      </c>
      <c r="G115" s="20">
        <f t="shared" ca="1" si="1"/>
        <v>19</v>
      </c>
      <c r="H115">
        <f>COUNTIF(BRON!A:A,Tabel6[[#This Row],[Personeelsnummer]])</f>
        <v>1</v>
      </c>
    </row>
    <row r="116" spans="1:8" x14ac:dyDescent="0.25">
      <c r="A116" s="18" t="s">
        <v>2395</v>
      </c>
      <c r="B116" s="18" t="s">
        <v>1460</v>
      </c>
      <c r="C116" s="18" t="s">
        <v>1459</v>
      </c>
      <c r="D116">
        <v>19249</v>
      </c>
      <c r="E116" s="18" t="s">
        <v>2263</v>
      </c>
      <c r="F116" s="3">
        <v>38852.083333333299</v>
      </c>
      <c r="G116" s="20">
        <f t="shared" ca="1" si="1"/>
        <v>19</v>
      </c>
      <c r="H116">
        <f>COUNTIF(BRON!A:A,Tabel6[[#This Row],[Personeelsnummer]])</f>
        <v>4</v>
      </c>
    </row>
    <row r="117" spans="1:8" x14ac:dyDescent="0.25">
      <c r="A117" s="18" t="s">
        <v>2396</v>
      </c>
      <c r="B117" s="18" t="s">
        <v>1464</v>
      </c>
      <c r="C117" s="18" t="s">
        <v>1463</v>
      </c>
      <c r="D117">
        <v>19520</v>
      </c>
      <c r="E117" s="18" t="s">
        <v>2277</v>
      </c>
      <c r="F117" s="3">
        <v>38908.083333333299</v>
      </c>
      <c r="G117" s="20">
        <f t="shared" ca="1" si="1"/>
        <v>19</v>
      </c>
      <c r="H117">
        <f>COUNTIF(BRON!A:A,Tabel6[[#This Row],[Personeelsnummer]])</f>
        <v>1</v>
      </c>
    </row>
    <row r="118" spans="1:8" x14ac:dyDescent="0.25">
      <c r="A118" s="18" t="s">
        <v>2397</v>
      </c>
      <c r="B118" s="18" t="s">
        <v>1466</v>
      </c>
      <c r="C118" s="18" t="s">
        <v>1465</v>
      </c>
      <c r="D118">
        <v>19675</v>
      </c>
      <c r="E118" s="18" t="s">
        <v>2265</v>
      </c>
      <c r="F118" s="3">
        <v>38929.083333333299</v>
      </c>
      <c r="G118" s="20">
        <f t="shared" ca="1" si="1"/>
        <v>19</v>
      </c>
      <c r="H118">
        <f>COUNTIF(BRON!A:A,Tabel6[[#This Row],[Personeelsnummer]])</f>
        <v>0</v>
      </c>
    </row>
    <row r="119" spans="1:8" x14ac:dyDescent="0.25">
      <c r="A119" s="18" t="s">
        <v>2398</v>
      </c>
      <c r="B119" s="18" t="s">
        <v>1468</v>
      </c>
      <c r="C119" s="18" t="s">
        <v>1467</v>
      </c>
      <c r="D119">
        <v>19676</v>
      </c>
      <c r="E119" s="18" t="s">
        <v>2286</v>
      </c>
      <c r="F119" s="3">
        <v>38929.083333333299</v>
      </c>
      <c r="G119" s="20">
        <f t="shared" ca="1" si="1"/>
        <v>19</v>
      </c>
      <c r="H119">
        <f>COUNTIF(BRON!A:A,Tabel6[[#This Row],[Personeelsnummer]])</f>
        <v>0</v>
      </c>
    </row>
    <row r="120" spans="1:8" x14ac:dyDescent="0.25">
      <c r="A120" s="18" t="s">
        <v>2399</v>
      </c>
      <c r="B120" s="18" t="s">
        <v>1470</v>
      </c>
      <c r="C120" s="18" t="s">
        <v>1469</v>
      </c>
      <c r="D120">
        <v>19691</v>
      </c>
      <c r="E120" s="18" t="s">
        <v>2270</v>
      </c>
      <c r="F120" s="3">
        <v>38936.083333333299</v>
      </c>
      <c r="G120" s="20">
        <f t="shared" ca="1" si="1"/>
        <v>19</v>
      </c>
      <c r="H120">
        <f>COUNTIF(BRON!A:A,Tabel6[[#This Row],[Personeelsnummer]])</f>
        <v>0</v>
      </c>
    </row>
    <row r="121" spans="1:8" x14ac:dyDescent="0.25">
      <c r="A121" s="18" t="s">
        <v>2400</v>
      </c>
      <c r="B121" s="18" t="s">
        <v>1472</v>
      </c>
      <c r="C121" s="18" t="s">
        <v>1471</v>
      </c>
      <c r="D121">
        <v>19766</v>
      </c>
      <c r="E121" s="18" t="s">
        <v>2261</v>
      </c>
      <c r="F121" s="3">
        <v>38957.083333333299</v>
      </c>
      <c r="G121" s="20">
        <f t="shared" ca="1" si="1"/>
        <v>19</v>
      </c>
      <c r="H121">
        <f>COUNTIF(BRON!A:A,Tabel6[[#This Row],[Personeelsnummer]])</f>
        <v>0</v>
      </c>
    </row>
    <row r="122" spans="1:8" x14ac:dyDescent="0.25">
      <c r="A122" s="18" t="s">
        <v>2401</v>
      </c>
      <c r="B122" s="18" t="s">
        <v>1474</v>
      </c>
      <c r="C122" s="18" t="s">
        <v>1473</v>
      </c>
      <c r="D122">
        <v>19810</v>
      </c>
      <c r="E122" s="18" t="s">
        <v>2300</v>
      </c>
      <c r="F122" s="3">
        <v>38971.083333333299</v>
      </c>
      <c r="G122" s="20">
        <f t="shared" ca="1" si="1"/>
        <v>19</v>
      </c>
      <c r="H122">
        <f>COUNTIF(BRON!A:A,Tabel6[[#This Row],[Personeelsnummer]])</f>
        <v>0</v>
      </c>
    </row>
    <row r="123" spans="1:8" x14ac:dyDescent="0.25">
      <c r="A123" s="18" t="s">
        <v>2402</v>
      </c>
      <c r="B123" s="18" t="s">
        <v>1404</v>
      </c>
      <c r="C123" s="18" t="s">
        <v>1475</v>
      </c>
      <c r="D123">
        <v>19848</v>
      </c>
      <c r="E123" s="18" t="s">
        <v>2286</v>
      </c>
      <c r="F123" s="3">
        <v>38992.083333333299</v>
      </c>
      <c r="G123" s="20">
        <f t="shared" ca="1" si="1"/>
        <v>19</v>
      </c>
      <c r="H123">
        <f>COUNTIF(BRON!A:A,Tabel6[[#This Row],[Personeelsnummer]])</f>
        <v>1</v>
      </c>
    </row>
    <row r="124" spans="1:8" x14ac:dyDescent="0.25">
      <c r="A124" s="18" t="s">
        <v>2403</v>
      </c>
      <c r="B124" s="18" t="s">
        <v>1397</v>
      </c>
      <c r="C124" s="18" t="s">
        <v>1476</v>
      </c>
      <c r="D124">
        <v>19917</v>
      </c>
      <c r="E124" s="18" t="s">
        <v>2261</v>
      </c>
      <c r="F124" s="3">
        <v>39006.083333333299</v>
      </c>
      <c r="G124" s="20">
        <f t="shared" ca="1" si="1"/>
        <v>19</v>
      </c>
      <c r="H124">
        <f>COUNTIF(BRON!A:A,Tabel6[[#This Row],[Personeelsnummer]])</f>
        <v>10</v>
      </c>
    </row>
    <row r="125" spans="1:8" x14ac:dyDescent="0.25">
      <c r="A125" s="18" t="s">
        <v>2404</v>
      </c>
      <c r="B125" s="18" t="s">
        <v>1478</v>
      </c>
      <c r="C125" s="18" t="s">
        <v>1477</v>
      </c>
      <c r="D125">
        <v>20375</v>
      </c>
      <c r="E125" s="18" t="s">
        <v>2300</v>
      </c>
      <c r="F125" s="3">
        <v>39132.041666666701</v>
      </c>
      <c r="G125" s="20">
        <f t="shared" ca="1" si="1"/>
        <v>18</v>
      </c>
      <c r="H125">
        <f>COUNTIF(BRON!A:A,Tabel6[[#This Row],[Personeelsnummer]])</f>
        <v>1</v>
      </c>
    </row>
    <row r="126" spans="1:8" x14ac:dyDescent="0.25">
      <c r="A126" s="18" t="s">
        <v>2405</v>
      </c>
      <c r="B126" s="18" t="s">
        <v>1480</v>
      </c>
      <c r="C126" s="18" t="s">
        <v>1479</v>
      </c>
      <c r="D126">
        <v>20376</v>
      </c>
      <c r="E126" s="18" t="s">
        <v>2286</v>
      </c>
      <c r="F126" s="3">
        <v>39132.041666666701</v>
      </c>
      <c r="G126" s="20">
        <f t="shared" ca="1" si="1"/>
        <v>18</v>
      </c>
      <c r="H126">
        <f>COUNTIF(BRON!A:A,Tabel6[[#This Row],[Personeelsnummer]])</f>
        <v>0</v>
      </c>
    </row>
    <row r="127" spans="1:8" x14ac:dyDescent="0.25">
      <c r="A127" s="18" t="s">
        <v>2406</v>
      </c>
      <c r="B127" s="18" t="s">
        <v>1355</v>
      </c>
      <c r="C127" s="18" t="s">
        <v>1481</v>
      </c>
      <c r="D127">
        <v>20400</v>
      </c>
      <c r="E127" s="18" t="s">
        <v>2300</v>
      </c>
      <c r="F127" s="3">
        <v>39146.041666666701</v>
      </c>
      <c r="G127" s="20">
        <f t="shared" ca="1" si="1"/>
        <v>18</v>
      </c>
      <c r="H127">
        <f>COUNTIF(BRON!A:A,Tabel6[[#This Row],[Personeelsnummer]])</f>
        <v>1</v>
      </c>
    </row>
    <row r="128" spans="1:8" x14ac:dyDescent="0.25">
      <c r="A128" s="18" t="s">
        <v>2407</v>
      </c>
      <c r="B128" s="18" t="s">
        <v>1349</v>
      </c>
      <c r="C128" s="18" t="s">
        <v>1482</v>
      </c>
      <c r="D128">
        <v>20402</v>
      </c>
      <c r="E128" s="18" t="s">
        <v>2277</v>
      </c>
      <c r="F128" s="3">
        <v>39146.041666666701</v>
      </c>
      <c r="G128" s="20">
        <f t="shared" ca="1" si="1"/>
        <v>18</v>
      </c>
      <c r="H128">
        <f>COUNTIF(BRON!A:A,Tabel6[[#This Row],[Personeelsnummer]])</f>
        <v>0</v>
      </c>
    </row>
    <row r="129" spans="1:8" x14ac:dyDescent="0.25">
      <c r="A129" s="18" t="s">
        <v>2408</v>
      </c>
      <c r="B129" s="18" t="s">
        <v>1355</v>
      </c>
      <c r="C129" s="18" t="s">
        <v>1483</v>
      </c>
      <c r="D129">
        <v>20404</v>
      </c>
      <c r="E129" s="18" t="s">
        <v>2297</v>
      </c>
      <c r="F129" s="3">
        <v>39146.041666666701</v>
      </c>
      <c r="G129" s="20">
        <f t="shared" ca="1" si="1"/>
        <v>18</v>
      </c>
      <c r="H129">
        <f>COUNTIF(BRON!A:A,Tabel6[[#This Row],[Personeelsnummer]])</f>
        <v>2</v>
      </c>
    </row>
    <row r="130" spans="1:8" x14ac:dyDescent="0.25">
      <c r="A130" s="18" t="s">
        <v>2409</v>
      </c>
      <c r="B130" s="18" t="s">
        <v>1485</v>
      </c>
      <c r="C130" s="18" t="s">
        <v>1484</v>
      </c>
      <c r="D130">
        <v>20476</v>
      </c>
      <c r="E130" s="18" t="s">
        <v>2300</v>
      </c>
      <c r="F130" s="3">
        <v>39160.041666666701</v>
      </c>
      <c r="G130" s="20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18" t="s">
        <v>2410</v>
      </c>
      <c r="B131" s="18" t="s">
        <v>1487</v>
      </c>
      <c r="C131" s="18" t="s">
        <v>1486</v>
      </c>
      <c r="D131">
        <v>20542</v>
      </c>
      <c r="E131" s="18" t="s">
        <v>2277</v>
      </c>
      <c r="F131" s="3">
        <v>39174.083333333299</v>
      </c>
      <c r="G131" s="20">
        <f t="shared" ca="1" si="2"/>
        <v>18</v>
      </c>
      <c r="H131">
        <f>COUNTIF(BRON!A:A,Tabel6[[#This Row],[Personeelsnummer]])</f>
        <v>1</v>
      </c>
    </row>
    <row r="132" spans="1:8" x14ac:dyDescent="0.25">
      <c r="A132" s="18" t="s">
        <v>2411</v>
      </c>
      <c r="B132" s="18" t="s">
        <v>1489</v>
      </c>
      <c r="C132" s="18" t="s">
        <v>1488</v>
      </c>
      <c r="D132">
        <v>20543</v>
      </c>
      <c r="E132" s="18" t="s">
        <v>2265</v>
      </c>
      <c r="F132" s="3">
        <v>39174.083333333299</v>
      </c>
      <c r="G132" s="20">
        <f t="shared" ca="1" si="2"/>
        <v>18</v>
      </c>
      <c r="H132">
        <f>COUNTIF(BRON!A:A,Tabel6[[#This Row],[Personeelsnummer]])</f>
        <v>1</v>
      </c>
    </row>
    <row r="133" spans="1:8" x14ac:dyDescent="0.25">
      <c r="A133" s="18" t="s">
        <v>2412</v>
      </c>
      <c r="B133" s="18" t="s">
        <v>1491</v>
      </c>
      <c r="C133" s="18" t="s">
        <v>1490</v>
      </c>
      <c r="D133">
        <v>20610</v>
      </c>
      <c r="E133" s="18" t="s">
        <v>2286</v>
      </c>
      <c r="F133" s="3">
        <v>39188.083333333299</v>
      </c>
      <c r="G133" s="20">
        <f t="shared" ca="1" si="2"/>
        <v>18</v>
      </c>
      <c r="H133">
        <f>COUNTIF(BRON!A:A,Tabel6[[#This Row],[Personeelsnummer]])</f>
        <v>0</v>
      </c>
    </row>
    <row r="134" spans="1:8" x14ac:dyDescent="0.25">
      <c r="A134" s="18" t="s">
        <v>2413</v>
      </c>
      <c r="B134" s="18" t="s">
        <v>1493</v>
      </c>
      <c r="C134" s="18" t="s">
        <v>1492</v>
      </c>
      <c r="D134">
        <v>20612</v>
      </c>
      <c r="E134" s="18" t="s">
        <v>2286</v>
      </c>
      <c r="F134" s="3">
        <v>39188.083333333299</v>
      </c>
      <c r="G134" s="20">
        <f t="shared" ca="1" si="2"/>
        <v>18</v>
      </c>
      <c r="H134">
        <f>COUNTIF(BRON!A:A,Tabel6[[#This Row],[Personeelsnummer]])</f>
        <v>0</v>
      </c>
    </row>
    <row r="135" spans="1:8" x14ac:dyDescent="0.25">
      <c r="A135" s="18" t="s">
        <v>2414</v>
      </c>
      <c r="B135" s="18" t="s">
        <v>1495</v>
      </c>
      <c r="C135" s="18" t="s">
        <v>1494</v>
      </c>
      <c r="D135">
        <v>20653</v>
      </c>
      <c r="E135" s="18" t="s">
        <v>2261</v>
      </c>
      <c r="F135" s="3">
        <v>39204.083333333299</v>
      </c>
      <c r="G135" s="20">
        <f t="shared" ca="1" si="2"/>
        <v>18</v>
      </c>
      <c r="H135">
        <f>COUNTIF(BRON!A:A,Tabel6[[#This Row],[Personeelsnummer]])</f>
        <v>3</v>
      </c>
    </row>
    <row r="136" spans="1:8" x14ac:dyDescent="0.25">
      <c r="A136" s="18" t="s">
        <v>2415</v>
      </c>
      <c r="B136" s="18" t="s">
        <v>1426</v>
      </c>
      <c r="C136" s="18" t="s">
        <v>1496</v>
      </c>
      <c r="D136">
        <v>20655</v>
      </c>
      <c r="E136" s="18" t="s">
        <v>2277</v>
      </c>
      <c r="F136" s="3">
        <v>39204.083333333299</v>
      </c>
      <c r="G136" s="20">
        <f t="shared" ca="1" si="2"/>
        <v>18</v>
      </c>
      <c r="H136">
        <f>COUNTIF(BRON!A:A,Tabel6[[#This Row],[Personeelsnummer]])</f>
        <v>0</v>
      </c>
    </row>
    <row r="137" spans="1:8" x14ac:dyDescent="0.25">
      <c r="A137" s="18" t="s">
        <v>2416</v>
      </c>
      <c r="B137" s="18" t="s">
        <v>1497</v>
      </c>
      <c r="C137" s="18" t="s">
        <v>1492</v>
      </c>
      <c r="D137">
        <v>20656</v>
      </c>
      <c r="E137" s="18" t="s">
        <v>2270</v>
      </c>
      <c r="F137" s="3">
        <v>39204.083333333299</v>
      </c>
      <c r="G137" s="20">
        <f t="shared" ca="1" si="2"/>
        <v>18</v>
      </c>
      <c r="H137">
        <f>COUNTIF(BRON!A:A,Tabel6[[#This Row],[Personeelsnummer]])</f>
        <v>1</v>
      </c>
    </row>
    <row r="138" spans="1:8" x14ac:dyDescent="0.25">
      <c r="A138" s="18" t="s">
        <v>2417</v>
      </c>
      <c r="B138" s="18" t="s">
        <v>1499</v>
      </c>
      <c r="C138" s="18" t="s">
        <v>1498</v>
      </c>
      <c r="D138">
        <v>20705</v>
      </c>
      <c r="E138" s="18" t="s">
        <v>2270</v>
      </c>
      <c r="F138" s="3">
        <v>39223.083333333299</v>
      </c>
      <c r="G138" s="20">
        <f t="shared" ca="1" si="2"/>
        <v>18</v>
      </c>
      <c r="H138">
        <f>COUNTIF(BRON!A:A,Tabel6[[#This Row],[Personeelsnummer]])</f>
        <v>0</v>
      </c>
    </row>
    <row r="139" spans="1:8" x14ac:dyDescent="0.25">
      <c r="A139" s="18" t="s">
        <v>2418</v>
      </c>
      <c r="B139" s="18" t="s">
        <v>1501</v>
      </c>
      <c r="C139" s="18" t="s">
        <v>1500</v>
      </c>
      <c r="D139">
        <v>20954</v>
      </c>
      <c r="E139" s="18" t="s">
        <v>2277</v>
      </c>
      <c r="F139" s="3">
        <v>39272.083333333299</v>
      </c>
      <c r="G139" s="20">
        <f t="shared" ca="1" si="2"/>
        <v>18</v>
      </c>
      <c r="H139">
        <f>COUNTIF(BRON!A:A,Tabel6[[#This Row],[Personeelsnummer]])</f>
        <v>0</v>
      </c>
    </row>
    <row r="140" spans="1:8" x14ac:dyDescent="0.25">
      <c r="A140" s="18" t="s">
        <v>2419</v>
      </c>
      <c r="B140" s="18" t="s">
        <v>1503</v>
      </c>
      <c r="C140" s="18" t="s">
        <v>1502</v>
      </c>
      <c r="D140">
        <v>21121</v>
      </c>
      <c r="E140" s="18" t="s">
        <v>2265</v>
      </c>
      <c r="F140" s="3">
        <v>39286.083333333299</v>
      </c>
      <c r="G140" s="20">
        <f t="shared" ca="1" si="2"/>
        <v>18</v>
      </c>
      <c r="H140">
        <f>COUNTIF(BRON!A:A,Tabel6[[#This Row],[Personeelsnummer]])</f>
        <v>2</v>
      </c>
    </row>
    <row r="141" spans="1:8" x14ac:dyDescent="0.25">
      <c r="A141" s="18" t="s">
        <v>2420</v>
      </c>
      <c r="B141" s="18" t="s">
        <v>1505</v>
      </c>
      <c r="C141" s="18" t="s">
        <v>1504</v>
      </c>
      <c r="D141">
        <v>21124</v>
      </c>
      <c r="E141" s="18" t="s">
        <v>2297</v>
      </c>
      <c r="F141" s="3">
        <v>39286.083333333299</v>
      </c>
      <c r="G141" s="20">
        <f t="shared" ca="1" si="2"/>
        <v>18</v>
      </c>
      <c r="H141">
        <f>COUNTIF(BRON!A:A,Tabel6[[#This Row],[Personeelsnummer]])</f>
        <v>1</v>
      </c>
    </row>
    <row r="142" spans="1:8" x14ac:dyDescent="0.25">
      <c r="A142" s="18" t="s">
        <v>2421</v>
      </c>
      <c r="B142" s="18" t="s">
        <v>1507</v>
      </c>
      <c r="C142" s="18" t="s">
        <v>1506</v>
      </c>
      <c r="D142">
        <v>21160</v>
      </c>
      <c r="E142" s="18" t="s">
        <v>2286</v>
      </c>
      <c r="F142" s="3">
        <v>39300.083333333299</v>
      </c>
      <c r="G142" s="20">
        <f t="shared" ca="1" si="2"/>
        <v>18</v>
      </c>
      <c r="H142">
        <f>COUNTIF(BRON!A:A,Tabel6[[#This Row],[Personeelsnummer]])</f>
        <v>0</v>
      </c>
    </row>
    <row r="143" spans="1:8" x14ac:dyDescent="0.25">
      <c r="A143" s="18" t="s">
        <v>2422</v>
      </c>
      <c r="B143" s="18" t="s">
        <v>1509</v>
      </c>
      <c r="C143" s="18" t="s">
        <v>1508</v>
      </c>
      <c r="D143">
        <v>21249</v>
      </c>
      <c r="E143" s="18" t="s">
        <v>2297</v>
      </c>
      <c r="F143" s="3">
        <v>39314.083333333299</v>
      </c>
      <c r="G143" s="20">
        <f t="shared" ca="1" si="2"/>
        <v>18</v>
      </c>
      <c r="H143">
        <f>COUNTIF(BRON!A:A,Tabel6[[#This Row],[Personeelsnummer]])</f>
        <v>0</v>
      </c>
    </row>
    <row r="144" spans="1:8" x14ac:dyDescent="0.25">
      <c r="A144" s="18" t="s">
        <v>2423</v>
      </c>
      <c r="B144" s="18" t="s">
        <v>1511</v>
      </c>
      <c r="C144" s="18" t="s">
        <v>1510</v>
      </c>
      <c r="D144">
        <v>21382</v>
      </c>
      <c r="E144" s="18" t="s">
        <v>2277</v>
      </c>
      <c r="F144" s="3">
        <v>39356.083333333299</v>
      </c>
      <c r="G144" s="20">
        <f t="shared" ca="1" si="2"/>
        <v>18</v>
      </c>
      <c r="H144">
        <f>COUNTIF(BRON!A:A,Tabel6[[#This Row],[Personeelsnummer]])</f>
        <v>1</v>
      </c>
    </row>
    <row r="145" spans="1:8" x14ac:dyDescent="0.25">
      <c r="A145" s="18" t="s">
        <v>2424</v>
      </c>
      <c r="B145" s="18" t="s">
        <v>1367</v>
      </c>
      <c r="C145" s="18" t="s">
        <v>1512</v>
      </c>
      <c r="D145">
        <v>21383</v>
      </c>
      <c r="E145" s="18" t="s">
        <v>2265</v>
      </c>
      <c r="F145" s="3">
        <v>39356.083333333299</v>
      </c>
      <c r="G145" s="20">
        <f t="shared" ca="1" si="2"/>
        <v>18</v>
      </c>
      <c r="H145">
        <f>COUNTIF(BRON!A:A,Tabel6[[#This Row],[Personeelsnummer]])</f>
        <v>0</v>
      </c>
    </row>
    <row r="146" spans="1:8" x14ac:dyDescent="0.25">
      <c r="A146" s="18" t="s">
        <v>2425</v>
      </c>
      <c r="B146" s="18" t="s">
        <v>1432</v>
      </c>
      <c r="C146" s="18" t="s">
        <v>2426</v>
      </c>
      <c r="D146">
        <v>21423</v>
      </c>
      <c r="E146" s="18" t="s">
        <v>2376</v>
      </c>
      <c r="F146" s="3">
        <v>39370.083333333299</v>
      </c>
      <c r="G146" s="20">
        <f t="shared" ca="1" si="2"/>
        <v>18</v>
      </c>
      <c r="H146">
        <f>COUNTIF(BRON!A:A,Tabel6[[#This Row],[Personeelsnummer]])</f>
        <v>0</v>
      </c>
    </row>
    <row r="147" spans="1:8" x14ac:dyDescent="0.25">
      <c r="A147" s="18" t="s">
        <v>2427</v>
      </c>
      <c r="B147" s="18" t="s">
        <v>1514</v>
      </c>
      <c r="C147" s="18" t="s">
        <v>1513</v>
      </c>
      <c r="D147">
        <v>21424</v>
      </c>
      <c r="E147" s="18" t="s">
        <v>2277</v>
      </c>
      <c r="F147" s="3">
        <v>39370.083333333299</v>
      </c>
      <c r="G147" s="20">
        <f t="shared" ca="1" si="2"/>
        <v>18</v>
      </c>
      <c r="H147">
        <f>COUNTIF(BRON!A:A,Tabel6[[#This Row],[Personeelsnummer]])</f>
        <v>2</v>
      </c>
    </row>
    <row r="148" spans="1:8" x14ac:dyDescent="0.25">
      <c r="A148" s="18" t="s">
        <v>2428</v>
      </c>
      <c r="B148" s="18" t="s">
        <v>1406</v>
      </c>
      <c r="C148" s="18" t="s">
        <v>1515</v>
      </c>
      <c r="D148">
        <v>21428</v>
      </c>
      <c r="E148" s="18" t="s">
        <v>2270</v>
      </c>
      <c r="F148" s="3">
        <v>39370.083333333299</v>
      </c>
      <c r="G148" s="20">
        <f t="shared" ca="1" si="2"/>
        <v>18</v>
      </c>
      <c r="H148">
        <f>COUNTIF(BRON!A:A,Tabel6[[#This Row],[Personeelsnummer]])</f>
        <v>0</v>
      </c>
    </row>
    <row r="149" spans="1:8" x14ac:dyDescent="0.25">
      <c r="A149" s="18" t="s">
        <v>2429</v>
      </c>
      <c r="B149" s="18" t="s">
        <v>1517</v>
      </c>
      <c r="C149" s="18" t="s">
        <v>1516</v>
      </c>
      <c r="D149">
        <v>21429</v>
      </c>
      <c r="E149" s="18" t="s">
        <v>2286</v>
      </c>
      <c r="F149" s="3">
        <v>39370.083333333299</v>
      </c>
      <c r="G149" s="20">
        <f t="shared" ca="1" si="2"/>
        <v>18</v>
      </c>
      <c r="H149">
        <f>COUNTIF(BRON!A:A,Tabel6[[#This Row],[Personeelsnummer]])</f>
        <v>0</v>
      </c>
    </row>
    <row r="150" spans="1:8" x14ac:dyDescent="0.25">
      <c r="A150" s="18" t="s">
        <v>2430</v>
      </c>
      <c r="B150" s="18" t="s">
        <v>1518</v>
      </c>
      <c r="C150" s="18" t="s">
        <v>1344</v>
      </c>
      <c r="D150">
        <v>21466</v>
      </c>
      <c r="E150" s="18" t="s">
        <v>2263</v>
      </c>
      <c r="F150" s="3">
        <v>39391.041666666701</v>
      </c>
      <c r="G150" s="20">
        <f t="shared" ca="1" si="2"/>
        <v>18</v>
      </c>
      <c r="H150">
        <f>COUNTIF(BRON!A:A,Tabel6[[#This Row],[Personeelsnummer]])</f>
        <v>0</v>
      </c>
    </row>
    <row r="151" spans="1:8" x14ac:dyDescent="0.25">
      <c r="A151" s="18" t="s">
        <v>2431</v>
      </c>
      <c r="B151" s="18" t="s">
        <v>1404</v>
      </c>
      <c r="C151" s="18" t="s">
        <v>1519</v>
      </c>
      <c r="D151">
        <v>21506</v>
      </c>
      <c r="E151" s="18" t="s">
        <v>2286</v>
      </c>
      <c r="F151" s="3">
        <v>39405.041666666701</v>
      </c>
      <c r="G151" s="20">
        <f t="shared" ca="1" si="2"/>
        <v>18</v>
      </c>
      <c r="H151">
        <f>COUNTIF(BRON!A:A,Tabel6[[#This Row],[Personeelsnummer]])</f>
        <v>0</v>
      </c>
    </row>
    <row r="152" spans="1:8" x14ac:dyDescent="0.25">
      <c r="A152" s="18" t="s">
        <v>2432</v>
      </c>
      <c r="B152" s="18" t="s">
        <v>1497</v>
      </c>
      <c r="C152" s="18" t="s">
        <v>1348</v>
      </c>
      <c r="D152">
        <v>21507</v>
      </c>
      <c r="E152" s="18" t="s">
        <v>2265</v>
      </c>
      <c r="F152" s="3">
        <v>39405.041666666701</v>
      </c>
      <c r="G152" s="20">
        <f t="shared" ca="1" si="2"/>
        <v>18</v>
      </c>
      <c r="H152">
        <f>COUNTIF(BRON!A:A,Tabel6[[#This Row],[Personeelsnummer]])</f>
        <v>0</v>
      </c>
    </row>
    <row r="153" spans="1:8" x14ac:dyDescent="0.25">
      <c r="A153" s="18" t="s">
        <v>2433</v>
      </c>
      <c r="B153" s="18" t="s">
        <v>1464</v>
      </c>
      <c r="C153" s="18" t="s">
        <v>1520</v>
      </c>
      <c r="D153">
        <v>21509</v>
      </c>
      <c r="E153" s="18" t="s">
        <v>2300</v>
      </c>
      <c r="F153" s="3">
        <v>39405.041666666701</v>
      </c>
      <c r="G153" s="20">
        <f t="shared" ca="1" si="2"/>
        <v>18</v>
      </c>
      <c r="H153">
        <f>COUNTIF(BRON!A:A,Tabel6[[#This Row],[Personeelsnummer]])</f>
        <v>6</v>
      </c>
    </row>
    <row r="154" spans="1:8" x14ac:dyDescent="0.25">
      <c r="A154" s="18" t="s">
        <v>2434</v>
      </c>
      <c r="B154" s="18" t="s">
        <v>2153</v>
      </c>
      <c r="C154" s="18" t="s">
        <v>2435</v>
      </c>
      <c r="D154">
        <v>21665</v>
      </c>
      <c r="E154" s="18" t="s">
        <v>2376</v>
      </c>
      <c r="F154" s="3">
        <v>39454.041666666701</v>
      </c>
      <c r="G154" s="20">
        <f t="shared" ca="1" si="2"/>
        <v>18</v>
      </c>
      <c r="H154">
        <f>COUNTIF(BRON!A:A,Tabel6[[#This Row],[Personeelsnummer]])</f>
        <v>0</v>
      </c>
    </row>
    <row r="155" spans="1:8" x14ac:dyDescent="0.25">
      <c r="A155" s="18" t="s">
        <v>2436</v>
      </c>
      <c r="B155" s="18" t="s">
        <v>1522</v>
      </c>
      <c r="C155" s="18" t="s">
        <v>1521</v>
      </c>
      <c r="D155">
        <v>21581</v>
      </c>
      <c r="E155" s="18" t="s">
        <v>2263</v>
      </c>
      <c r="F155" s="3">
        <v>39433.041666666701</v>
      </c>
      <c r="G155" s="20">
        <f t="shared" ca="1" si="2"/>
        <v>18</v>
      </c>
      <c r="H155">
        <f>COUNTIF(BRON!A:A,Tabel6[[#This Row],[Personeelsnummer]])</f>
        <v>3</v>
      </c>
    </row>
    <row r="156" spans="1:8" x14ac:dyDescent="0.25">
      <c r="A156" s="18" t="s">
        <v>2437</v>
      </c>
      <c r="B156" s="18" t="s">
        <v>2438</v>
      </c>
      <c r="C156" s="18" t="s">
        <v>2439</v>
      </c>
      <c r="D156">
        <v>21657</v>
      </c>
      <c r="E156" s="18" t="s">
        <v>2376</v>
      </c>
      <c r="F156" s="3">
        <v>39454.041666666701</v>
      </c>
      <c r="G156" s="20">
        <f t="shared" ca="1" si="2"/>
        <v>18</v>
      </c>
      <c r="H156">
        <f>COUNTIF(BRON!A:A,Tabel6[[#This Row],[Personeelsnummer]])</f>
        <v>0</v>
      </c>
    </row>
    <row r="157" spans="1:8" x14ac:dyDescent="0.25">
      <c r="A157" s="18" t="s">
        <v>2440</v>
      </c>
      <c r="B157" s="18" t="s">
        <v>1524</v>
      </c>
      <c r="C157" s="18" t="s">
        <v>1523</v>
      </c>
      <c r="D157">
        <v>21662</v>
      </c>
      <c r="E157" s="18" t="s">
        <v>2277</v>
      </c>
      <c r="F157" s="3">
        <v>39454.041666666701</v>
      </c>
      <c r="G157" s="20">
        <f t="shared" ca="1" si="2"/>
        <v>18</v>
      </c>
      <c r="H157">
        <f>COUNTIF(BRON!A:A,Tabel6[[#This Row],[Personeelsnummer]])</f>
        <v>0</v>
      </c>
    </row>
    <row r="158" spans="1:8" x14ac:dyDescent="0.25">
      <c r="A158" s="18" t="s">
        <v>2441</v>
      </c>
      <c r="B158" s="18" t="s">
        <v>1363</v>
      </c>
      <c r="C158" s="18" t="s">
        <v>1525</v>
      </c>
      <c r="D158">
        <v>21738</v>
      </c>
      <c r="E158" s="18" t="s">
        <v>2277</v>
      </c>
      <c r="F158" s="3">
        <v>39468.041666666701</v>
      </c>
      <c r="G158" s="20">
        <f t="shared" ca="1" si="2"/>
        <v>17</v>
      </c>
      <c r="H158">
        <f>COUNTIF(BRON!A:A,Tabel6[[#This Row],[Personeelsnummer]])</f>
        <v>0</v>
      </c>
    </row>
    <row r="159" spans="1:8" x14ac:dyDescent="0.25">
      <c r="A159" s="18" t="s">
        <v>2442</v>
      </c>
      <c r="B159" s="18" t="s">
        <v>1526</v>
      </c>
      <c r="C159" s="18" t="s">
        <v>1390</v>
      </c>
      <c r="D159">
        <v>21809</v>
      </c>
      <c r="E159" s="18" t="s">
        <v>2277</v>
      </c>
      <c r="F159" s="3">
        <v>39496.041666666701</v>
      </c>
      <c r="G159" s="20">
        <f t="shared" ca="1" si="2"/>
        <v>17</v>
      </c>
      <c r="H159">
        <f>COUNTIF(BRON!A:A,Tabel6[[#This Row],[Personeelsnummer]])</f>
        <v>1</v>
      </c>
    </row>
    <row r="160" spans="1:8" x14ac:dyDescent="0.25">
      <c r="A160" s="18" t="s">
        <v>2443</v>
      </c>
      <c r="B160" s="18" t="s">
        <v>1527</v>
      </c>
      <c r="C160" s="18" t="s">
        <v>1461</v>
      </c>
      <c r="D160">
        <v>21845</v>
      </c>
      <c r="E160" s="18" t="s">
        <v>2286</v>
      </c>
      <c r="F160" s="3">
        <v>39510.041666666701</v>
      </c>
      <c r="G160" s="20">
        <f t="shared" ca="1" si="2"/>
        <v>17</v>
      </c>
      <c r="H160">
        <f>COUNTIF(BRON!A:A,Tabel6[[#This Row],[Personeelsnummer]])</f>
        <v>0</v>
      </c>
    </row>
    <row r="161" spans="1:8" x14ac:dyDescent="0.25">
      <c r="A161" s="18" t="s">
        <v>2444</v>
      </c>
      <c r="B161" s="18" t="s">
        <v>1365</v>
      </c>
      <c r="C161" s="18" t="s">
        <v>1528</v>
      </c>
      <c r="D161">
        <v>21892</v>
      </c>
      <c r="E161" s="18" t="s">
        <v>2286</v>
      </c>
      <c r="F161" s="3">
        <v>39524.041666666701</v>
      </c>
      <c r="G161" s="20">
        <f t="shared" ca="1" si="2"/>
        <v>17</v>
      </c>
      <c r="H161">
        <f>COUNTIF(BRON!A:A,Tabel6[[#This Row],[Personeelsnummer]])</f>
        <v>2</v>
      </c>
    </row>
    <row r="162" spans="1:8" x14ac:dyDescent="0.25">
      <c r="A162" s="18" t="s">
        <v>2445</v>
      </c>
      <c r="B162" s="18" t="s">
        <v>1497</v>
      </c>
      <c r="C162" s="18" t="s">
        <v>1529</v>
      </c>
      <c r="D162">
        <v>22042</v>
      </c>
      <c r="E162" s="18" t="s">
        <v>2286</v>
      </c>
      <c r="F162" s="3">
        <v>39538.083333333299</v>
      </c>
      <c r="G162" s="20">
        <f t="shared" ca="1" si="2"/>
        <v>17</v>
      </c>
      <c r="H162">
        <f>COUNTIF(BRON!A:A,Tabel6[[#This Row],[Personeelsnummer]])</f>
        <v>0</v>
      </c>
    </row>
    <row r="163" spans="1:8" x14ac:dyDescent="0.25">
      <c r="A163" s="18" t="s">
        <v>2446</v>
      </c>
      <c r="B163" s="18" t="s">
        <v>1389</v>
      </c>
      <c r="C163" s="18" t="s">
        <v>1530</v>
      </c>
      <c r="D163">
        <v>22052</v>
      </c>
      <c r="E163" s="18" t="s">
        <v>2277</v>
      </c>
      <c r="F163" s="3">
        <v>39538.083333333299</v>
      </c>
      <c r="G163" s="20">
        <f t="shared" ca="1" si="2"/>
        <v>17</v>
      </c>
      <c r="H163">
        <f>COUNTIF(BRON!A:A,Tabel6[[#This Row],[Personeelsnummer]])</f>
        <v>1</v>
      </c>
    </row>
    <row r="164" spans="1:8" x14ac:dyDescent="0.25">
      <c r="A164" s="18" t="s">
        <v>2447</v>
      </c>
      <c r="B164" s="18" t="s">
        <v>1532</v>
      </c>
      <c r="C164" s="18" t="s">
        <v>1531</v>
      </c>
      <c r="D164">
        <v>22143</v>
      </c>
      <c r="E164" s="18" t="s">
        <v>2270</v>
      </c>
      <c r="F164" s="3">
        <v>39552.083333333299</v>
      </c>
      <c r="G164" s="20">
        <f t="shared" ca="1" si="2"/>
        <v>17</v>
      </c>
      <c r="H164">
        <f>COUNTIF(BRON!A:A,Tabel6[[#This Row],[Personeelsnummer]])</f>
        <v>0</v>
      </c>
    </row>
    <row r="165" spans="1:8" x14ac:dyDescent="0.25">
      <c r="A165" s="18" t="s">
        <v>2448</v>
      </c>
      <c r="B165" s="18" t="s">
        <v>1347</v>
      </c>
      <c r="C165" s="18" t="s">
        <v>1533</v>
      </c>
      <c r="D165">
        <v>22202</v>
      </c>
      <c r="E165" s="18" t="s">
        <v>2286</v>
      </c>
      <c r="F165" s="3">
        <v>39573.083333333299</v>
      </c>
      <c r="G165" s="20">
        <f t="shared" ca="1" si="2"/>
        <v>17</v>
      </c>
      <c r="H165">
        <f>COUNTIF(BRON!A:A,Tabel6[[#This Row],[Personeelsnummer]])</f>
        <v>1</v>
      </c>
    </row>
    <row r="166" spans="1:8" x14ac:dyDescent="0.25">
      <c r="A166" s="18" t="s">
        <v>2449</v>
      </c>
      <c r="B166" s="18" t="s">
        <v>1535</v>
      </c>
      <c r="C166" s="18" t="s">
        <v>1534</v>
      </c>
      <c r="D166">
        <v>22240</v>
      </c>
      <c r="E166" s="18" t="s">
        <v>2277</v>
      </c>
      <c r="F166" s="3">
        <v>39587.083333333299</v>
      </c>
      <c r="G166" s="20">
        <f t="shared" ca="1" si="2"/>
        <v>17</v>
      </c>
      <c r="H166">
        <f>COUNTIF(BRON!A:A,Tabel6[[#This Row],[Personeelsnummer]])</f>
        <v>2</v>
      </c>
    </row>
    <row r="167" spans="1:8" x14ac:dyDescent="0.25">
      <c r="A167" s="18" t="s">
        <v>2450</v>
      </c>
      <c r="B167" s="18" t="s">
        <v>1536</v>
      </c>
      <c r="C167" s="18" t="s">
        <v>1368</v>
      </c>
      <c r="D167">
        <v>22244</v>
      </c>
      <c r="E167" s="18" t="s">
        <v>2297</v>
      </c>
      <c r="F167" s="3">
        <v>39587.083333333299</v>
      </c>
      <c r="G167" s="20">
        <f t="shared" ca="1" si="2"/>
        <v>17</v>
      </c>
      <c r="H167">
        <f>COUNTIF(BRON!A:A,Tabel6[[#This Row],[Personeelsnummer]])</f>
        <v>2</v>
      </c>
    </row>
    <row r="168" spans="1:8" x14ac:dyDescent="0.25">
      <c r="A168" s="18" t="s">
        <v>2451</v>
      </c>
      <c r="B168" s="18" t="s">
        <v>1538</v>
      </c>
      <c r="C168" s="18" t="s">
        <v>1537</v>
      </c>
      <c r="D168">
        <v>22296</v>
      </c>
      <c r="E168" s="18" t="s">
        <v>2277</v>
      </c>
      <c r="F168" s="3">
        <v>39601.083333333299</v>
      </c>
      <c r="G168" s="20">
        <f t="shared" ca="1" si="2"/>
        <v>17</v>
      </c>
      <c r="H168">
        <f>COUNTIF(BRON!A:A,Tabel6[[#This Row],[Personeelsnummer]])</f>
        <v>0</v>
      </c>
    </row>
    <row r="169" spans="1:8" x14ac:dyDescent="0.25">
      <c r="A169" s="18" t="s">
        <v>2452</v>
      </c>
      <c r="B169" s="18" t="s">
        <v>1540</v>
      </c>
      <c r="C169" s="18" t="s">
        <v>1539</v>
      </c>
      <c r="D169">
        <v>22416</v>
      </c>
      <c r="E169" s="18" t="s">
        <v>2297</v>
      </c>
      <c r="F169" s="3">
        <v>39615.083333333299</v>
      </c>
      <c r="G169" s="20">
        <f t="shared" ca="1" si="2"/>
        <v>17</v>
      </c>
      <c r="H169">
        <f>COUNTIF(BRON!A:A,Tabel6[[#This Row],[Personeelsnummer]])</f>
        <v>1</v>
      </c>
    </row>
    <row r="170" spans="1:8" x14ac:dyDescent="0.25">
      <c r="A170" s="18" t="s">
        <v>2453</v>
      </c>
      <c r="B170" s="18" t="s">
        <v>1542</v>
      </c>
      <c r="C170" s="18" t="s">
        <v>1541</v>
      </c>
      <c r="D170">
        <v>22625</v>
      </c>
      <c r="E170" s="18" t="s">
        <v>2261</v>
      </c>
      <c r="F170" s="3">
        <v>39643.083333333299</v>
      </c>
      <c r="G170" s="20">
        <f t="shared" ca="1" si="2"/>
        <v>17</v>
      </c>
      <c r="H170">
        <f>COUNTIF(BRON!A:A,Tabel6[[#This Row],[Personeelsnummer]])</f>
        <v>1</v>
      </c>
    </row>
    <row r="171" spans="1:8" x14ac:dyDescent="0.25">
      <c r="A171" s="18" t="s">
        <v>2454</v>
      </c>
      <c r="B171" s="18" t="s">
        <v>1544</v>
      </c>
      <c r="C171" s="18" t="s">
        <v>1543</v>
      </c>
      <c r="D171">
        <v>22767</v>
      </c>
      <c r="E171" s="18" t="s">
        <v>2300</v>
      </c>
      <c r="F171" s="3">
        <v>39664.083333333299</v>
      </c>
      <c r="G171" s="20">
        <f t="shared" ca="1" si="2"/>
        <v>17</v>
      </c>
      <c r="H171">
        <f>COUNTIF(BRON!A:A,Tabel6[[#This Row],[Personeelsnummer]])</f>
        <v>2</v>
      </c>
    </row>
    <row r="172" spans="1:8" x14ac:dyDescent="0.25">
      <c r="A172" s="18" t="s">
        <v>2455</v>
      </c>
      <c r="B172" s="18" t="s">
        <v>2456</v>
      </c>
      <c r="C172" s="18" t="s">
        <v>2457</v>
      </c>
      <c r="D172">
        <v>22811</v>
      </c>
      <c r="E172" s="18" t="s">
        <v>2458</v>
      </c>
      <c r="F172" s="3">
        <v>39678.083333333299</v>
      </c>
      <c r="G172" s="20">
        <f t="shared" ca="1" si="2"/>
        <v>17</v>
      </c>
      <c r="H172">
        <f>COUNTIF(BRON!A:A,Tabel6[[#This Row],[Personeelsnummer]])</f>
        <v>0</v>
      </c>
    </row>
    <row r="173" spans="1:8" x14ac:dyDescent="0.25">
      <c r="A173" s="18" t="s">
        <v>2459</v>
      </c>
      <c r="B173" s="18" t="s">
        <v>1546</v>
      </c>
      <c r="C173" s="18" t="s">
        <v>1545</v>
      </c>
      <c r="D173">
        <v>22877</v>
      </c>
      <c r="E173" s="18" t="s">
        <v>2277</v>
      </c>
      <c r="F173" s="3">
        <v>39706.083333333299</v>
      </c>
      <c r="G173" s="20">
        <f t="shared" ca="1" si="2"/>
        <v>17</v>
      </c>
      <c r="H173">
        <f>COUNTIF(BRON!A:A,Tabel6[[#This Row],[Personeelsnummer]])</f>
        <v>1</v>
      </c>
    </row>
    <row r="174" spans="1:8" x14ac:dyDescent="0.25">
      <c r="A174" s="18" t="s">
        <v>2460</v>
      </c>
      <c r="B174" s="18" t="s">
        <v>2461</v>
      </c>
      <c r="C174" s="18" t="s">
        <v>2462</v>
      </c>
      <c r="D174">
        <v>23261</v>
      </c>
      <c r="E174" s="18" t="s">
        <v>2376</v>
      </c>
      <c r="F174" s="3">
        <v>39814.041666666701</v>
      </c>
      <c r="G174" s="20">
        <f t="shared" ca="1" si="2"/>
        <v>17</v>
      </c>
      <c r="H174">
        <f>COUNTIF(BRON!A:A,Tabel6[[#This Row],[Personeelsnummer]])</f>
        <v>0</v>
      </c>
    </row>
    <row r="175" spans="1:8" x14ac:dyDescent="0.25">
      <c r="A175" s="18" t="s">
        <v>2463</v>
      </c>
      <c r="B175" s="18" t="s">
        <v>1548</v>
      </c>
      <c r="C175" s="18" t="s">
        <v>1547</v>
      </c>
      <c r="D175">
        <v>23326</v>
      </c>
      <c r="E175" s="18" t="s">
        <v>2300</v>
      </c>
      <c r="F175" s="3">
        <v>39839.041666666701</v>
      </c>
      <c r="G175" s="20">
        <f t="shared" ca="1" si="2"/>
        <v>16</v>
      </c>
      <c r="H175">
        <f>COUNTIF(BRON!A:A,Tabel6[[#This Row],[Personeelsnummer]])</f>
        <v>0</v>
      </c>
    </row>
    <row r="176" spans="1:8" x14ac:dyDescent="0.25">
      <c r="A176" s="18" t="s">
        <v>2464</v>
      </c>
      <c r="B176" s="18" t="s">
        <v>1550</v>
      </c>
      <c r="C176" s="18" t="s">
        <v>1549</v>
      </c>
      <c r="D176">
        <v>23481</v>
      </c>
      <c r="E176" s="18" t="s">
        <v>2261</v>
      </c>
      <c r="F176" s="3">
        <v>39881.041666666701</v>
      </c>
      <c r="G176" s="20">
        <f t="shared" ca="1" si="2"/>
        <v>16</v>
      </c>
      <c r="H176">
        <f>COUNTIF(BRON!A:A,Tabel6[[#This Row],[Personeelsnummer]])</f>
        <v>0</v>
      </c>
    </row>
    <row r="177" spans="1:8" x14ac:dyDescent="0.25">
      <c r="A177" s="18" t="s">
        <v>2465</v>
      </c>
      <c r="B177" s="18" t="s">
        <v>1552</v>
      </c>
      <c r="C177" s="18" t="s">
        <v>1551</v>
      </c>
      <c r="D177">
        <v>23543</v>
      </c>
      <c r="E177" s="18" t="s">
        <v>2297</v>
      </c>
      <c r="F177" s="3">
        <v>39895.041666666701</v>
      </c>
      <c r="G177" s="20">
        <f t="shared" ca="1" si="2"/>
        <v>16</v>
      </c>
      <c r="H177">
        <f>COUNTIF(BRON!A:A,Tabel6[[#This Row],[Personeelsnummer]])</f>
        <v>0</v>
      </c>
    </row>
    <row r="178" spans="1:8" x14ac:dyDescent="0.25">
      <c r="A178" s="18" t="s">
        <v>2466</v>
      </c>
      <c r="B178" s="18" t="s">
        <v>1326</v>
      </c>
      <c r="C178" s="18" t="s">
        <v>1553</v>
      </c>
      <c r="D178">
        <v>23545</v>
      </c>
      <c r="E178" s="18" t="s">
        <v>2263</v>
      </c>
      <c r="F178" s="3">
        <v>39895.041666666701</v>
      </c>
      <c r="G178" s="20">
        <f t="shared" ca="1" si="2"/>
        <v>16</v>
      </c>
      <c r="H178">
        <f>COUNTIF(BRON!A:A,Tabel6[[#This Row],[Personeelsnummer]])</f>
        <v>0</v>
      </c>
    </row>
    <row r="179" spans="1:8" x14ac:dyDescent="0.25">
      <c r="A179" s="18" t="s">
        <v>2467</v>
      </c>
      <c r="B179" s="18" t="s">
        <v>1557</v>
      </c>
      <c r="C179" s="18" t="s">
        <v>1556</v>
      </c>
      <c r="D179">
        <v>23790</v>
      </c>
      <c r="E179" s="18" t="s">
        <v>2300</v>
      </c>
      <c r="F179" s="3">
        <v>39923.083333333299</v>
      </c>
      <c r="G179" s="20">
        <f t="shared" ca="1" si="2"/>
        <v>16</v>
      </c>
      <c r="H179">
        <f>COUNTIF(BRON!A:A,Tabel6[[#This Row],[Personeelsnummer]])</f>
        <v>1</v>
      </c>
    </row>
    <row r="180" spans="1:8" x14ac:dyDescent="0.25">
      <c r="A180" s="18" t="s">
        <v>2468</v>
      </c>
      <c r="B180" s="18" t="s">
        <v>1559</v>
      </c>
      <c r="C180" s="18" t="s">
        <v>1558</v>
      </c>
      <c r="D180">
        <v>23791</v>
      </c>
      <c r="E180" s="18" t="s">
        <v>2300</v>
      </c>
      <c r="F180" s="3">
        <v>39923.083333333299</v>
      </c>
      <c r="G180" s="20">
        <f t="shared" ca="1" si="2"/>
        <v>16</v>
      </c>
      <c r="H180">
        <f>COUNTIF(BRON!A:A,Tabel6[[#This Row],[Personeelsnummer]])</f>
        <v>0</v>
      </c>
    </row>
    <row r="181" spans="1:8" x14ac:dyDescent="0.25">
      <c r="A181" s="18" t="s">
        <v>2469</v>
      </c>
      <c r="B181" s="18" t="s">
        <v>1561</v>
      </c>
      <c r="C181" s="18" t="s">
        <v>1560</v>
      </c>
      <c r="D181">
        <v>23818</v>
      </c>
      <c r="E181" s="18" t="s">
        <v>2300</v>
      </c>
      <c r="F181" s="3">
        <v>39937.083333333299</v>
      </c>
      <c r="G181" s="20">
        <f t="shared" ca="1" si="2"/>
        <v>16</v>
      </c>
      <c r="H181">
        <f>COUNTIF(BRON!A:A,Tabel6[[#This Row],[Personeelsnummer]])</f>
        <v>0</v>
      </c>
    </row>
    <row r="182" spans="1:8" x14ac:dyDescent="0.25">
      <c r="A182" s="18" t="s">
        <v>2470</v>
      </c>
      <c r="B182" s="18" t="s">
        <v>1563</v>
      </c>
      <c r="C182" s="18" t="s">
        <v>1562</v>
      </c>
      <c r="D182">
        <v>23880</v>
      </c>
      <c r="E182" s="18" t="s">
        <v>2300</v>
      </c>
      <c r="F182" s="3">
        <v>39958.083333333299</v>
      </c>
      <c r="G182" s="20">
        <f t="shared" ca="1" si="2"/>
        <v>16</v>
      </c>
      <c r="H182">
        <f>COUNTIF(BRON!A:A,Tabel6[[#This Row],[Personeelsnummer]])</f>
        <v>1</v>
      </c>
    </row>
    <row r="183" spans="1:8" x14ac:dyDescent="0.25">
      <c r="A183" s="18" t="s">
        <v>2471</v>
      </c>
      <c r="B183" s="18" t="s">
        <v>1565</v>
      </c>
      <c r="C183" s="18" t="s">
        <v>1564</v>
      </c>
      <c r="D183">
        <v>23918</v>
      </c>
      <c r="E183" s="18" t="s">
        <v>2270</v>
      </c>
      <c r="F183" s="3">
        <v>39972.083333333299</v>
      </c>
      <c r="G183" s="20">
        <f t="shared" ca="1" si="2"/>
        <v>16</v>
      </c>
      <c r="H183">
        <f>COUNTIF(BRON!A:A,Tabel6[[#This Row],[Personeelsnummer]])</f>
        <v>3</v>
      </c>
    </row>
    <row r="184" spans="1:8" x14ac:dyDescent="0.25">
      <c r="A184" s="18" t="s">
        <v>2472</v>
      </c>
      <c r="B184" s="18" t="s">
        <v>1567</v>
      </c>
      <c r="C184" s="18" t="s">
        <v>1566</v>
      </c>
      <c r="D184">
        <v>23924</v>
      </c>
      <c r="E184" s="18" t="s">
        <v>2297</v>
      </c>
      <c r="F184" s="3">
        <v>39979.083333333299</v>
      </c>
      <c r="G184" s="20">
        <f t="shared" ca="1" si="2"/>
        <v>16</v>
      </c>
      <c r="H184">
        <f>COUNTIF(BRON!A:A,Tabel6[[#This Row],[Personeelsnummer]])</f>
        <v>1</v>
      </c>
    </row>
    <row r="185" spans="1:8" x14ac:dyDescent="0.25">
      <c r="A185" s="18" t="s">
        <v>2473</v>
      </c>
      <c r="B185" s="18" t="s">
        <v>1374</v>
      </c>
      <c r="C185" s="18" t="s">
        <v>1568</v>
      </c>
      <c r="D185">
        <v>24155</v>
      </c>
      <c r="E185" s="18" t="s">
        <v>2270</v>
      </c>
      <c r="F185" s="3">
        <v>40000.083333333299</v>
      </c>
      <c r="G185" s="20">
        <f t="shared" ca="1" si="2"/>
        <v>16</v>
      </c>
      <c r="H185">
        <f>COUNTIF(BRON!A:A,Tabel6[[#This Row],[Personeelsnummer]])</f>
        <v>1</v>
      </c>
    </row>
    <row r="186" spans="1:8" x14ac:dyDescent="0.25">
      <c r="A186" s="18" t="s">
        <v>2474</v>
      </c>
      <c r="B186" s="18" t="s">
        <v>1570</v>
      </c>
      <c r="C186" s="18" t="s">
        <v>1569</v>
      </c>
      <c r="D186">
        <v>24156</v>
      </c>
      <c r="E186" s="18" t="s">
        <v>2297</v>
      </c>
      <c r="F186" s="3">
        <v>40000.083333333299</v>
      </c>
      <c r="G186" s="20">
        <f t="shared" ca="1" si="2"/>
        <v>16</v>
      </c>
      <c r="H186">
        <f>COUNTIF(BRON!A:A,Tabel6[[#This Row],[Personeelsnummer]])</f>
        <v>0</v>
      </c>
    </row>
    <row r="187" spans="1:8" x14ac:dyDescent="0.25">
      <c r="A187" s="18" t="s">
        <v>2475</v>
      </c>
      <c r="B187" s="18" t="s">
        <v>1572</v>
      </c>
      <c r="C187" s="18" t="s">
        <v>1571</v>
      </c>
      <c r="D187">
        <v>24367</v>
      </c>
      <c r="E187" s="18" t="s">
        <v>2261</v>
      </c>
      <c r="F187" s="3">
        <v>40035.083333333299</v>
      </c>
      <c r="G187" s="20">
        <f t="shared" ca="1" si="2"/>
        <v>16</v>
      </c>
      <c r="H187">
        <f>COUNTIF(BRON!A:A,Tabel6[[#This Row],[Personeelsnummer]])</f>
        <v>3</v>
      </c>
    </row>
    <row r="188" spans="1:8" x14ac:dyDescent="0.25">
      <c r="A188" s="18" t="s">
        <v>2476</v>
      </c>
      <c r="B188" s="18" t="s">
        <v>1574</v>
      </c>
      <c r="C188" s="18" t="s">
        <v>1573</v>
      </c>
      <c r="D188">
        <v>24472</v>
      </c>
      <c r="E188" s="18" t="s">
        <v>2300</v>
      </c>
      <c r="F188" s="3">
        <v>40049.083333333299</v>
      </c>
      <c r="G188" s="20">
        <f t="shared" ca="1" si="2"/>
        <v>16</v>
      </c>
      <c r="H188">
        <f>COUNTIF(BRON!A:A,Tabel6[[#This Row],[Personeelsnummer]])</f>
        <v>1</v>
      </c>
    </row>
    <row r="189" spans="1:8" x14ac:dyDescent="0.25">
      <c r="A189" s="18" t="s">
        <v>2477</v>
      </c>
      <c r="B189" s="18" t="s">
        <v>1458</v>
      </c>
      <c r="C189" s="18" t="s">
        <v>1575</v>
      </c>
      <c r="D189">
        <v>25234</v>
      </c>
      <c r="E189" s="18" t="s">
        <v>2265</v>
      </c>
      <c r="F189" s="3">
        <v>40350.083333333299</v>
      </c>
      <c r="G189" s="20">
        <f t="shared" ca="1" si="2"/>
        <v>15</v>
      </c>
      <c r="H189">
        <f>COUNTIF(BRON!A:A,Tabel6[[#This Row],[Personeelsnummer]])</f>
        <v>0</v>
      </c>
    </row>
    <row r="190" spans="1:8" x14ac:dyDescent="0.25">
      <c r="A190" s="18" t="s">
        <v>2478</v>
      </c>
      <c r="B190" s="18" t="s">
        <v>1497</v>
      </c>
      <c r="C190" s="18" t="s">
        <v>1336</v>
      </c>
      <c r="D190">
        <v>25486</v>
      </c>
      <c r="E190" s="18" t="s">
        <v>2297</v>
      </c>
      <c r="F190" s="3">
        <v>40385.083333333299</v>
      </c>
      <c r="G190" s="20">
        <f t="shared" ca="1" si="2"/>
        <v>15</v>
      </c>
      <c r="H190">
        <f>COUNTIF(BRON!A:A,Tabel6[[#This Row],[Personeelsnummer]])</f>
        <v>1</v>
      </c>
    </row>
    <row r="191" spans="1:8" x14ac:dyDescent="0.25">
      <c r="A191" s="18" t="s">
        <v>2479</v>
      </c>
      <c r="B191" s="18" t="s">
        <v>1577</v>
      </c>
      <c r="C191" s="18" t="s">
        <v>1576</v>
      </c>
      <c r="D191">
        <v>25487</v>
      </c>
      <c r="E191" s="18" t="s">
        <v>2286</v>
      </c>
      <c r="F191" s="3">
        <v>40385.083333333299</v>
      </c>
      <c r="G191" s="20">
        <f t="shared" ca="1" si="2"/>
        <v>15</v>
      </c>
      <c r="H191">
        <f>COUNTIF(BRON!A:A,Tabel6[[#This Row],[Personeelsnummer]])</f>
        <v>4</v>
      </c>
    </row>
    <row r="192" spans="1:8" x14ac:dyDescent="0.25">
      <c r="A192" s="18" t="s">
        <v>2480</v>
      </c>
      <c r="B192" s="18" t="s">
        <v>1579</v>
      </c>
      <c r="C192" s="18" t="s">
        <v>1578</v>
      </c>
      <c r="D192">
        <v>25679</v>
      </c>
      <c r="E192" s="18" t="s">
        <v>2297</v>
      </c>
      <c r="F192" s="3">
        <v>40455.083333333299</v>
      </c>
      <c r="G192" s="20">
        <f t="shared" ca="1" si="2"/>
        <v>15</v>
      </c>
      <c r="H192">
        <f>COUNTIF(BRON!A:A,Tabel6[[#This Row],[Personeelsnummer]])</f>
        <v>2</v>
      </c>
    </row>
    <row r="193" spans="1:8" x14ac:dyDescent="0.25">
      <c r="A193" s="18" t="s">
        <v>2481</v>
      </c>
      <c r="B193" s="18" t="s">
        <v>1581</v>
      </c>
      <c r="C193" s="18" t="s">
        <v>1580</v>
      </c>
      <c r="D193">
        <v>25680</v>
      </c>
      <c r="E193" s="18" t="s">
        <v>2265</v>
      </c>
      <c r="F193" s="3">
        <v>40455.083333333299</v>
      </c>
      <c r="G193" s="20">
        <f t="shared" ca="1" si="2"/>
        <v>15</v>
      </c>
      <c r="H193">
        <f>COUNTIF(BRON!A:A,Tabel6[[#This Row],[Personeelsnummer]])</f>
        <v>0</v>
      </c>
    </row>
    <row r="194" spans="1:8" x14ac:dyDescent="0.25">
      <c r="A194" s="18" t="s">
        <v>2482</v>
      </c>
      <c r="B194" s="18" t="s">
        <v>1583</v>
      </c>
      <c r="C194" s="18" t="s">
        <v>1582</v>
      </c>
      <c r="D194">
        <v>25733</v>
      </c>
      <c r="E194" s="18" t="s">
        <v>2270</v>
      </c>
      <c r="F194" s="3">
        <v>40469.083333333299</v>
      </c>
      <c r="G194" s="20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18" t="s">
        <v>2483</v>
      </c>
      <c r="B195" s="18" t="s">
        <v>1585</v>
      </c>
      <c r="C195" s="18" t="s">
        <v>1584</v>
      </c>
      <c r="D195">
        <v>25829</v>
      </c>
      <c r="E195" s="18" t="s">
        <v>2286</v>
      </c>
      <c r="F195" s="3">
        <v>40497.041666666701</v>
      </c>
      <c r="G195" s="20">
        <f t="shared" ca="1" si="3"/>
        <v>15</v>
      </c>
      <c r="H195">
        <f>COUNTIF(BRON!A:A,Tabel6[[#This Row],[Personeelsnummer]])</f>
        <v>1</v>
      </c>
    </row>
    <row r="196" spans="1:8" x14ac:dyDescent="0.25">
      <c r="A196" s="18" t="s">
        <v>2484</v>
      </c>
      <c r="B196" s="18" t="s">
        <v>1587</v>
      </c>
      <c r="C196" s="18" t="s">
        <v>1586</v>
      </c>
      <c r="D196">
        <v>25871</v>
      </c>
      <c r="E196" s="18" t="s">
        <v>2265</v>
      </c>
      <c r="F196" s="3">
        <v>40525.041666666701</v>
      </c>
      <c r="G196" s="20">
        <f t="shared" ca="1" si="3"/>
        <v>15</v>
      </c>
      <c r="H196">
        <f>COUNTIF(BRON!A:A,Tabel6[[#This Row],[Personeelsnummer]])</f>
        <v>0</v>
      </c>
    </row>
    <row r="197" spans="1:8" x14ac:dyDescent="0.25">
      <c r="A197" s="18" t="s">
        <v>2485</v>
      </c>
      <c r="B197" s="18" t="s">
        <v>1589</v>
      </c>
      <c r="C197" s="18" t="s">
        <v>1588</v>
      </c>
      <c r="D197">
        <v>25873</v>
      </c>
      <c r="E197" s="18" t="s">
        <v>2270</v>
      </c>
      <c r="F197" s="3">
        <v>40525.041666666701</v>
      </c>
      <c r="G197" s="20">
        <f t="shared" ca="1" si="3"/>
        <v>15</v>
      </c>
      <c r="H197">
        <f>COUNTIF(BRON!A:A,Tabel6[[#This Row],[Personeelsnummer]])</f>
        <v>1</v>
      </c>
    </row>
    <row r="198" spans="1:8" x14ac:dyDescent="0.25">
      <c r="A198" s="18" t="s">
        <v>2486</v>
      </c>
      <c r="B198" s="18" t="s">
        <v>1591</v>
      </c>
      <c r="C198" s="18" t="s">
        <v>1590</v>
      </c>
      <c r="D198">
        <v>25993</v>
      </c>
      <c r="E198" s="18" t="s">
        <v>2297</v>
      </c>
      <c r="F198" s="3">
        <v>40567.041666666701</v>
      </c>
      <c r="G198" s="20">
        <f t="shared" ca="1" si="3"/>
        <v>14</v>
      </c>
      <c r="H198">
        <f>COUNTIF(BRON!A:A,Tabel6[[#This Row],[Personeelsnummer]])</f>
        <v>1</v>
      </c>
    </row>
    <row r="199" spans="1:8" x14ac:dyDescent="0.25">
      <c r="A199" s="18" t="s">
        <v>2487</v>
      </c>
      <c r="B199" s="18" t="s">
        <v>1480</v>
      </c>
      <c r="C199" s="18" t="s">
        <v>1592</v>
      </c>
      <c r="D199">
        <v>25994</v>
      </c>
      <c r="E199" s="18" t="s">
        <v>2277</v>
      </c>
      <c r="F199" s="3">
        <v>40567.041666666701</v>
      </c>
      <c r="G199" s="20">
        <f t="shared" ca="1" si="3"/>
        <v>14</v>
      </c>
      <c r="H199">
        <f>COUNTIF(BRON!A:A,Tabel6[[#This Row],[Personeelsnummer]])</f>
        <v>1</v>
      </c>
    </row>
    <row r="200" spans="1:8" x14ac:dyDescent="0.25">
      <c r="A200" s="18" t="s">
        <v>2488</v>
      </c>
      <c r="B200" s="18" t="s">
        <v>1353</v>
      </c>
      <c r="C200" s="18" t="s">
        <v>2489</v>
      </c>
      <c r="D200">
        <v>26004</v>
      </c>
      <c r="E200" s="18" t="s">
        <v>2376</v>
      </c>
      <c r="F200" s="3">
        <v>40574.041666666701</v>
      </c>
      <c r="G200" s="20">
        <f t="shared" ca="1" si="3"/>
        <v>14</v>
      </c>
      <c r="H200">
        <f>COUNTIF(BRON!A:A,Tabel6[[#This Row],[Personeelsnummer]])</f>
        <v>0</v>
      </c>
    </row>
    <row r="201" spans="1:8" x14ac:dyDescent="0.25">
      <c r="A201" s="18" t="s">
        <v>2490</v>
      </c>
      <c r="B201" s="18" t="s">
        <v>1594</v>
      </c>
      <c r="C201" s="18" t="s">
        <v>1593</v>
      </c>
      <c r="D201">
        <v>26102</v>
      </c>
      <c r="E201" s="18" t="s">
        <v>2277</v>
      </c>
      <c r="F201" s="3">
        <v>40602.041666666701</v>
      </c>
      <c r="G201" s="20">
        <f t="shared" ca="1" si="3"/>
        <v>14</v>
      </c>
      <c r="H201">
        <f>COUNTIF(BRON!A:A,Tabel6[[#This Row],[Personeelsnummer]])</f>
        <v>1</v>
      </c>
    </row>
    <row r="202" spans="1:8" x14ac:dyDescent="0.25">
      <c r="A202" s="18" t="s">
        <v>2491</v>
      </c>
      <c r="B202" s="18" t="s">
        <v>1596</v>
      </c>
      <c r="C202" s="18" t="s">
        <v>1595</v>
      </c>
      <c r="D202">
        <v>26137</v>
      </c>
      <c r="E202" s="18" t="s">
        <v>2286</v>
      </c>
      <c r="F202" s="3">
        <v>40623.041666666701</v>
      </c>
      <c r="G202" s="20">
        <f t="shared" ca="1" si="3"/>
        <v>14</v>
      </c>
      <c r="H202">
        <f>COUNTIF(BRON!A:A,Tabel6[[#This Row],[Personeelsnummer]])</f>
        <v>4</v>
      </c>
    </row>
    <row r="203" spans="1:8" x14ac:dyDescent="0.25">
      <c r="A203" s="18" t="s">
        <v>2492</v>
      </c>
      <c r="B203" s="18" t="s">
        <v>1598</v>
      </c>
      <c r="C203" s="18" t="s">
        <v>1597</v>
      </c>
      <c r="D203">
        <v>26197</v>
      </c>
      <c r="E203" s="18" t="s">
        <v>2297</v>
      </c>
      <c r="F203" s="3">
        <v>40637.083333333299</v>
      </c>
      <c r="G203" s="20">
        <f t="shared" ca="1" si="3"/>
        <v>14</v>
      </c>
      <c r="H203">
        <f>COUNTIF(BRON!A:A,Tabel6[[#This Row],[Personeelsnummer]])</f>
        <v>0</v>
      </c>
    </row>
    <row r="204" spans="1:8" x14ac:dyDescent="0.25">
      <c r="A204" s="18" t="s">
        <v>2493</v>
      </c>
      <c r="B204" s="18" t="s">
        <v>1600</v>
      </c>
      <c r="C204" s="18" t="s">
        <v>1599</v>
      </c>
      <c r="D204">
        <v>26198</v>
      </c>
      <c r="E204" s="18" t="s">
        <v>2265</v>
      </c>
      <c r="F204" s="3">
        <v>40637.083333333299</v>
      </c>
      <c r="G204" s="20">
        <f t="shared" ca="1" si="3"/>
        <v>14</v>
      </c>
      <c r="H204">
        <f>COUNTIF(BRON!A:A,Tabel6[[#This Row],[Personeelsnummer]])</f>
        <v>3</v>
      </c>
    </row>
    <row r="205" spans="1:8" x14ac:dyDescent="0.25">
      <c r="A205" s="18" t="s">
        <v>2494</v>
      </c>
      <c r="B205" s="18" t="s">
        <v>1522</v>
      </c>
      <c r="C205" s="18" t="s">
        <v>1601</v>
      </c>
      <c r="D205">
        <v>26199</v>
      </c>
      <c r="E205" s="18" t="s">
        <v>2270</v>
      </c>
      <c r="F205" s="3">
        <v>40637.083333333299</v>
      </c>
      <c r="G205" s="20">
        <f t="shared" ca="1" si="3"/>
        <v>14</v>
      </c>
      <c r="H205">
        <f>COUNTIF(BRON!A:A,Tabel6[[#This Row],[Personeelsnummer]])</f>
        <v>1</v>
      </c>
    </row>
    <row r="206" spans="1:8" x14ac:dyDescent="0.25">
      <c r="A206" s="18" t="s">
        <v>2495</v>
      </c>
      <c r="B206" s="18" t="s">
        <v>1505</v>
      </c>
      <c r="C206" s="18" t="s">
        <v>1602</v>
      </c>
      <c r="D206">
        <v>26265</v>
      </c>
      <c r="E206" s="18" t="s">
        <v>2297</v>
      </c>
      <c r="F206" s="3">
        <v>40658.083333333299</v>
      </c>
      <c r="G206" s="20">
        <f t="shared" ca="1" si="3"/>
        <v>14</v>
      </c>
      <c r="H206">
        <f>COUNTIF(BRON!A:A,Tabel6[[#This Row],[Personeelsnummer]])</f>
        <v>0</v>
      </c>
    </row>
    <row r="207" spans="1:8" x14ac:dyDescent="0.25">
      <c r="A207" s="18" t="s">
        <v>2496</v>
      </c>
      <c r="B207" s="18" t="s">
        <v>1501</v>
      </c>
      <c r="C207" s="18" t="s">
        <v>1573</v>
      </c>
      <c r="D207">
        <v>26266</v>
      </c>
      <c r="E207" s="18" t="s">
        <v>2270</v>
      </c>
      <c r="F207" s="3">
        <v>40658.083333333299</v>
      </c>
      <c r="G207" s="20">
        <f t="shared" ca="1" si="3"/>
        <v>14</v>
      </c>
      <c r="H207">
        <f>COUNTIF(BRON!A:A,Tabel6[[#This Row],[Personeelsnummer]])</f>
        <v>1</v>
      </c>
    </row>
    <row r="208" spans="1:8" x14ac:dyDescent="0.25">
      <c r="A208" s="18" t="s">
        <v>2497</v>
      </c>
      <c r="B208" s="18" t="s">
        <v>1347</v>
      </c>
      <c r="C208" s="18" t="s">
        <v>1603</v>
      </c>
      <c r="D208">
        <v>26331</v>
      </c>
      <c r="E208" s="18" t="s">
        <v>2261</v>
      </c>
      <c r="F208" s="3">
        <v>40679.083333333299</v>
      </c>
      <c r="G208" s="20">
        <f t="shared" ca="1" si="3"/>
        <v>14</v>
      </c>
      <c r="H208">
        <f>COUNTIF(BRON!A:A,Tabel6[[#This Row],[Personeelsnummer]])</f>
        <v>3</v>
      </c>
    </row>
    <row r="209" spans="1:8" x14ac:dyDescent="0.25">
      <c r="A209" s="18" t="s">
        <v>2498</v>
      </c>
      <c r="B209" s="18" t="s">
        <v>1428</v>
      </c>
      <c r="C209" s="18" t="s">
        <v>1604</v>
      </c>
      <c r="D209">
        <v>26334</v>
      </c>
      <c r="E209" s="18" t="s">
        <v>2270</v>
      </c>
      <c r="F209" s="3">
        <v>40679.083333333299</v>
      </c>
      <c r="G209" s="20">
        <f t="shared" ca="1" si="3"/>
        <v>14</v>
      </c>
      <c r="H209">
        <f>COUNTIF(BRON!A:A,Tabel6[[#This Row],[Personeelsnummer]])</f>
        <v>0</v>
      </c>
    </row>
    <row r="210" spans="1:8" x14ac:dyDescent="0.25">
      <c r="A210" s="18" t="s">
        <v>2499</v>
      </c>
      <c r="B210" s="18" t="s">
        <v>1600</v>
      </c>
      <c r="C210" s="18" t="s">
        <v>1605</v>
      </c>
      <c r="D210">
        <v>26384</v>
      </c>
      <c r="E210" s="18" t="s">
        <v>2277</v>
      </c>
      <c r="F210" s="3">
        <v>40700.083333333299</v>
      </c>
      <c r="G210" s="20">
        <f t="shared" ca="1" si="3"/>
        <v>14</v>
      </c>
      <c r="H210">
        <f>COUNTIF(BRON!A:A,Tabel6[[#This Row],[Personeelsnummer]])</f>
        <v>1</v>
      </c>
    </row>
    <row r="211" spans="1:8" x14ac:dyDescent="0.25">
      <c r="A211" s="18" t="s">
        <v>2500</v>
      </c>
      <c r="B211" s="18" t="s">
        <v>1607</v>
      </c>
      <c r="C211" s="18" t="s">
        <v>1606</v>
      </c>
      <c r="D211">
        <v>26521</v>
      </c>
      <c r="E211" s="18" t="s">
        <v>2270</v>
      </c>
      <c r="F211" s="3">
        <v>40728.083333333299</v>
      </c>
      <c r="G211" s="20">
        <f t="shared" ca="1" si="3"/>
        <v>14</v>
      </c>
      <c r="H211">
        <f>COUNTIF(BRON!A:A,Tabel6[[#This Row],[Personeelsnummer]])</f>
        <v>1</v>
      </c>
    </row>
    <row r="212" spans="1:8" x14ac:dyDescent="0.25">
      <c r="A212" s="18" t="s">
        <v>2501</v>
      </c>
      <c r="B212" s="18" t="s">
        <v>1414</v>
      </c>
      <c r="C212" s="18" t="s">
        <v>1346</v>
      </c>
      <c r="D212">
        <v>26524</v>
      </c>
      <c r="E212" s="18" t="s">
        <v>2270</v>
      </c>
      <c r="F212" s="3">
        <v>40728.083333333299</v>
      </c>
      <c r="G212" s="20">
        <f t="shared" ca="1" si="3"/>
        <v>14</v>
      </c>
      <c r="H212">
        <f>COUNTIF(BRON!A:A,Tabel6[[#This Row],[Personeelsnummer]])</f>
        <v>1</v>
      </c>
    </row>
    <row r="213" spans="1:8" x14ac:dyDescent="0.25">
      <c r="A213" s="18" t="s">
        <v>2502</v>
      </c>
      <c r="B213" s="18" t="s">
        <v>1458</v>
      </c>
      <c r="C213" s="18" t="s">
        <v>1608</v>
      </c>
      <c r="D213">
        <v>26638</v>
      </c>
      <c r="E213" s="18" t="s">
        <v>2300</v>
      </c>
      <c r="F213" s="3">
        <v>40749.083333333299</v>
      </c>
      <c r="G213" s="20">
        <f t="shared" ca="1" si="3"/>
        <v>14</v>
      </c>
      <c r="H213">
        <f>COUNTIF(BRON!A:A,Tabel6[[#This Row],[Personeelsnummer]])</f>
        <v>0</v>
      </c>
    </row>
    <row r="214" spans="1:8" x14ac:dyDescent="0.25">
      <c r="A214" s="18" t="s">
        <v>2503</v>
      </c>
      <c r="B214" s="18" t="s">
        <v>1434</v>
      </c>
      <c r="C214" s="18" t="s">
        <v>1609</v>
      </c>
      <c r="D214">
        <v>26639</v>
      </c>
      <c r="E214" s="18" t="s">
        <v>2265</v>
      </c>
      <c r="F214" s="3">
        <v>40749.083333333299</v>
      </c>
      <c r="G214" s="20">
        <f t="shared" ca="1" si="3"/>
        <v>14</v>
      </c>
      <c r="H214">
        <f>COUNTIF(BRON!A:A,Tabel6[[#This Row],[Personeelsnummer]])</f>
        <v>1</v>
      </c>
    </row>
    <row r="215" spans="1:8" x14ac:dyDescent="0.25">
      <c r="A215" s="18" t="s">
        <v>2504</v>
      </c>
      <c r="B215" s="18" t="s">
        <v>1611</v>
      </c>
      <c r="C215" s="18" t="s">
        <v>1610</v>
      </c>
      <c r="D215">
        <v>26695</v>
      </c>
      <c r="E215" s="18" t="s">
        <v>2297</v>
      </c>
      <c r="F215" s="3">
        <v>40771.083333333299</v>
      </c>
      <c r="G215" s="20">
        <f t="shared" ca="1" si="3"/>
        <v>14</v>
      </c>
      <c r="H215">
        <f>COUNTIF(BRON!A:A,Tabel6[[#This Row],[Personeelsnummer]])</f>
        <v>2</v>
      </c>
    </row>
    <row r="216" spans="1:8" x14ac:dyDescent="0.25">
      <c r="A216" s="18" t="s">
        <v>2505</v>
      </c>
      <c r="B216" s="18" t="s">
        <v>1613</v>
      </c>
      <c r="C216" s="18" t="s">
        <v>1612</v>
      </c>
      <c r="D216">
        <v>26792</v>
      </c>
      <c r="E216" s="18" t="s">
        <v>2263</v>
      </c>
      <c r="F216" s="3">
        <v>40812.083333333299</v>
      </c>
      <c r="G216" s="20">
        <f t="shared" ca="1" si="3"/>
        <v>14</v>
      </c>
      <c r="H216">
        <f>COUNTIF(BRON!A:A,Tabel6[[#This Row],[Personeelsnummer]])</f>
        <v>0</v>
      </c>
    </row>
    <row r="217" spans="1:8" x14ac:dyDescent="0.25">
      <c r="A217" s="18" t="s">
        <v>2506</v>
      </c>
      <c r="B217" s="18" t="s">
        <v>1353</v>
      </c>
      <c r="C217" s="18" t="s">
        <v>1614</v>
      </c>
      <c r="D217">
        <v>26847</v>
      </c>
      <c r="E217" s="18" t="s">
        <v>2261</v>
      </c>
      <c r="F217" s="3">
        <v>40826.083333333299</v>
      </c>
      <c r="G217" s="20">
        <f t="shared" ca="1" si="3"/>
        <v>14</v>
      </c>
      <c r="H217">
        <f>COUNTIF(BRON!A:A,Tabel6[[#This Row],[Personeelsnummer]])</f>
        <v>2</v>
      </c>
    </row>
    <row r="218" spans="1:8" x14ac:dyDescent="0.25">
      <c r="A218" s="18" t="s">
        <v>2507</v>
      </c>
      <c r="B218" s="18" t="s">
        <v>1331</v>
      </c>
      <c r="C218" s="18" t="s">
        <v>1615</v>
      </c>
      <c r="D218">
        <v>26959</v>
      </c>
      <c r="E218" s="18" t="s">
        <v>2300</v>
      </c>
      <c r="F218" s="3">
        <v>40861.041666666701</v>
      </c>
      <c r="G218" s="20">
        <f t="shared" ca="1" si="3"/>
        <v>14</v>
      </c>
      <c r="H218">
        <f>COUNTIF(BRON!A:A,Tabel6[[#This Row],[Personeelsnummer]])</f>
        <v>0</v>
      </c>
    </row>
    <row r="219" spans="1:8" x14ac:dyDescent="0.25">
      <c r="A219" s="18" t="s">
        <v>2508</v>
      </c>
      <c r="B219" s="18" t="s">
        <v>1617</v>
      </c>
      <c r="C219" s="18" t="s">
        <v>1616</v>
      </c>
      <c r="D219">
        <v>26960</v>
      </c>
      <c r="E219" s="18" t="s">
        <v>2270</v>
      </c>
      <c r="F219" s="3">
        <v>40861.041666666701</v>
      </c>
      <c r="G219" s="20">
        <f t="shared" ca="1" si="3"/>
        <v>14</v>
      </c>
      <c r="H219">
        <f>COUNTIF(BRON!A:A,Tabel6[[#This Row],[Personeelsnummer]])</f>
        <v>3</v>
      </c>
    </row>
    <row r="220" spans="1:8" x14ac:dyDescent="0.25">
      <c r="A220" s="18" t="s">
        <v>2509</v>
      </c>
      <c r="B220" s="18" t="s">
        <v>1623</v>
      </c>
      <c r="C220" s="18" t="s">
        <v>1622</v>
      </c>
      <c r="D220">
        <v>27607</v>
      </c>
      <c r="E220" s="18" t="s">
        <v>2265</v>
      </c>
      <c r="F220" s="3">
        <v>41141.083333333299</v>
      </c>
      <c r="G220" s="20">
        <f t="shared" ca="1" si="3"/>
        <v>13</v>
      </c>
      <c r="H220">
        <f>COUNTIF(BRON!A:A,Tabel6[[#This Row],[Personeelsnummer]])</f>
        <v>0</v>
      </c>
    </row>
    <row r="221" spans="1:8" x14ac:dyDescent="0.25">
      <c r="A221" s="18" t="s">
        <v>2510</v>
      </c>
      <c r="B221" s="18" t="s">
        <v>1619</v>
      </c>
      <c r="C221" s="18" t="s">
        <v>1618</v>
      </c>
      <c r="D221">
        <v>27153</v>
      </c>
      <c r="E221" s="18" t="s">
        <v>2297</v>
      </c>
      <c r="F221" s="3">
        <v>40952.041666666701</v>
      </c>
      <c r="G221" s="20">
        <f t="shared" ca="1" si="3"/>
        <v>13</v>
      </c>
      <c r="H221">
        <f>COUNTIF(BRON!A:A,Tabel6[[#This Row],[Personeelsnummer]])</f>
        <v>3</v>
      </c>
    </row>
    <row r="222" spans="1:8" x14ac:dyDescent="0.25">
      <c r="A222" s="18" t="s">
        <v>2511</v>
      </c>
      <c r="B222" s="18" t="s">
        <v>1600</v>
      </c>
      <c r="C222" s="18" t="s">
        <v>1530</v>
      </c>
      <c r="D222">
        <v>27209</v>
      </c>
      <c r="E222" s="18" t="s">
        <v>2277</v>
      </c>
      <c r="F222" s="3">
        <v>40973.041666666701</v>
      </c>
      <c r="G222" s="20">
        <f t="shared" ca="1" si="3"/>
        <v>13</v>
      </c>
      <c r="H222">
        <f>COUNTIF(BRON!A:A,Tabel6[[#This Row],[Personeelsnummer]])</f>
        <v>3</v>
      </c>
    </row>
    <row r="223" spans="1:8" x14ac:dyDescent="0.25">
      <c r="A223" s="18" t="s">
        <v>2512</v>
      </c>
      <c r="B223" s="18" t="s">
        <v>1544</v>
      </c>
      <c r="C223" s="18" t="s">
        <v>1614</v>
      </c>
      <c r="D223">
        <v>27577</v>
      </c>
      <c r="E223" s="18" t="s">
        <v>2297</v>
      </c>
      <c r="F223" s="3">
        <v>41113.083333333299</v>
      </c>
      <c r="G223" s="20">
        <f t="shared" ca="1" si="3"/>
        <v>13</v>
      </c>
      <c r="H223">
        <f>COUNTIF(BRON!A:A,Tabel6[[#This Row],[Personeelsnummer]])</f>
        <v>0</v>
      </c>
    </row>
    <row r="224" spans="1:8" x14ac:dyDescent="0.25">
      <c r="A224" s="18" t="s">
        <v>2513</v>
      </c>
      <c r="B224" s="18" t="s">
        <v>1625</v>
      </c>
      <c r="C224" s="18" t="s">
        <v>1624</v>
      </c>
      <c r="D224">
        <v>27635</v>
      </c>
      <c r="E224" s="18" t="s">
        <v>2265</v>
      </c>
      <c r="F224" s="3">
        <v>41176.083333333299</v>
      </c>
      <c r="G224" s="20">
        <f t="shared" ca="1" si="3"/>
        <v>13</v>
      </c>
      <c r="H224">
        <f>COUNTIF(BRON!A:A,Tabel6[[#This Row],[Personeelsnummer]])</f>
        <v>1</v>
      </c>
    </row>
    <row r="225" spans="1:8" x14ac:dyDescent="0.25">
      <c r="A225" s="18" t="s">
        <v>2514</v>
      </c>
      <c r="B225" s="18" t="s">
        <v>1451</v>
      </c>
      <c r="C225" s="18" t="s">
        <v>1626</v>
      </c>
      <c r="D225">
        <v>27672</v>
      </c>
      <c r="E225" s="18" t="s">
        <v>2286</v>
      </c>
      <c r="F225" s="3">
        <v>41204.083333333299</v>
      </c>
      <c r="G225" s="20">
        <f t="shared" ca="1" si="3"/>
        <v>13</v>
      </c>
      <c r="H225">
        <f>COUNTIF(BRON!A:A,Tabel6[[#This Row],[Personeelsnummer]])</f>
        <v>1</v>
      </c>
    </row>
    <row r="226" spans="1:8" x14ac:dyDescent="0.25">
      <c r="A226" s="18" t="s">
        <v>2515</v>
      </c>
      <c r="B226" s="18" t="s">
        <v>1374</v>
      </c>
      <c r="C226" s="18" t="s">
        <v>1627</v>
      </c>
      <c r="D226">
        <v>27673</v>
      </c>
      <c r="E226" s="18" t="s">
        <v>2297</v>
      </c>
      <c r="F226" s="3">
        <v>41204.083333333299</v>
      </c>
      <c r="G226" s="20">
        <f t="shared" ca="1" si="3"/>
        <v>13</v>
      </c>
      <c r="H226">
        <f>COUNTIF(BRON!A:A,Tabel6[[#This Row],[Personeelsnummer]])</f>
        <v>1</v>
      </c>
    </row>
    <row r="227" spans="1:8" x14ac:dyDescent="0.25">
      <c r="A227" s="18" t="s">
        <v>2516</v>
      </c>
      <c r="B227" s="18" t="s">
        <v>1353</v>
      </c>
      <c r="C227" s="18" t="s">
        <v>1628</v>
      </c>
      <c r="D227">
        <v>27711</v>
      </c>
      <c r="E227" s="18" t="s">
        <v>2297</v>
      </c>
      <c r="F227" s="3">
        <v>41218.041666666701</v>
      </c>
      <c r="G227" s="20">
        <f t="shared" ca="1" si="3"/>
        <v>13</v>
      </c>
      <c r="H227">
        <f>COUNTIF(BRON!A:A,Tabel6[[#This Row],[Personeelsnummer]])</f>
        <v>0</v>
      </c>
    </row>
    <row r="228" spans="1:8" x14ac:dyDescent="0.25">
      <c r="A228" s="18" t="s">
        <v>2517</v>
      </c>
      <c r="B228" s="18" t="s">
        <v>1497</v>
      </c>
      <c r="C228" s="18" t="s">
        <v>1629</v>
      </c>
      <c r="D228">
        <v>27713</v>
      </c>
      <c r="E228" s="18" t="s">
        <v>2277</v>
      </c>
      <c r="F228" s="3">
        <v>41218.041666666701</v>
      </c>
      <c r="G228" s="20">
        <f t="shared" ca="1" si="3"/>
        <v>13</v>
      </c>
      <c r="H228">
        <f>COUNTIF(BRON!A:A,Tabel6[[#This Row],[Personeelsnummer]])</f>
        <v>1</v>
      </c>
    </row>
    <row r="229" spans="1:8" x14ac:dyDescent="0.25">
      <c r="A229" s="18" t="s">
        <v>2518</v>
      </c>
      <c r="B229" s="18" t="s">
        <v>1631</v>
      </c>
      <c r="C229" s="18" t="s">
        <v>1630</v>
      </c>
      <c r="D229">
        <v>27786</v>
      </c>
      <c r="E229" s="18" t="s">
        <v>2277</v>
      </c>
      <c r="F229" s="3">
        <v>41253.041666666701</v>
      </c>
      <c r="G229" s="20">
        <f t="shared" ca="1" si="3"/>
        <v>13</v>
      </c>
      <c r="H229">
        <f>COUNTIF(BRON!A:A,Tabel6[[#This Row],[Personeelsnummer]])</f>
        <v>0</v>
      </c>
    </row>
    <row r="230" spans="1:8" x14ac:dyDescent="0.25">
      <c r="A230" s="18" t="s">
        <v>2519</v>
      </c>
      <c r="B230" s="18" t="s">
        <v>1633</v>
      </c>
      <c r="C230" s="18" t="s">
        <v>1632</v>
      </c>
      <c r="D230">
        <v>27865</v>
      </c>
      <c r="E230" s="18" t="s">
        <v>2277</v>
      </c>
      <c r="F230" s="3">
        <v>41313.041666666701</v>
      </c>
      <c r="G230" s="20">
        <f t="shared" ca="1" si="3"/>
        <v>12</v>
      </c>
      <c r="H230">
        <f>COUNTIF(BRON!A:A,Tabel6[[#This Row],[Personeelsnummer]])</f>
        <v>1</v>
      </c>
    </row>
    <row r="231" spans="1:8" x14ac:dyDescent="0.25">
      <c r="A231" s="18" t="s">
        <v>2520</v>
      </c>
      <c r="B231" s="18" t="s">
        <v>1387</v>
      </c>
      <c r="C231" s="18" t="s">
        <v>2521</v>
      </c>
      <c r="D231">
        <v>28070</v>
      </c>
      <c r="E231" s="18" t="s">
        <v>2376</v>
      </c>
      <c r="F231" s="3">
        <v>41372.083333333299</v>
      </c>
      <c r="G231" s="20">
        <f t="shared" ca="1" si="3"/>
        <v>12</v>
      </c>
      <c r="H231">
        <f>COUNTIF(BRON!A:A,Tabel6[[#This Row],[Personeelsnummer]])</f>
        <v>1</v>
      </c>
    </row>
    <row r="232" spans="1:8" x14ac:dyDescent="0.25">
      <c r="A232" s="18" t="s">
        <v>2522</v>
      </c>
      <c r="B232" s="18" t="s">
        <v>1635</v>
      </c>
      <c r="C232" s="18" t="s">
        <v>1634</v>
      </c>
      <c r="D232">
        <v>28071</v>
      </c>
      <c r="E232" s="18" t="s">
        <v>2277</v>
      </c>
      <c r="F232" s="3">
        <v>41372.083333333299</v>
      </c>
      <c r="G232" s="20">
        <f t="shared" ca="1" si="3"/>
        <v>12</v>
      </c>
      <c r="H232">
        <f>COUNTIF(BRON!A:A,Tabel6[[#This Row],[Personeelsnummer]])</f>
        <v>0</v>
      </c>
    </row>
    <row r="233" spans="1:8" x14ac:dyDescent="0.25">
      <c r="A233" s="18" t="s">
        <v>2523</v>
      </c>
      <c r="B233" s="18" t="s">
        <v>1637</v>
      </c>
      <c r="C233" s="18" t="s">
        <v>1636</v>
      </c>
      <c r="D233">
        <v>28072</v>
      </c>
      <c r="E233" s="18" t="s">
        <v>2263</v>
      </c>
      <c r="F233" s="3">
        <v>41372.083333333299</v>
      </c>
      <c r="G233" s="20">
        <f t="shared" ca="1" si="3"/>
        <v>12</v>
      </c>
      <c r="H233">
        <f>COUNTIF(BRON!A:A,Tabel6[[#This Row],[Personeelsnummer]])</f>
        <v>0</v>
      </c>
    </row>
    <row r="234" spans="1:8" x14ac:dyDescent="0.25">
      <c r="A234" s="18" t="s">
        <v>2524</v>
      </c>
      <c r="B234" s="18" t="s">
        <v>1349</v>
      </c>
      <c r="C234" s="18" t="s">
        <v>1638</v>
      </c>
      <c r="D234">
        <v>28165</v>
      </c>
      <c r="E234" s="18" t="s">
        <v>2277</v>
      </c>
      <c r="F234" s="3">
        <v>41421.083333333299</v>
      </c>
      <c r="G234" s="20">
        <f t="shared" ca="1" si="3"/>
        <v>12</v>
      </c>
      <c r="H234">
        <f>COUNTIF(BRON!A:A,Tabel6[[#This Row],[Personeelsnummer]])</f>
        <v>0</v>
      </c>
    </row>
    <row r="235" spans="1:8" x14ac:dyDescent="0.25">
      <c r="A235" s="18" t="s">
        <v>2525</v>
      </c>
      <c r="B235" s="18" t="s">
        <v>2526</v>
      </c>
      <c r="C235" s="18" t="s">
        <v>2104</v>
      </c>
      <c r="D235">
        <v>28616</v>
      </c>
      <c r="E235" s="18" t="s">
        <v>2376</v>
      </c>
      <c r="F235" s="3">
        <v>41579.041666666701</v>
      </c>
      <c r="G235" s="20">
        <f t="shared" ca="1" si="3"/>
        <v>12</v>
      </c>
      <c r="H235">
        <f>COUNTIF(BRON!A:A,Tabel6[[#This Row],[Personeelsnummer]])</f>
        <v>0</v>
      </c>
    </row>
    <row r="236" spans="1:8" x14ac:dyDescent="0.25">
      <c r="A236" s="18" t="s">
        <v>2527</v>
      </c>
      <c r="B236" s="18" t="s">
        <v>1640</v>
      </c>
      <c r="C236" s="18" t="s">
        <v>1639</v>
      </c>
      <c r="D236">
        <v>28690</v>
      </c>
      <c r="E236" s="18" t="s">
        <v>2270</v>
      </c>
      <c r="F236" s="3">
        <v>41617.041666666701</v>
      </c>
      <c r="G236" s="20">
        <f t="shared" ca="1" si="3"/>
        <v>12</v>
      </c>
      <c r="H236">
        <f>COUNTIF(BRON!A:A,Tabel6[[#This Row],[Personeelsnummer]])</f>
        <v>0</v>
      </c>
    </row>
    <row r="237" spans="1:8" x14ac:dyDescent="0.25">
      <c r="A237" s="18" t="s">
        <v>2528</v>
      </c>
      <c r="B237" s="18" t="s">
        <v>1642</v>
      </c>
      <c r="C237" s="18" t="s">
        <v>1641</v>
      </c>
      <c r="D237">
        <v>28717</v>
      </c>
      <c r="E237" s="18" t="s">
        <v>2263</v>
      </c>
      <c r="F237" s="3">
        <v>41659.041666666701</v>
      </c>
      <c r="G237" s="20">
        <f t="shared" ca="1" si="3"/>
        <v>11</v>
      </c>
      <c r="H237">
        <f>COUNTIF(BRON!A:A,Tabel6[[#This Row],[Personeelsnummer]])</f>
        <v>1</v>
      </c>
    </row>
    <row r="238" spans="1:8" x14ac:dyDescent="0.25">
      <c r="A238" s="18" t="s">
        <v>2529</v>
      </c>
      <c r="B238" s="18" t="s">
        <v>1644</v>
      </c>
      <c r="C238" s="18" t="s">
        <v>1643</v>
      </c>
      <c r="D238">
        <v>28737</v>
      </c>
      <c r="E238" s="18" t="s">
        <v>2263</v>
      </c>
      <c r="F238" s="3">
        <v>41680.041666666701</v>
      </c>
      <c r="G238" s="20">
        <f t="shared" ca="1" si="3"/>
        <v>11</v>
      </c>
      <c r="H238">
        <f>COUNTIF(BRON!A:A,Tabel6[[#This Row],[Personeelsnummer]])</f>
        <v>4</v>
      </c>
    </row>
    <row r="239" spans="1:8" x14ac:dyDescent="0.25">
      <c r="A239" s="18" t="s">
        <v>2530</v>
      </c>
      <c r="B239" s="18" t="s">
        <v>1646</v>
      </c>
      <c r="C239" s="18" t="s">
        <v>1645</v>
      </c>
      <c r="D239">
        <v>28794</v>
      </c>
      <c r="E239" s="18" t="s">
        <v>2263</v>
      </c>
      <c r="F239" s="3">
        <v>41701.041666666701</v>
      </c>
      <c r="G239" s="20">
        <f t="shared" ca="1" si="3"/>
        <v>11</v>
      </c>
      <c r="H239">
        <f>COUNTIF(BRON!A:A,Tabel6[[#This Row],[Personeelsnummer]])</f>
        <v>1</v>
      </c>
    </row>
    <row r="240" spans="1:8" x14ac:dyDescent="0.25">
      <c r="A240" s="18" t="s">
        <v>2531</v>
      </c>
      <c r="B240" s="18" t="s">
        <v>1642</v>
      </c>
      <c r="C240" s="18" t="s">
        <v>1647</v>
      </c>
      <c r="D240">
        <v>28821</v>
      </c>
      <c r="E240" s="18" t="s">
        <v>2261</v>
      </c>
      <c r="F240" s="3">
        <v>41708.041666666701</v>
      </c>
      <c r="G240" s="20">
        <f t="shared" ca="1" si="3"/>
        <v>11</v>
      </c>
      <c r="H240">
        <f>COUNTIF(BRON!A:A,Tabel6[[#This Row],[Personeelsnummer]])</f>
        <v>0</v>
      </c>
    </row>
    <row r="241" spans="1:8" x14ac:dyDescent="0.25">
      <c r="A241" s="18" t="s">
        <v>2532</v>
      </c>
      <c r="B241" s="18" t="s">
        <v>1649</v>
      </c>
      <c r="C241" s="18" t="s">
        <v>1648</v>
      </c>
      <c r="D241">
        <v>28830</v>
      </c>
      <c r="E241" s="18" t="s">
        <v>2297</v>
      </c>
      <c r="F241" s="3">
        <v>41722.041666666701</v>
      </c>
      <c r="G241" s="20">
        <f t="shared" ca="1" si="3"/>
        <v>11</v>
      </c>
      <c r="H241">
        <f>COUNTIF(BRON!A:A,Tabel6[[#This Row],[Personeelsnummer]])</f>
        <v>1</v>
      </c>
    </row>
    <row r="242" spans="1:8" x14ac:dyDescent="0.25">
      <c r="A242" s="18" t="s">
        <v>2533</v>
      </c>
      <c r="B242" s="18" t="s">
        <v>1651</v>
      </c>
      <c r="C242" s="18" t="s">
        <v>1650</v>
      </c>
      <c r="D242">
        <v>28835</v>
      </c>
      <c r="E242" s="18" t="s">
        <v>2297</v>
      </c>
      <c r="F242" s="3">
        <v>41722.041666666701</v>
      </c>
      <c r="G242" s="20">
        <f t="shared" ca="1" si="3"/>
        <v>11</v>
      </c>
      <c r="H242">
        <f>COUNTIF(BRON!A:A,Tabel6[[#This Row],[Personeelsnummer]])</f>
        <v>0</v>
      </c>
    </row>
    <row r="243" spans="1:8" x14ac:dyDescent="0.25">
      <c r="A243" s="18" t="s">
        <v>2534</v>
      </c>
      <c r="B243" s="18" t="s">
        <v>1653</v>
      </c>
      <c r="C243" s="18" t="s">
        <v>1652</v>
      </c>
      <c r="D243">
        <v>28910</v>
      </c>
      <c r="E243" s="18" t="s">
        <v>2261</v>
      </c>
      <c r="F243" s="3">
        <v>41743.083333333299</v>
      </c>
      <c r="G243" s="20">
        <f t="shared" ca="1" si="3"/>
        <v>11</v>
      </c>
      <c r="H243">
        <f>COUNTIF(BRON!A:A,Tabel6[[#This Row],[Personeelsnummer]])</f>
        <v>2</v>
      </c>
    </row>
    <row r="244" spans="1:8" x14ac:dyDescent="0.25">
      <c r="A244" s="18" t="s">
        <v>2535</v>
      </c>
      <c r="B244" s="18" t="s">
        <v>1995</v>
      </c>
      <c r="C244" s="18" t="s">
        <v>2536</v>
      </c>
      <c r="D244">
        <v>28947</v>
      </c>
      <c r="E244" s="18" t="s">
        <v>2376</v>
      </c>
      <c r="F244" s="3">
        <v>41751.083333333299</v>
      </c>
      <c r="G244" s="20">
        <f t="shared" ca="1" si="3"/>
        <v>11</v>
      </c>
      <c r="H244">
        <f>COUNTIF(BRON!A:A,Tabel6[[#This Row],[Personeelsnummer]])</f>
        <v>0</v>
      </c>
    </row>
    <row r="245" spans="1:8" x14ac:dyDescent="0.25">
      <c r="A245" s="18" t="s">
        <v>2537</v>
      </c>
      <c r="B245" s="18" t="s">
        <v>1655</v>
      </c>
      <c r="C245" s="18" t="s">
        <v>1654</v>
      </c>
      <c r="D245">
        <v>28995</v>
      </c>
      <c r="E245" s="18" t="s">
        <v>2297</v>
      </c>
      <c r="F245" s="3">
        <v>41771.083333333299</v>
      </c>
      <c r="G245" s="20">
        <f t="shared" ca="1" si="3"/>
        <v>11</v>
      </c>
      <c r="H245">
        <f>COUNTIF(BRON!A:A,Tabel6[[#This Row],[Personeelsnummer]])</f>
        <v>0</v>
      </c>
    </row>
    <row r="246" spans="1:8" x14ac:dyDescent="0.25">
      <c r="A246" s="18" t="s">
        <v>2538</v>
      </c>
      <c r="B246" s="18" t="s">
        <v>1657</v>
      </c>
      <c r="C246" s="18" t="s">
        <v>1656</v>
      </c>
      <c r="D246">
        <v>29179</v>
      </c>
      <c r="E246" s="18" t="s">
        <v>2277</v>
      </c>
      <c r="F246" s="3">
        <v>41827.083333333299</v>
      </c>
      <c r="G246" s="20">
        <f t="shared" ca="1" si="3"/>
        <v>11</v>
      </c>
      <c r="H246">
        <f>COUNTIF(BRON!A:A,Tabel6[[#This Row],[Personeelsnummer]])</f>
        <v>6</v>
      </c>
    </row>
    <row r="247" spans="1:8" x14ac:dyDescent="0.25">
      <c r="A247" s="18" t="s">
        <v>2539</v>
      </c>
      <c r="B247" s="18" t="s">
        <v>1522</v>
      </c>
      <c r="C247" s="18" t="s">
        <v>1658</v>
      </c>
      <c r="D247">
        <v>29181</v>
      </c>
      <c r="E247" s="18" t="s">
        <v>2261</v>
      </c>
      <c r="F247" s="3">
        <v>41827.083333333299</v>
      </c>
      <c r="G247" s="20">
        <f t="shared" ca="1" si="3"/>
        <v>11</v>
      </c>
      <c r="H247">
        <f>COUNTIF(BRON!A:A,Tabel6[[#This Row],[Personeelsnummer]])</f>
        <v>0</v>
      </c>
    </row>
    <row r="248" spans="1:8" x14ac:dyDescent="0.25">
      <c r="A248" s="18" t="s">
        <v>2540</v>
      </c>
      <c r="B248" s="18" t="s">
        <v>1395</v>
      </c>
      <c r="C248" s="18" t="s">
        <v>1553</v>
      </c>
      <c r="D248">
        <v>29271</v>
      </c>
      <c r="E248" s="18" t="s">
        <v>2277</v>
      </c>
      <c r="F248" s="3">
        <v>41855.083333333299</v>
      </c>
      <c r="G248" s="20">
        <f t="shared" ca="1" si="3"/>
        <v>11</v>
      </c>
      <c r="H248">
        <f>COUNTIF(BRON!A:A,Tabel6[[#This Row],[Personeelsnummer]])</f>
        <v>1</v>
      </c>
    </row>
    <row r="249" spans="1:8" x14ac:dyDescent="0.25">
      <c r="A249" s="18" t="s">
        <v>2541</v>
      </c>
      <c r="B249" s="18" t="s">
        <v>1660</v>
      </c>
      <c r="C249" s="18" t="s">
        <v>1659</v>
      </c>
      <c r="D249">
        <v>29370</v>
      </c>
      <c r="E249" s="18" t="s">
        <v>2261</v>
      </c>
      <c r="F249" s="3">
        <v>41904.083333333299</v>
      </c>
      <c r="G249" s="20">
        <f t="shared" ca="1" si="3"/>
        <v>11</v>
      </c>
      <c r="H249">
        <f>COUNTIF(BRON!A:A,Tabel6[[#This Row],[Personeelsnummer]])</f>
        <v>0</v>
      </c>
    </row>
    <row r="250" spans="1:8" x14ac:dyDescent="0.25">
      <c r="A250" s="18" t="s">
        <v>2542</v>
      </c>
      <c r="B250" s="18" t="s">
        <v>1662</v>
      </c>
      <c r="C250" s="18" t="s">
        <v>1661</v>
      </c>
      <c r="D250">
        <v>29477</v>
      </c>
      <c r="E250" s="18" t="s">
        <v>2263</v>
      </c>
      <c r="F250" s="3">
        <v>41946.041666666701</v>
      </c>
      <c r="G250" s="20">
        <f t="shared" ca="1" si="3"/>
        <v>11</v>
      </c>
      <c r="H250">
        <f>COUNTIF(BRON!A:A,Tabel6[[#This Row],[Personeelsnummer]])</f>
        <v>3</v>
      </c>
    </row>
    <row r="251" spans="1:8" x14ac:dyDescent="0.25">
      <c r="A251" s="18" t="s">
        <v>2543</v>
      </c>
      <c r="B251" s="18" t="s">
        <v>1664</v>
      </c>
      <c r="C251" s="18" t="s">
        <v>1663</v>
      </c>
      <c r="D251">
        <v>29478</v>
      </c>
      <c r="E251" s="18" t="s">
        <v>2277</v>
      </c>
      <c r="F251" s="3">
        <v>41946.041666666701</v>
      </c>
      <c r="G251" s="20">
        <f t="shared" ca="1" si="3"/>
        <v>11</v>
      </c>
      <c r="H251">
        <f>COUNTIF(BRON!A:A,Tabel6[[#This Row],[Personeelsnummer]])</f>
        <v>3</v>
      </c>
    </row>
    <row r="252" spans="1:8" x14ac:dyDescent="0.25">
      <c r="A252" s="18" t="s">
        <v>2544</v>
      </c>
      <c r="B252" s="18" t="s">
        <v>1600</v>
      </c>
      <c r="C252" s="18" t="s">
        <v>1665</v>
      </c>
      <c r="D252">
        <v>29539</v>
      </c>
      <c r="E252" s="18" t="s">
        <v>2300</v>
      </c>
      <c r="F252" s="3">
        <v>41981.041666666701</v>
      </c>
      <c r="G252" s="20">
        <f t="shared" ca="1" si="3"/>
        <v>11</v>
      </c>
      <c r="H252">
        <f>COUNTIF(BRON!A:A,Tabel6[[#This Row],[Personeelsnummer]])</f>
        <v>0</v>
      </c>
    </row>
    <row r="253" spans="1:8" x14ac:dyDescent="0.25">
      <c r="A253" s="18" t="s">
        <v>2545</v>
      </c>
      <c r="B253" s="18" t="s">
        <v>1363</v>
      </c>
      <c r="C253" s="18" t="s">
        <v>1666</v>
      </c>
      <c r="D253">
        <v>29540</v>
      </c>
      <c r="E253" s="18" t="s">
        <v>2263</v>
      </c>
      <c r="F253" s="3">
        <v>41981.041666666701</v>
      </c>
      <c r="G253" s="20">
        <f t="shared" ca="1" si="3"/>
        <v>11</v>
      </c>
      <c r="H253">
        <f>COUNTIF(BRON!A:A,Tabel6[[#This Row],[Personeelsnummer]])</f>
        <v>1</v>
      </c>
    </row>
    <row r="254" spans="1:8" x14ac:dyDescent="0.25">
      <c r="A254" s="18" t="s">
        <v>2546</v>
      </c>
      <c r="B254" s="18" t="s">
        <v>1668</v>
      </c>
      <c r="C254" s="18" t="s">
        <v>1667</v>
      </c>
      <c r="D254">
        <v>29591</v>
      </c>
      <c r="E254" s="18" t="s">
        <v>2297</v>
      </c>
      <c r="F254" s="3">
        <v>42023.041666666701</v>
      </c>
      <c r="G254" s="20">
        <f t="shared" ca="1" si="3"/>
        <v>11</v>
      </c>
      <c r="H254">
        <f>COUNTIF(BRON!A:A,Tabel6[[#This Row],[Personeelsnummer]])</f>
        <v>0</v>
      </c>
    </row>
    <row r="255" spans="1:8" x14ac:dyDescent="0.25">
      <c r="A255" s="18" t="s">
        <v>2547</v>
      </c>
      <c r="B255" s="18" t="s">
        <v>1670</v>
      </c>
      <c r="C255" s="18" t="s">
        <v>1669</v>
      </c>
      <c r="D255">
        <v>29646</v>
      </c>
      <c r="E255" s="18" t="s">
        <v>2300</v>
      </c>
      <c r="F255" s="3">
        <v>42051.041666666701</v>
      </c>
      <c r="G255" s="20">
        <f t="shared" ca="1" si="3"/>
        <v>10</v>
      </c>
      <c r="H255">
        <f>COUNTIF(BRON!A:A,Tabel6[[#This Row],[Personeelsnummer]])</f>
        <v>1</v>
      </c>
    </row>
    <row r="256" spans="1:8" x14ac:dyDescent="0.25">
      <c r="A256" s="18" t="s">
        <v>2548</v>
      </c>
      <c r="B256" s="18" t="s">
        <v>1674</v>
      </c>
      <c r="C256" s="18" t="s">
        <v>1673</v>
      </c>
      <c r="D256">
        <v>29746</v>
      </c>
      <c r="E256" s="18" t="s">
        <v>2261</v>
      </c>
      <c r="F256" s="3">
        <v>42093.083333333299</v>
      </c>
      <c r="G256" s="20">
        <f t="shared" ca="1" si="3"/>
        <v>10</v>
      </c>
      <c r="H256">
        <f>COUNTIF(BRON!A:A,Tabel6[[#This Row],[Personeelsnummer]])</f>
        <v>3</v>
      </c>
    </row>
    <row r="257" spans="1:8" x14ac:dyDescent="0.25">
      <c r="A257" s="18" t="s">
        <v>2549</v>
      </c>
      <c r="B257" s="18" t="s">
        <v>1676</v>
      </c>
      <c r="C257" s="18" t="s">
        <v>1675</v>
      </c>
      <c r="D257">
        <v>29778</v>
      </c>
      <c r="E257" s="18" t="s">
        <v>2265</v>
      </c>
      <c r="F257" s="3">
        <v>42107.083333333299</v>
      </c>
      <c r="G257" s="20">
        <f t="shared" ca="1" si="3"/>
        <v>10</v>
      </c>
      <c r="H257">
        <f>COUNTIF(BRON!A:A,Tabel6[[#This Row],[Personeelsnummer]])</f>
        <v>0</v>
      </c>
    </row>
    <row r="258" spans="1:8" x14ac:dyDescent="0.25">
      <c r="A258" s="18" t="s">
        <v>2550</v>
      </c>
      <c r="B258" s="18" t="s">
        <v>1678</v>
      </c>
      <c r="C258" s="18" t="s">
        <v>1677</v>
      </c>
      <c r="D258">
        <v>29818</v>
      </c>
      <c r="E258" s="18" t="s">
        <v>2300</v>
      </c>
      <c r="F258" s="3">
        <v>42121.083333333299</v>
      </c>
      <c r="G258" s="20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18" t="s">
        <v>2551</v>
      </c>
      <c r="B259" s="18" t="s">
        <v>1680</v>
      </c>
      <c r="C259" s="18" t="s">
        <v>1679</v>
      </c>
      <c r="D259">
        <v>29821</v>
      </c>
      <c r="E259" s="18" t="s">
        <v>2300</v>
      </c>
      <c r="F259" s="3">
        <v>42121.083333333299</v>
      </c>
      <c r="G259" s="20">
        <f t="shared" ca="1" si="4"/>
        <v>10</v>
      </c>
      <c r="H259">
        <f>COUNTIF(BRON!A:A,Tabel6[[#This Row],[Personeelsnummer]])</f>
        <v>1</v>
      </c>
    </row>
    <row r="260" spans="1:8" x14ac:dyDescent="0.25">
      <c r="A260" s="18" t="s">
        <v>2552</v>
      </c>
      <c r="B260" s="18" t="s">
        <v>1351</v>
      </c>
      <c r="C260" s="18" t="s">
        <v>1681</v>
      </c>
      <c r="D260">
        <v>30119</v>
      </c>
      <c r="E260" s="18" t="s">
        <v>2300</v>
      </c>
      <c r="F260" s="3">
        <v>42198.083333333299</v>
      </c>
      <c r="G260" s="20">
        <f t="shared" ca="1" si="4"/>
        <v>10</v>
      </c>
      <c r="H260">
        <f>COUNTIF(BRON!A:A,Tabel6[[#This Row],[Personeelsnummer]])</f>
        <v>2</v>
      </c>
    </row>
    <row r="261" spans="1:8" x14ac:dyDescent="0.25">
      <c r="A261" s="18" t="s">
        <v>2553</v>
      </c>
      <c r="B261" s="18" t="s">
        <v>1683</v>
      </c>
      <c r="C261" s="18" t="s">
        <v>1682</v>
      </c>
      <c r="D261">
        <v>30121</v>
      </c>
      <c r="E261" s="18" t="s">
        <v>2297</v>
      </c>
      <c r="F261" s="3">
        <v>42198.083333333299</v>
      </c>
      <c r="G261" s="20">
        <f t="shared" ca="1" si="4"/>
        <v>10</v>
      </c>
      <c r="H261">
        <f>COUNTIF(BRON!A:A,Tabel6[[#This Row],[Personeelsnummer]])</f>
        <v>3</v>
      </c>
    </row>
    <row r="262" spans="1:8" x14ac:dyDescent="0.25">
      <c r="A262" s="18" t="s">
        <v>2554</v>
      </c>
      <c r="B262" s="18" t="s">
        <v>1409</v>
      </c>
      <c r="C262" s="18" t="s">
        <v>1407</v>
      </c>
      <c r="D262">
        <v>30271</v>
      </c>
      <c r="E262" s="18" t="s">
        <v>2277</v>
      </c>
      <c r="F262" s="3">
        <v>42268.083333333299</v>
      </c>
      <c r="G262" s="20">
        <f t="shared" ca="1" si="4"/>
        <v>10</v>
      </c>
      <c r="H262">
        <f>COUNTIF(BRON!A:A,Tabel6[[#This Row],[Personeelsnummer]])</f>
        <v>1</v>
      </c>
    </row>
    <row r="263" spans="1:8" x14ac:dyDescent="0.25">
      <c r="A263" s="18" t="s">
        <v>2555</v>
      </c>
      <c r="B263" s="18" t="s">
        <v>1685</v>
      </c>
      <c r="C263" s="18" t="s">
        <v>1684</v>
      </c>
      <c r="D263">
        <v>30292</v>
      </c>
      <c r="E263" s="18" t="s">
        <v>2300</v>
      </c>
      <c r="F263" s="3">
        <v>42282.083333333299</v>
      </c>
      <c r="G263" s="20">
        <f t="shared" ca="1" si="4"/>
        <v>10</v>
      </c>
      <c r="H263">
        <f>COUNTIF(BRON!A:A,Tabel6[[#This Row],[Personeelsnummer]])</f>
        <v>0</v>
      </c>
    </row>
    <row r="264" spans="1:8" x14ac:dyDescent="0.25">
      <c r="A264" s="18" t="s">
        <v>2556</v>
      </c>
      <c r="B264" s="18" t="s">
        <v>1689</v>
      </c>
      <c r="C264" s="18" t="s">
        <v>1688</v>
      </c>
      <c r="D264">
        <v>30323</v>
      </c>
      <c r="E264" s="18" t="s">
        <v>2261</v>
      </c>
      <c r="F264" s="3">
        <v>42296.083333333299</v>
      </c>
      <c r="G264" s="20">
        <f t="shared" ca="1" si="4"/>
        <v>10</v>
      </c>
      <c r="H264">
        <f>COUNTIF(BRON!A:A,Tabel6[[#This Row],[Personeelsnummer]])</f>
        <v>0</v>
      </c>
    </row>
    <row r="265" spans="1:8" x14ac:dyDescent="0.25">
      <c r="A265" s="18" t="s">
        <v>2557</v>
      </c>
      <c r="B265" s="18" t="s">
        <v>1552</v>
      </c>
      <c r="C265" s="18" t="s">
        <v>1652</v>
      </c>
      <c r="D265">
        <v>30623</v>
      </c>
      <c r="E265" s="18" t="s">
        <v>2265</v>
      </c>
      <c r="F265" s="3">
        <v>42429.041666666701</v>
      </c>
      <c r="G265" s="20">
        <f t="shared" ca="1" si="4"/>
        <v>9</v>
      </c>
      <c r="H265">
        <f>COUNTIF(BRON!A:A,Tabel6[[#This Row],[Personeelsnummer]])</f>
        <v>2</v>
      </c>
    </row>
    <row r="266" spans="1:8" x14ac:dyDescent="0.25">
      <c r="A266" s="18" t="s">
        <v>2558</v>
      </c>
      <c r="B266" s="18" t="s">
        <v>1544</v>
      </c>
      <c r="C266" s="18" t="s">
        <v>1690</v>
      </c>
      <c r="D266">
        <v>30901</v>
      </c>
      <c r="E266" s="18" t="s">
        <v>2277</v>
      </c>
      <c r="F266" s="3">
        <v>42534.083333333299</v>
      </c>
      <c r="G266" s="20">
        <f t="shared" ca="1" si="4"/>
        <v>9</v>
      </c>
      <c r="H266">
        <f>COUNTIF(BRON!A:A,Tabel6[[#This Row],[Personeelsnummer]])</f>
        <v>2</v>
      </c>
    </row>
    <row r="267" spans="1:8" x14ac:dyDescent="0.25">
      <c r="A267" s="18" t="s">
        <v>2559</v>
      </c>
      <c r="B267" s="18" t="s">
        <v>1692</v>
      </c>
      <c r="C267" s="18" t="s">
        <v>1691</v>
      </c>
      <c r="D267">
        <v>30967</v>
      </c>
      <c r="E267" s="18" t="s">
        <v>2300</v>
      </c>
      <c r="F267" s="3">
        <v>42548.083333333299</v>
      </c>
      <c r="G267" s="20">
        <f t="shared" ca="1" si="4"/>
        <v>9</v>
      </c>
      <c r="H267">
        <f>COUNTIF(BRON!A:A,Tabel6[[#This Row],[Personeelsnummer]])</f>
        <v>3</v>
      </c>
    </row>
    <row r="268" spans="1:8" x14ac:dyDescent="0.25">
      <c r="A268" s="18" t="s">
        <v>2560</v>
      </c>
      <c r="B268" s="18" t="s">
        <v>2561</v>
      </c>
      <c r="C268" s="18" t="s">
        <v>2562</v>
      </c>
      <c r="D268">
        <v>30988</v>
      </c>
      <c r="E268" s="18" t="s">
        <v>2376</v>
      </c>
      <c r="F268" s="3">
        <v>42553.083333333299</v>
      </c>
      <c r="G268" s="20">
        <f t="shared" ca="1" si="4"/>
        <v>9</v>
      </c>
      <c r="H268">
        <f>COUNTIF(BRON!A:A,Tabel6[[#This Row],[Personeelsnummer]])</f>
        <v>0</v>
      </c>
    </row>
    <row r="269" spans="1:8" x14ac:dyDescent="0.25">
      <c r="A269" s="18" t="s">
        <v>2563</v>
      </c>
      <c r="B269" s="18" t="s">
        <v>1694</v>
      </c>
      <c r="C269" s="18" t="s">
        <v>1693</v>
      </c>
      <c r="D269">
        <v>30999</v>
      </c>
      <c r="E269" s="18" t="s">
        <v>2270</v>
      </c>
      <c r="F269" s="3">
        <v>42562.083333333299</v>
      </c>
      <c r="G269" s="20">
        <f t="shared" ca="1" si="4"/>
        <v>9</v>
      </c>
      <c r="H269">
        <f>COUNTIF(BRON!A:A,Tabel6[[#This Row],[Personeelsnummer]])</f>
        <v>0</v>
      </c>
    </row>
    <row r="270" spans="1:8" x14ac:dyDescent="0.25">
      <c r="A270" s="18" t="s">
        <v>2564</v>
      </c>
      <c r="B270" s="18" t="s">
        <v>1696</v>
      </c>
      <c r="C270" s="18" t="s">
        <v>1695</v>
      </c>
      <c r="D270">
        <v>31092</v>
      </c>
      <c r="E270" s="18" t="s">
        <v>2263</v>
      </c>
      <c r="F270" s="3">
        <v>42604.083333333299</v>
      </c>
      <c r="G270" s="20">
        <f t="shared" ca="1" si="4"/>
        <v>9</v>
      </c>
      <c r="H270">
        <f>COUNTIF(BRON!A:A,Tabel6[[#This Row],[Personeelsnummer]])</f>
        <v>2</v>
      </c>
    </row>
    <row r="271" spans="1:8" x14ac:dyDescent="0.25">
      <c r="A271" s="18" t="s">
        <v>2565</v>
      </c>
      <c r="B271" s="18" t="s">
        <v>1698</v>
      </c>
      <c r="C271" s="18" t="s">
        <v>1697</v>
      </c>
      <c r="D271">
        <v>31111</v>
      </c>
      <c r="E271" s="18" t="s">
        <v>2270</v>
      </c>
      <c r="F271" s="3">
        <v>42604.083333333299</v>
      </c>
      <c r="G271" s="20">
        <f t="shared" ca="1" si="4"/>
        <v>9</v>
      </c>
      <c r="H271">
        <f>COUNTIF(BRON!A:A,Tabel6[[#This Row],[Personeelsnummer]])</f>
        <v>2</v>
      </c>
    </row>
    <row r="272" spans="1:8" x14ac:dyDescent="0.25">
      <c r="A272" s="18" t="s">
        <v>2566</v>
      </c>
      <c r="B272" s="18" t="s">
        <v>1700</v>
      </c>
      <c r="C272" s="18" t="s">
        <v>1699</v>
      </c>
      <c r="D272">
        <v>31118</v>
      </c>
      <c r="E272" s="18" t="s">
        <v>2277</v>
      </c>
      <c r="F272" s="3">
        <v>42618.083333333299</v>
      </c>
      <c r="G272" s="20">
        <f t="shared" ca="1" si="4"/>
        <v>9</v>
      </c>
      <c r="H272">
        <f>COUNTIF(BRON!A:A,Tabel6[[#This Row],[Personeelsnummer]])</f>
        <v>2</v>
      </c>
    </row>
    <row r="273" spans="1:8" x14ac:dyDescent="0.25">
      <c r="A273" s="18" t="s">
        <v>2567</v>
      </c>
      <c r="B273" s="18" t="s">
        <v>1702</v>
      </c>
      <c r="C273" s="18" t="s">
        <v>1701</v>
      </c>
      <c r="D273">
        <v>31150</v>
      </c>
      <c r="E273" s="18" t="s">
        <v>2265</v>
      </c>
      <c r="F273" s="3">
        <v>42643.083333333299</v>
      </c>
      <c r="G273" s="20">
        <f t="shared" ca="1" si="4"/>
        <v>9</v>
      </c>
      <c r="H273">
        <f>COUNTIF(BRON!A:A,Tabel6[[#This Row],[Personeelsnummer]])</f>
        <v>1</v>
      </c>
    </row>
    <row r="274" spans="1:8" x14ac:dyDescent="0.25">
      <c r="A274" s="18" t="s">
        <v>2568</v>
      </c>
      <c r="B274" s="18" t="s">
        <v>1704</v>
      </c>
      <c r="C274" s="18" t="s">
        <v>1703</v>
      </c>
      <c r="D274">
        <v>31165</v>
      </c>
      <c r="E274" s="18" t="s">
        <v>2263</v>
      </c>
      <c r="F274" s="3">
        <v>42646.083333333299</v>
      </c>
      <c r="G274" s="20">
        <f t="shared" ca="1" si="4"/>
        <v>9</v>
      </c>
      <c r="H274">
        <f>COUNTIF(BRON!A:A,Tabel6[[#This Row],[Personeelsnummer]])</f>
        <v>2</v>
      </c>
    </row>
    <row r="275" spans="1:8" x14ac:dyDescent="0.25">
      <c r="A275" s="18" t="s">
        <v>2569</v>
      </c>
      <c r="B275" s="18" t="s">
        <v>1706</v>
      </c>
      <c r="C275" s="18" t="s">
        <v>1705</v>
      </c>
      <c r="D275">
        <v>31231</v>
      </c>
      <c r="E275" s="18" t="s">
        <v>2270</v>
      </c>
      <c r="F275" s="3">
        <v>42674.041666666701</v>
      </c>
      <c r="G275" s="20">
        <f t="shared" ca="1" si="4"/>
        <v>9</v>
      </c>
      <c r="H275">
        <f>COUNTIF(BRON!A:A,Tabel6[[#This Row],[Personeelsnummer]])</f>
        <v>3</v>
      </c>
    </row>
    <row r="276" spans="1:8" x14ac:dyDescent="0.25">
      <c r="A276" s="18" t="s">
        <v>2570</v>
      </c>
      <c r="B276" s="18" t="s">
        <v>1692</v>
      </c>
      <c r="C276" s="18" t="s">
        <v>1582</v>
      </c>
      <c r="D276">
        <v>31360</v>
      </c>
      <c r="E276" s="18" t="s">
        <v>2300</v>
      </c>
      <c r="F276" s="3">
        <v>42744.041666666701</v>
      </c>
      <c r="G276" s="20">
        <f t="shared" ca="1" si="4"/>
        <v>9</v>
      </c>
      <c r="H276">
        <f>COUNTIF(BRON!A:A,Tabel6[[#This Row],[Personeelsnummer]])</f>
        <v>3</v>
      </c>
    </row>
    <row r="277" spans="1:8" x14ac:dyDescent="0.25">
      <c r="A277" s="18" t="s">
        <v>2571</v>
      </c>
      <c r="B277" s="18" t="s">
        <v>1347</v>
      </c>
      <c r="C277" s="18" t="s">
        <v>1707</v>
      </c>
      <c r="D277">
        <v>31361</v>
      </c>
      <c r="E277" s="18" t="s">
        <v>2270</v>
      </c>
      <c r="F277" s="3">
        <v>42751.041666666701</v>
      </c>
      <c r="G277" s="20">
        <f t="shared" ca="1" si="4"/>
        <v>9</v>
      </c>
      <c r="H277">
        <f>COUNTIF(BRON!A:A,Tabel6[[#This Row],[Personeelsnummer]])</f>
        <v>0</v>
      </c>
    </row>
    <row r="278" spans="1:8" x14ac:dyDescent="0.25">
      <c r="A278" s="18" t="s">
        <v>2572</v>
      </c>
      <c r="B278" s="18" t="s">
        <v>1709</v>
      </c>
      <c r="C278" s="18" t="s">
        <v>1708</v>
      </c>
      <c r="D278">
        <v>31404</v>
      </c>
      <c r="E278" s="18" t="s">
        <v>2300</v>
      </c>
      <c r="F278" s="3">
        <v>42758.041666666701</v>
      </c>
      <c r="G278" s="20">
        <f t="shared" ca="1" si="4"/>
        <v>8</v>
      </c>
      <c r="H278">
        <f>COUNTIF(BRON!A:A,Tabel6[[#This Row],[Personeelsnummer]])</f>
        <v>1</v>
      </c>
    </row>
    <row r="279" spans="1:8" x14ac:dyDescent="0.25">
      <c r="A279" s="18" t="s">
        <v>2573</v>
      </c>
      <c r="B279" s="18" t="s">
        <v>1711</v>
      </c>
      <c r="C279" s="18" t="s">
        <v>1710</v>
      </c>
      <c r="D279">
        <v>31550</v>
      </c>
      <c r="E279" s="18" t="s">
        <v>2300</v>
      </c>
      <c r="F279" s="3">
        <v>42828.083333333299</v>
      </c>
      <c r="G279" s="20">
        <f t="shared" ca="1" si="4"/>
        <v>8</v>
      </c>
      <c r="H279">
        <f>COUNTIF(BRON!A:A,Tabel6[[#This Row],[Personeelsnummer]])</f>
        <v>1</v>
      </c>
    </row>
    <row r="280" spans="1:8" x14ac:dyDescent="0.25">
      <c r="A280" s="18" t="s">
        <v>2574</v>
      </c>
      <c r="B280" s="18" t="s">
        <v>1351</v>
      </c>
      <c r="C280" s="18" t="s">
        <v>1712</v>
      </c>
      <c r="D280">
        <v>31600</v>
      </c>
      <c r="E280" s="18" t="s">
        <v>2277</v>
      </c>
      <c r="F280" s="3">
        <v>42843.083333333299</v>
      </c>
      <c r="G280" s="20">
        <f t="shared" ca="1" si="4"/>
        <v>8</v>
      </c>
      <c r="H280">
        <f>COUNTIF(BRON!A:A,Tabel6[[#This Row],[Personeelsnummer]])</f>
        <v>2</v>
      </c>
    </row>
    <row r="281" spans="1:8" x14ac:dyDescent="0.25">
      <c r="A281" s="18" t="s">
        <v>2575</v>
      </c>
      <c r="B281" s="18" t="s">
        <v>1713</v>
      </c>
      <c r="C281" s="18" t="s">
        <v>1585</v>
      </c>
      <c r="D281">
        <v>31601</v>
      </c>
      <c r="E281" s="18" t="s">
        <v>2300</v>
      </c>
      <c r="F281" s="3">
        <v>42843.083333333299</v>
      </c>
      <c r="G281" s="20">
        <f t="shared" ca="1" si="4"/>
        <v>8</v>
      </c>
      <c r="H281">
        <f>COUNTIF(BRON!A:A,Tabel6[[#This Row],[Personeelsnummer]])</f>
        <v>0</v>
      </c>
    </row>
    <row r="282" spans="1:8" x14ac:dyDescent="0.25">
      <c r="A282" s="18" t="s">
        <v>2576</v>
      </c>
      <c r="B282" s="18" t="s">
        <v>1715</v>
      </c>
      <c r="C282" s="18" t="s">
        <v>1714</v>
      </c>
      <c r="D282">
        <v>31634</v>
      </c>
      <c r="E282" s="18" t="s">
        <v>2270</v>
      </c>
      <c r="F282" s="3">
        <v>42863.083333333299</v>
      </c>
      <c r="G282" s="20">
        <f t="shared" ca="1" si="4"/>
        <v>8</v>
      </c>
      <c r="H282">
        <f>COUNTIF(BRON!A:A,Tabel6[[#This Row],[Personeelsnummer]])</f>
        <v>1</v>
      </c>
    </row>
    <row r="283" spans="1:8" x14ac:dyDescent="0.25">
      <c r="A283" s="18" t="s">
        <v>2577</v>
      </c>
      <c r="B283" s="18" t="s">
        <v>1717</v>
      </c>
      <c r="C283" s="18" t="s">
        <v>1716</v>
      </c>
      <c r="D283">
        <v>31635</v>
      </c>
      <c r="E283" s="18" t="s">
        <v>2270</v>
      </c>
      <c r="F283" s="3">
        <v>42863.083333333299</v>
      </c>
      <c r="G283" s="20">
        <f t="shared" ca="1" si="4"/>
        <v>8</v>
      </c>
      <c r="H283">
        <f>COUNTIF(BRON!A:A,Tabel6[[#This Row],[Personeelsnummer]])</f>
        <v>2</v>
      </c>
    </row>
    <row r="284" spans="1:8" x14ac:dyDescent="0.25">
      <c r="A284" s="18" t="s">
        <v>2578</v>
      </c>
      <c r="B284" s="18" t="s">
        <v>1355</v>
      </c>
      <c r="C284" s="18" t="s">
        <v>1718</v>
      </c>
      <c r="D284">
        <v>31659</v>
      </c>
      <c r="E284" s="18" t="s">
        <v>2261</v>
      </c>
      <c r="F284" s="3">
        <v>42877.083333333299</v>
      </c>
      <c r="G284" s="20">
        <f t="shared" ca="1" si="4"/>
        <v>8</v>
      </c>
      <c r="H284">
        <f>COUNTIF(BRON!A:A,Tabel6[[#This Row],[Personeelsnummer]])</f>
        <v>0</v>
      </c>
    </row>
    <row r="285" spans="1:8" x14ac:dyDescent="0.25">
      <c r="A285" s="18" t="s">
        <v>2579</v>
      </c>
      <c r="B285" s="18" t="s">
        <v>1720</v>
      </c>
      <c r="C285" s="18" t="s">
        <v>1719</v>
      </c>
      <c r="D285">
        <v>31668</v>
      </c>
      <c r="E285" s="18" t="s">
        <v>2300</v>
      </c>
      <c r="F285" s="3">
        <v>42877.083333333299</v>
      </c>
      <c r="G285" s="20">
        <f t="shared" ca="1" si="4"/>
        <v>8</v>
      </c>
      <c r="H285">
        <f>COUNTIF(BRON!A:A,Tabel6[[#This Row],[Personeelsnummer]])</f>
        <v>5</v>
      </c>
    </row>
    <row r="286" spans="1:8" x14ac:dyDescent="0.25">
      <c r="A286" s="18" t="s">
        <v>2580</v>
      </c>
      <c r="B286" s="18" t="s">
        <v>1722</v>
      </c>
      <c r="C286" s="18" t="s">
        <v>1721</v>
      </c>
      <c r="D286">
        <v>31689</v>
      </c>
      <c r="E286" s="18" t="s">
        <v>2286</v>
      </c>
      <c r="F286" s="3">
        <v>42892.083333333299</v>
      </c>
      <c r="G286" s="20">
        <f t="shared" ca="1" si="4"/>
        <v>8</v>
      </c>
      <c r="H286">
        <f>COUNTIF(BRON!A:A,Tabel6[[#This Row],[Personeelsnummer]])</f>
        <v>1</v>
      </c>
    </row>
    <row r="287" spans="1:8" x14ac:dyDescent="0.25">
      <c r="A287" s="18" t="s">
        <v>2581</v>
      </c>
      <c r="B287" s="18" t="s">
        <v>1724</v>
      </c>
      <c r="C287" s="18" t="s">
        <v>1723</v>
      </c>
      <c r="D287">
        <v>31731</v>
      </c>
      <c r="E287" s="18" t="s">
        <v>2270</v>
      </c>
      <c r="F287" s="3">
        <v>42919.083333333299</v>
      </c>
      <c r="G287" s="20">
        <f t="shared" ca="1" si="4"/>
        <v>8</v>
      </c>
      <c r="H287">
        <f>COUNTIF(BRON!A:A,Tabel6[[#This Row],[Personeelsnummer]])</f>
        <v>4</v>
      </c>
    </row>
    <row r="288" spans="1:8" x14ac:dyDescent="0.25">
      <c r="A288" s="18" t="s">
        <v>2582</v>
      </c>
      <c r="B288" s="18" t="s">
        <v>1726</v>
      </c>
      <c r="C288" s="18" t="s">
        <v>1725</v>
      </c>
      <c r="D288">
        <v>31733</v>
      </c>
      <c r="E288" s="18" t="s">
        <v>2300</v>
      </c>
      <c r="F288" s="3">
        <v>42919.083333333299</v>
      </c>
      <c r="G288" s="20">
        <f t="shared" ca="1" si="4"/>
        <v>8</v>
      </c>
      <c r="H288">
        <f>COUNTIF(BRON!A:A,Tabel6[[#This Row],[Personeelsnummer]])</f>
        <v>2</v>
      </c>
    </row>
    <row r="289" spans="1:8" x14ac:dyDescent="0.25">
      <c r="A289" s="18" t="s">
        <v>2583</v>
      </c>
      <c r="B289" s="18" t="s">
        <v>1365</v>
      </c>
      <c r="C289" s="18" t="s">
        <v>1727</v>
      </c>
      <c r="D289">
        <v>31776</v>
      </c>
      <c r="E289" s="18" t="s">
        <v>2300</v>
      </c>
      <c r="F289" s="3">
        <v>42933.083333333299</v>
      </c>
      <c r="G289" s="20">
        <f t="shared" ca="1" si="4"/>
        <v>8</v>
      </c>
      <c r="H289">
        <f>COUNTIF(BRON!A:A,Tabel6[[#This Row],[Personeelsnummer]])</f>
        <v>1</v>
      </c>
    </row>
    <row r="290" spans="1:8" x14ac:dyDescent="0.25">
      <c r="A290" s="18" t="s">
        <v>2584</v>
      </c>
      <c r="B290" s="18" t="s">
        <v>1731</v>
      </c>
      <c r="C290" s="18" t="s">
        <v>1730</v>
      </c>
      <c r="D290">
        <v>32002</v>
      </c>
      <c r="E290" s="18" t="s">
        <v>2286</v>
      </c>
      <c r="F290" s="3">
        <v>42989.083333333299</v>
      </c>
      <c r="G290" s="20">
        <f t="shared" ca="1" si="4"/>
        <v>8</v>
      </c>
      <c r="H290">
        <f>COUNTIF(BRON!A:A,Tabel6[[#This Row],[Personeelsnummer]])</f>
        <v>2</v>
      </c>
    </row>
    <row r="291" spans="1:8" x14ac:dyDescent="0.25">
      <c r="A291" s="18" t="s">
        <v>2585</v>
      </c>
      <c r="B291" s="18" t="s">
        <v>1733</v>
      </c>
      <c r="C291" s="18" t="s">
        <v>1732</v>
      </c>
      <c r="D291">
        <v>32091</v>
      </c>
      <c r="E291" s="18" t="s">
        <v>2265</v>
      </c>
      <c r="F291" s="3">
        <v>43003.083333333299</v>
      </c>
      <c r="G291" s="20">
        <f t="shared" ca="1" si="4"/>
        <v>8</v>
      </c>
      <c r="H291">
        <f>COUNTIF(BRON!A:A,Tabel6[[#This Row],[Personeelsnummer]])</f>
        <v>1</v>
      </c>
    </row>
    <row r="292" spans="1:8" x14ac:dyDescent="0.25">
      <c r="A292" s="18" t="s">
        <v>2586</v>
      </c>
      <c r="B292" s="18" t="s">
        <v>1735</v>
      </c>
      <c r="C292" s="18" t="s">
        <v>1734</v>
      </c>
      <c r="D292">
        <v>32092</v>
      </c>
      <c r="E292" s="18" t="s">
        <v>2261</v>
      </c>
      <c r="F292" s="3">
        <v>43003.083333333299</v>
      </c>
      <c r="G292" s="20">
        <f t="shared" ca="1" si="4"/>
        <v>8</v>
      </c>
      <c r="H292">
        <f>COUNTIF(BRON!A:A,Tabel6[[#This Row],[Personeelsnummer]])</f>
        <v>0</v>
      </c>
    </row>
    <row r="293" spans="1:8" x14ac:dyDescent="0.25">
      <c r="A293" s="18" t="s">
        <v>2587</v>
      </c>
      <c r="B293" s="18" t="s">
        <v>1736</v>
      </c>
      <c r="C293" s="18" t="s">
        <v>1483</v>
      </c>
      <c r="D293">
        <v>32168</v>
      </c>
      <c r="E293" s="18" t="s">
        <v>2265</v>
      </c>
      <c r="F293" s="3">
        <v>43045.041666666701</v>
      </c>
      <c r="G293" s="20">
        <f t="shared" ca="1" si="4"/>
        <v>8</v>
      </c>
      <c r="H293">
        <f>COUNTIF(BRON!A:A,Tabel6[[#This Row],[Personeelsnummer]])</f>
        <v>1</v>
      </c>
    </row>
    <row r="294" spans="1:8" x14ac:dyDescent="0.25">
      <c r="A294" s="18" t="s">
        <v>2588</v>
      </c>
      <c r="B294" s="18" t="s">
        <v>1738</v>
      </c>
      <c r="C294" s="18" t="s">
        <v>1737</v>
      </c>
      <c r="D294">
        <v>32169</v>
      </c>
      <c r="E294" s="18" t="s">
        <v>2286</v>
      </c>
      <c r="F294" s="3">
        <v>43031.083333333299</v>
      </c>
      <c r="G294" s="20">
        <f t="shared" ca="1" si="4"/>
        <v>8</v>
      </c>
      <c r="H294">
        <f>COUNTIF(BRON!A:A,Tabel6[[#This Row],[Personeelsnummer]])</f>
        <v>0</v>
      </c>
    </row>
    <row r="295" spans="1:8" x14ac:dyDescent="0.25">
      <c r="A295" s="18" t="s">
        <v>2589</v>
      </c>
      <c r="B295" s="18" t="s">
        <v>1740</v>
      </c>
      <c r="C295" s="18" t="s">
        <v>1739</v>
      </c>
      <c r="D295">
        <v>32245</v>
      </c>
      <c r="E295" s="18" t="s">
        <v>2270</v>
      </c>
      <c r="F295" s="3">
        <v>43073.041666666701</v>
      </c>
      <c r="G295" s="20">
        <f t="shared" ca="1" si="4"/>
        <v>8</v>
      </c>
      <c r="H295">
        <f>COUNTIF(BRON!A:A,Tabel6[[#This Row],[Personeelsnummer]])</f>
        <v>2</v>
      </c>
    </row>
    <row r="296" spans="1:8" x14ac:dyDescent="0.25">
      <c r="A296" s="18" t="s">
        <v>2590</v>
      </c>
      <c r="B296" s="18" t="s">
        <v>1404</v>
      </c>
      <c r="C296" s="18" t="s">
        <v>1741</v>
      </c>
      <c r="D296">
        <v>32369</v>
      </c>
      <c r="E296" s="18" t="s">
        <v>2270</v>
      </c>
      <c r="F296" s="3">
        <v>43108.041666666701</v>
      </c>
      <c r="G296" s="20">
        <f t="shared" ca="1" si="4"/>
        <v>8</v>
      </c>
      <c r="H296">
        <f>COUNTIF(BRON!A:A,Tabel6[[#This Row],[Personeelsnummer]])</f>
        <v>1</v>
      </c>
    </row>
    <row r="297" spans="1:8" x14ac:dyDescent="0.25">
      <c r="A297" s="18" t="s">
        <v>2591</v>
      </c>
      <c r="B297" s="18" t="s">
        <v>1743</v>
      </c>
      <c r="C297" s="18" t="s">
        <v>1742</v>
      </c>
      <c r="D297">
        <v>32387</v>
      </c>
      <c r="E297" s="18" t="s">
        <v>2286</v>
      </c>
      <c r="F297" s="3">
        <v>43108.041666666701</v>
      </c>
      <c r="G297" s="20">
        <f t="shared" ca="1" si="4"/>
        <v>8</v>
      </c>
      <c r="H297">
        <f>COUNTIF(BRON!A:A,Tabel6[[#This Row],[Personeelsnummer]])</f>
        <v>4</v>
      </c>
    </row>
    <row r="298" spans="1:8" x14ac:dyDescent="0.25">
      <c r="A298" s="18" t="s">
        <v>2592</v>
      </c>
      <c r="B298" s="18" t="s">
        <v>1745</v>
      </c>
      <c r="C298" s="18" t="s">
        <v>1744</v>
      </c>
      <c r="D298">
        <v>32458</v>
      </c>
      <c r="E298" s="18" t="s">
        <v>2277</v>
      </c>
      <c r="F298" s="3">
        <v>43150.041666666701</v>
      </c>
      <c r="G298" s="20">
        <f t="shared" ca="1" si="4"/>
        <v>7</v>
      </c>
      <c r="H298">
        <f>COUNTIF(BRON!A:A,Tabel6[[#This Row],[Personeelsnummer]])</f>
        <v>0</v>
      </c>
    </row>
    <row r="299" spans="1:8" x14ac:dyDescent="0.25">
      <c r="A299" s="18" t="s">
        <v>2593</v>
      </c>
      <c r="B299" s="18" t="s">
        <v>1747</v>
      </c>
      <c r="C299" s="18" t="s">
        <v>1746</v>
      </c>
      <c r="D299">
        <v>32528</v>
      </c>
      <c r="E299" s="18" t="s">
        <v>2286</v>
      </c>
      <c r="F299" s="3">
        <v>43164.041666666701</v>
      </c>
      <c r="G299" s="20">
        <f t="shared" ca="1" si="4"/>
        <v>7</v>
      </c>
      <c r="H299">
        <f>COUNTIF(BRON!A:A,Tabel6[[#This Row],[Personeelsnummer]])</f>
        <v>2</v>
      </c>
    </row>
    <row r="300" spans="1:8" x14ac:dyDescent="0.25">
      <c r="A300" s="18" t="s">
        <v>2594</v>
      </c>
      <c r="B300" s="18" t="s">
        <v>1749</v>
      </c>
      <c r="C300" s="18" t="s">
        <v>1748</v>
      </c>
      <c r="D300">
        <v>32542</v>
      </c>
      <c r="E300" s="18" t="s">
        <v>2300</v>
      </c>
      <c r="F300" s="3">
        <v>43150.041666666701</v>
      </c>
      <c r="G300" s="20">
        <f t="shared" ca="1" si="4"/>
        <v>7</v>
      </c>
      <c r="H300">
        <f>COUNTIF(BRON!A:A,Tabel6[[#This Row],[Personeelsnummer]])</f>
        <v>2</v>
      </c>
    </row>
    <row r="301" spans="1:8" x14ac:dyDescent="0.25">
      <c r="A301" s="18" t="s">
        <v>2595</v>
      </c>
      <c r="B301" s="18" t="s">
        <v>1750</v>
      </c>
      <c r="C301" s="18" t="s">
        <v>1669</v>
      </c>
      <c r="D301">
        <v>32611</v>
      </c>
      <c r="E301" s="18" t="s">
        <v>2265</v>
      </c>
      <c r="F301" s="3">
        <v>43178.041666666701</v>
      </c>
      <c r="G301" s="20">
        <f t="shared" ca="1" si="4"/>
        <v>7</v>
      </c>
      <c r="H301">
        <f>COUNTIF(BRON!A:A,Tabel6[[#This Row],[Personeelsnummer]])</f>
        <v>3</v>
      </c>
    </row>
    <row r="302" spans="1:8" x14ac:dyDescent="0.25">
      <c r="A302" s="18" t="s">
        <v>2596</v>
      </c>
      <c r="B302" s="18" t="s">
        <v>1752</v>
      </c>
      <c r="C302" s="18" t="s">
        <v>1751</v>
      </c>
      <c r="D302">
        <v>32620</v>
      </c>
      <c r="E302" s="18" t="s">
        <v>2270</v>
      </c>
      <c r="F302" s="3">
        <v>43193.083333333299</v>
      </c>
      <c r="G302" s="20">
        <f t="shared" ca="1" si="4"/>
        <v>7</v>
      </c>
      <c r="H302">
        <f>COUNTIF(BRON!A:A,Tabel6[[#This Row],[Personeelsnummer]])</f>
        <v>3</v>
      </c>
    </row>
    <row r="303" spans="1:8" x14ac:dyDescent="0.25">
      <c r="A303" s="18" t="s">
        <v>2597</v>
      </c>
      <c r="B303" s="18" t="s">
        <v>1754</v>
      </c>
      <c r="C303" s="18" t="s">
        <v>1753</v>
      </c>
      <c r="D303">
        <v>32951</v>
      </c>
      <c r="E303" s="18" t="s">
        <v>2263</v>
      </c>
      <c r="F303" s="3">
        <v>43304.083333333299</v>
      </c>
      <c r="G303" s="20">
        <f t="shared" ca="1" si="4"/>
        <v>7</v>
      </c>
      <c r="H303">
        <f>COUNTIF(BRON!A:A,Tabel6[[#This Row],[Personeelsnummer]])</f>
        <v>6</v>
      </c>
    </row>
    <row r="304" spans="1:8" x14ac:dyDescent="0.25">
      <c r="A304" s="18" t="s">
        <v>2598</v>
      </c>
      <c r="B304" s="18" t="s">
        <v>1385</v>
      </c>
      <c r="C304" s="18" t="s">
        <v>1755</v>
      </c>
      <c r="D304">
        <v>33049</v>
      </c>
      <c r="E304" s="18" t="s">
        <v>2265</v>
      </c>
      <c r="F304" s="3">
        <v>43318.083333333299</v>
      </c>
      <c r="G304" s="20">
        <f t="shared" ca="1" si="4"/>
        <v>7</v>
      </c>
      <c r="H304">
        <f>COUNTIF(BRON!A:A,Tabel6[[#This Row],[Personeelsnummer]])</f>
        <v>1</v>
      </c>
    </row>
    <row r="305" spans="1:8" x14ac:dyDescent="0.25">
      <c r="A305" s="18" t="s">
        <v>2599</v>
      </c>
      <c r="B305" s="18" t="s">
        <v>1414</v>
      </c>
      <c r="C305" s="18" t="s">
        <v>1758</v>
      </c>
      <c r="D305">
        <v>33400</v>
      </c>
      <c r="E305" s="18" t="s">
        <v>2297</v>
      </c>
      <c r="F305" s="3">
        <v>43444.041666666701</v>
      </c>
      <c r="G305" s="20">
        <f t="shared" ca="1" si="4"/>
        <v>7</v>
      </c>
      <c r="H305">
        <f>COUNTIF(BRON!A:A,Tabel6[[#This Row],[Personeelsnummer]])</f>
        <v>3</v>
      </c>
    </row>
    <row r="306" spans="1:8" x14ac:dyDescent="0.25">
      <c r="A306" s="18" t="s">
        <v>2600</v>
      </c>
      <c r="B306" s="18" t="s">
        <v>1370</v>
      </c>
      <c r="C306" s="18" t="s">
        <v>1759</v>
      </c>
      <c r="D306">
        <v>33450</v>
      </c>
      <c r="E306" s="18" t="s">
        <v>2265</v>
      </c>
      <c r="F306" s="3">
        <v>43472.041666666701</v>
      </c>
      <c r="G306" s="20">
        <f t="shared" ca="1" si="4"/>
        <v>7</v>
      </c>
      <c r="H306">
        <f>COUNTIF(BRON!A:A,Tabel6[[#This Row],[Personeelsnummer]])</f>
        <v>2</v>
      </c>
    </row>
    <row r="307" spans="1:8" x14ac:dyDescent="0.25">
      <c r="A307" s="18" t="s">
        <v>2601</v>
      </c>
      <c r="B307" s="18" t="s">
        <v>1761</v>
      </c>
      <c r="C307" s="18" t="s">
        <v>1760</v>
      </c>
      <c r="D307">
        <v>33488</v>
      </c>
      <c r="E307" s="18" t="s">
        <v>2270</v>
      </c>
      <c r="F307" s="3">
        <v>43486.041666666701</v>
      </c>
      <c r="G307" s="20">
        <f t="shared" ca="1" si="4"/>
        <v>6</v>
      </c>
      <c r="H307">
        <f>COUNTIF(BRON!A:A,Tabel6[[#This Row],[Personeelsnummer]])</f>
        <v>2</v>
      </c>
    </row>
    <row r="308" spans="1:8" x14ac:dyDescent="0.25">
      <c r="A308" s="18" t="s">
        <v>2602</v>
      </c>
      <c r="B308" s="18" t="s">
        <v>1764</v>
      </c>
      <c r="C308" s="18" t="s">
        <v>1763</v>
      </c>
      <c r="D308">
        <v>33600</v>
      </c>
      <c r="E308" s="18" t="s">
        <v>2265</v>
      </c>
      <c r="F308" s="3">
        <v>43514.041666666701</v>
      </c>
      <c r="G308" s="20">
        <f t="shared" ca="1" si="4"/>
        <v>6</v>
      </c>
      <c r="H308">
        <f>COUNTIF(BRON!A:A,Tabel6[[#This Row],[Personeelsnummer]])</f>
        <v>0</v>
      </c>
    </row>
    <row r="309" spans="1:8" x14ac:dyDescent="0.25">
      <c r="A309" s="18" t="s">
        <v>2603</v>
      </c>
      <c r="B309" s="18" t="s">
        <v>1766</v>
      </c>
      <c r="C309" s="18" t="s">
        <v>1765</v>
      </c>
      <c r="D309">
        <v>33639</v>
      </c>
      <c r="E309" s="18" t="s">
        <v>2263</v>
      </c>
      <c r="F309" s="3">
        <v>43528.041666666701</v>
      </c>
      <c r="G309" s="20">
        <f t="shared" ca="1" si="4"/>
        <v>6</v>
      </c>
      <c r="H309">
        <f>COUNTIF(BRON!A:A,Tabel6[[#This Row],[Personeelsnummer]])</f>
        <v>0</v>
      </c>
    </row>
    <row r="310" spans="1:8" x14ac:dyDescent="0.25">
      <c r="A310" s="18" t="s">
        <v>2604</v>
      </c>
      <c r="B310" s="18" t="s">
        <v>1404</v>
      </c>
      <c r="C310" s="18" t="s">
        <v>1767</v>
      </c>
      <c r="D310">
        <v>33640</v>
      </c>
      <c r="E310" s="18" t="s">
        <v>2286</v>
      </c>
      <c r="F310" s="3">
        <v>43528.041666666701</v>
      </c>
      <c r="G310" s="20">
        <f t="shared" ca="1" si="4"/>
        <v>6</v>
      </c>
      <c r="H310">
        <f>COUNTIF(BRON!A:A,Tabel6[[#This Row],[Personeelsnummer]])</f>
        <v>1</v>
      </c>
    </row>
    <row r="311" spans="1:8" x14ac:dyDescent="0.25">
      <c r="A311" s="18" t="s">
        <v>2605</v>
      </c>
      <c r="B311" s="18" t="s">
        <v>1505</v>
      </c>
      <c r="C311" s="18" t="s">
        <v>1768</v>
      </c>
      <c r="D311">
        <v>33698</v>
      </c>
      <c r="E311" s="18" t="s">
        <v>2286</v>
      </c>
      <c r="F311" s="3">
        <v>43542.041666666701</v>
      </c>
      <c r="G311" s="20">
        <f t="shared" ca="1" si="4"/>
        <v>6</v>
      </c>
      <c r="H311">
        <f>COUNTIF(BRON!A:A,Tabel6[[#This Row],[Personeelsnummer]])</f>
        <v>0</v>
      </c>
    </row>
    <row r="312" spans="1:8" x14ac:dyDescent="0.25">
      <c r="A312" s="18" t="s">
        <v>2606</v>
      </c>
      <c r="B312" s="18" t="s">
        <v>1770</v>
      </c>
      <c r="C312" s="18" t="s">
        <v>1769</v>
      </c>
      <c r="D312">
        <v>33757</v>
      </c>
      <c r="E312" s="18" t="s">
        <v>2286</v>
      </c>
      <c r="F312" s="3">
        <v>43556.083333333299</v>
      </c>
      <c r="G312" s="20">
        <f t="shared" ca="1" si="4"/>
        <v>6</v>
      </c>
      <c r="H312">
        <f>COUNTIF(BRON!A:A,Tabel6[[#This Row],[Personeelsnummer]])</f>
        <v>0</v>
      </c>
    </row>
    <row r="313" spans="1:8" x14ac:dyDescent="0.25">
      <c r="A313" s="18" t="s">
        <v>2607</v>
      </c>
      <c r="B313" s="18" t="s">
        <v>1772</v>
      </c>
      <c r="C313" s="18" t="s">
        <v>1771</v>
      </c>
      <c r="D313">
        <v>33982</v>
      </c>
      <c r="E313" s="18" t="s">
        <v>2277</v>
      </c>
      <c r="F313" s="3">
        <v>43605.083333333299</v>
      </c>
      <c r="G313" s="20">
        <f t="shared" ca="1" si="4"/>
        <v>6</v>
      </c>
      <c r="H313">
        <f>COUNTIF(BRON!A:A,Tabel6[[#This Row],[Personeelsnummer]])</f>
        <v>0</v>
      </c>
    </row>
    <row r="314" spans="1:8" x14ac:dyDescent="0.25">
      <c r="A314" s="18" t="s">
        <v>2608</v>
      </c>
      <c r="B314" s="18" t="s">
        <v>1774</v>
      </c>
      <c r="C314" s="18" t="s">
        <v>1773</v>
      </c>
      <c r="D314">
        <v>33986</v>
      </c>
      <c r="E314" s="18" t="s">
        <v>2265</v>
      </c>
      <c r="F314" s="3">
        <v>43605.083333333299</v>
      </c>
      <c r="G314" s="20">
        <f t="shared" ca="1" si="4"/>
        <v>6</v>
      </c>
      <c r="H314">
        <f>COUNTIF(BRON!A:A,Tabel6[[#This Row],[Personeelsnummer]])</f>
        <v>4</v>
      </c>
    </row>
    <row r="315" spans="1:8" x14ac:dyDescent="0.25">
      <c r="A315" s="18" t="s">
        <v>2609</v>
      </c>
      <c r="B315" s="18" t="s">
        <v>1351</v>
      </c>
      <c r="C315" s="18" t="s">
        <v>1775</v>
      </c>
      <c r="D315">
        <v>34019</v>
      </c>
      <c r="E315" s="18" t="s">
        <v>2297</v>
      </c>
      <c r="F315" s="3">
        <v>43627.083333333299</v>
      </c>
      <c r="G315" s="20">
        <f t="shared" ca="1" si="4"/>
        <v>6</v>
      </c>
      <c r="H315">
        <f>COUNTIF(BRON!A:A,Tabel6[[#This Row],[Personeelsnummer]])</f>
        <v>1</v>
      </c>
    </row>
    <row r="316" spans="1:8" x14ac:dyDescent="0.25">
      <c r="A316" s="18" t="s">
        <v>2610</v>
      </c>
      <c r="B316" s="18" t="s">
        <v>1696</v>
      </c>
      <c r="C316" s="18" t="s">
        <v>1776</v>
      </c>
      <c r="D316">
        <v>34044</v>
      </c>
      <c r="E316" s="18" t="s">
        <v>2297</v>
      </c>
      <c r="F316" s="3">
        <v>43640.083333333299</v>
      </c>
      <c r="G316" s="20">
        <f t="shared" ca="1" si="4"/>
        <v>6</v>
      </c>
      <c r="H316">
        <f>COUNTIF(BRON!A:A,Tabel6[[#This Row],[Personeelsnummer]])</f>
        <v>2</v>
      </c>
    </row>
    <row r="317" spans="1:8" x14ac:dyDescent="0.25">
      <c r="A317" s="18" t="s">
        <v>2611</v>
      </c>
      <c r="B317" s="18" t="s">
        <v>1778</v>
      </c>
      <c r="C317" s="18" t="s">
        <v>1777</v>
      </c>
      <c r="D317">
        <v>34198</v>
      </c>
      <c r="E317" s="18" t="s">
        <v>2270</v>
      </c>
      <c r="F317" s="3">
        <v>43669.083333333299</v>
      </c>
      <c r="G317" s="20">
        <f t="shared" ca="1" si="4"/>
        <v>6</v>
      </c>
      <c r="H317">
        <f>COUNTIF(BRON!A:A,Tabel6[[#This Row],[Personeelsnummer]])</f>
        <v>2</v>
      </c>
    </row>
    <row r="318" spans="1:8" x14ac:dyDescent="0.25">
      <c r="A318" s="18" t="s">
        <v>2612</v>
      </c>
      <c r="B318" s="18" t="s">
        <v>1780</v>
      </c>
      <c r="C318" s="18" t="s">
        <v>1779</v>
      </c>
      <c r="D318">
        <v>34286</v>
      </c>
      <c r="E318" s="18" t="s">
        <v>2286</v>
      </c>
      <c r="F318" s="3">
        <v>43724.083333333299</v>
      </c>
      <c r="G318" s="20">
        <f t="shared" ca="1" si="4"/>
        <v>6</v>
      </c>
      <c r="H318">
        <f>COUNTIF(BRON!A:A,Tabel6[[#This Row],[Personeelsnummer]])</f>
        <v>2</v>
      </c>
    </row>
    <row r="319" spans="1:8" x14ac:dyDescent="0.25">
      <c r="A319" s="18" t="s">
        <v>2613</v>
      </c>
      <c r="B319" s="18" t="s">
        <v>1781</v>
      </c>
      <c r="C319" s="18" t="s">
        <v>1508</v>
      </c>
      <c r="D319">
        <v>34312</v>
      </c>
      <c r="E319" s="18" t="s">
        <v>2286</v>
      </c>
      <c r="F319" s="3">
        <v>43710.083333333299</v>
      </c>
      <c r="G319" s="20">
        <f t="shared" ca="1" si="4"/>
        <v>6</v>
      </c>
      <c r="H319">
        <f>COUNTIF(BRON!A:A,Tabel6[[#This Row],[Personeelsnummer]])</f>
        <v>0</v>
      </c>
    </row>
    <row r="320" spans="1:8" x14ac:dyDescent="0.25">
      <c r="A320" s="18" t="s">
        <v>2614</v>
      </c>
      <c r="B320" s="18" t="s">
        <v>1432</v>
      </c>
      <c r="C320" s="18" t="s">
        <v>1784</v>
      </c>
      <c r="D320">
        <v>34328</v>
      </c>
      <c r="E320" s="18" t="s">
        <v>2265</v>
      </c>
      <c r="F320" s="3">
        <v>43710.083333333299</v>
      </c>
      <c r="G320" s="20">
        <f t="shared" ca="1" si="4"/>
        <v>6</v>
      </c>
      <c r="H320">
        <f>COUNTIF(BRON!A:A,Tabel6[[#This Row],[Personeelsnummer]])</f>
        <v>4</v>
      </c>
    </row>
    <row r="321" spans="1:8" x14ac:dyDescent="0.25">
      <c r="A321" s="18" t="s">
        <v>2615</v>
      </c>
      <c r="B321" s="18" t="s">
        <v>1786</v>
      </c>
      <c r="C321" s="18" t="s">
        <v>1785</v>
      </c>
      <c r="D321">
        <v>34351</v>
      </c>
      <c r="E321" s="18" t="s">
        <v>2270</v>
      </c>
      <c r="F321" s="3">
        <v>43710.083333333299</v>
      </c>
      <c r="G321" s="20">
        <f t="shared" ca="1" si="4"/>
        <v>6</v>
      </c>
      <c r="H321">
        <f>COUNTIF(BRON!A:A,Tabel6[[#This Row],[Personeelsnummer]])</f>
        <v>3</v>
      </c>
    </row>
    <row r="322" spans="1:8" x14ac:dyDescent="0.25">
      <c r="A322" s="18" t="s">
        <v>2616</v>
      </c>
      <c r="B322" s="18" t="s">
        <v>393</v>
      </c>
      <c r="C322" s="18" t="s">
        <v>1545</v>
      </c>
      <c r="D322">
        <v>34385</v>
      </c>
      <c r="E322" s="18" t="s">
        <v>2376</v>
      </c>
      <c r="F322" s="3">
        <v>43697.083333333299</v>
      </c>
      <c r="G322" s="20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18" t="s">
        <v>2617</v>
      </c>
      <c r="B323" s="18" t="s">
        <v>1788</v>
      </c>
      <c r="C323" s="18" t="s">
        <v>1787</v>
      </c>
      <c r="D323">
        <v>34445</v>
      </c>
      <c r="E323" s="18" t="s">
        <v>2300</v>
      </c>
      <c r="F323" s="3">
        <v>43752.083333333299</v>
      </c>
      <c r="G323" s="20">
        <f t="shared" ca="1" si="5"/>
        <v>6</v>
      </c>
      <c r="H323">
        <f>COUNTIF(BRON!A:A,Tabel6[[#This Row],[Personeelsnummer]])</f>
        <v>6</v>
      </c>
    </row>
    <row r="324" spans="1:8" x14ac:dyDescent="0.25">
      <c r="A324" s="18" t="s">
        <v>2618</v>
      </c>
      <c r="B324" s="18" t="s">
        <v>1749</v>
      </c>
      <c r="C324" s="18" t="s">
        <v>1452</v>
      </c>
      <c r="D324">
        <v>34664</v>
      </c>
      <c r="E324" s="18" t="s">
        <v>2286</v>
      </c>
      <c r="F324" s="3">
        <v>43781.041666666701</v>
      </c>
      <c r="G324" s="20">
        <f t="shared" ca="1" si="5"/>
        <v>6</v>
      </c>
      <c r="H324">
        <f>COUNTIF(BRON!A:A,Tabel6[[#This Row],[Personeelsnummer]])</f>
        <v>1</v>
      </c>
    </row>
    <row r="325" spans="1:8" x14ac:dyDescent="0.25">
      <c r="A325" s="18" t="s">
        <v>2619</v>
      </c>
      <c r="B325" s="18" t="s">
        <v>1552</v>
      </c>
      <c r="C325" s="18" t="s">
        <v>1789</v>
      </c>
      <c r="D325">
        <v>35005</v>
      </c>
      <c r="E325" s="18" t="s">
        <v>2261</v>
      </c>
      <c r="F325" s="3">
        <v>43850.041666666701</v>
      </c>
      <c r="G325" s="20">
        <f t="shared" ca="1" si="5"/>
        <v>5</v>
      </c>
      <c r="H325">
        <f>COUNTIF(BRON!A:A,Tabel6[[#This Row],[Personeelsnummer]])</f>
        <v>0</v>
      </c>
    </row>
    <row r="326" spans="1:8" x14ac:dyDescent="0.25">
      <c r="A326" s="18" t="s">
        <v>2620</v>
      </c>
      <c r="B326" s="18" t="s">
        <v>1790</v>
      </c>
      <c r="C326" s="18" t="s">
        <v>1756</v>
      </c>
      <c r="D326">
        <v>35006</v>
      </c>
      <c r="E326" s="18" t="s">
        <v>2265</v>
      </c>
      <c r="F326" s="3">
        <v>43906.041666666701</v>
      </c>
      <c r="G326" s="20">
        <f t="shared" ca="1" si="5"/>
        <v>5</v>
      </c>
      <c r="H326">
        <f>COUNTIF(BRON!A:A,Tabel6[[#This Row],[Personeelsnummer]])</f>
        <v>1</v>
      </c>
    </row>
    <row r="327" spans="1:8" x14ac:dyDescent="0.25">
      <c r="A327" s="18" t="s">
        <v>2621</v>
      </c>
      <c r="B327" s="18" t="s">
        <v>1792</v>
      </c>
      <c r="C327" s="18" t="s">
        <v>1791</v>
      </c>
      <c r="D327">
        <v>35026</v>
      </c>
      <c r="E327" s="18" t="s">
        <v>2286</v>
      </c>
      <c r="F327" s="3">
        <v>43850.041666666701</v>
      </c>
      <c r="G327" s="20">
        <f t="shared" ca="1" si="5"/>
        <v>5</v>
      </c>
      <c r="H327">
        <f>COUNTIF(BRON!A:A,Tabel6[[#This Row],[Personeelsnummer]])</f>
        <v>0</v>
      </c>
    </row>
    <row r="328" spans="1:8" x14ac:dyDescent="0.25">
      <c r="A328" s="18" t="s">
        <v>2622</v>
      </c>
      <c r="B328" s="18" t="s">
        <v>1329</v>
      </c>
      <c r="C328" s="18" t="s">
        <v>1793</v>
      </c>
      <c r="D328">
        <v>35030</v>
      </c>
      <c r="E328" s="18" t="s">
        <v>2263</v>
      </c>
      <c r="F328" s="3">
        <v>43892.041666666701</v>
      </c>
      <c r="G328" s="20">
        <f t="shared" ca="1" si="5"/>
        <v>5</v>
      </c>
      <c r="H328">
        <f>COUNTIF(BRON!A:A,Tabel6[[#This Row],[Personeelsnummer]])</f>
        <v>0</v>
      </c>
    </row>
    <row r="329" spans="1:8" x14ac:dyDescent="0.25">
      <c r="A329" s="18" t="s">
        <v>2623</v>
      </c>
      <c r="B329" s="18" t="s">
        <v>1795</v>
      </c>
      <c r="C329" s="18" t="s">
        <v>1794</v>
      </c>
      <c r="D329">
        <v>35055</v>
      </c>
      <c r="E329" s="18" t="s">
        <v>2270</v>
      </c>
      <c r="F329" s="3">
        <v>43864.041666666701</v>
      </c>
      <c r="G329" s="20">
        <f t="shared" ca="1" si="5"/>
        <v>5</v>
      </c>
      <c r="H329">
        <f>COUNTIF(BRON!A:A,Tabel6[[#This Row],[Personeelsnummer]])</f>
        <v>2</v>
      </c>
    </row>
    <row r="330" spans="1:8" x14ac:dyDescent="0.25">
      <c r="A330" s="18" t="s">
        <v>2624</v>
      </c>
      <c r="B330" s="18" t="s">
        <v>1401</v>
      </c>
      <c r="C330" s="18" t="s">
        <v>1796</v>
      </c>
      <c r="D330">
        <v>35107</v>
      </c>
      <c r="E330" s="18" t="s">
        <v>2261</v>
      </c>
      <c r="F330" s="3">
        <v>43864.041666666701</v>
      </c>
      <c r="G330" s="20">
        <f t="shared" ca="1" si="5"/>
        <v>5</v>
      </c>
      <c r="H330">
        <f>COUNTIF(BRON!A:A,Tabel6[[#This Row],[Personeelsnummer]])</f>
        <v>1</v>
      </c>
    </row>
    <row r="331" spans="1:8" x14ac:dyDescent="0.25">
      <c r="A331" s="18" t="s">
        <v>2625</v>
      </c>
      <c r="B331" s="18" t="s">
        <v>1798</v>
      </c>
      <c r="C331" s="18" t="s">
        <v>1797</v>
      </c>
      <c r="D331">
        <v>35120</v>
      </c>
      <c r="E331" s="18" t="s">
        <v>2277</v>
      </c>
      <c r="F331" s="3">
        <v>43878.041666666701</v>
      </c>
      <c r="G331" s="20">
        <f t="shared" ca="1" si="5"/>
        <v>5</v>
      </c>
      <c r="H331">
        <f>COUNTIF(BRON!A:A,Tabel6[[#This Row],[Personeelsnummer]])</f>
        <v>1</v>
      </c>
    </row>
    <row r="332" spans="1:8" x14ac:dyDescent="0.25">
      <c r="A332" s="18" t="s">
        <v>2626</v>
      </c>
      <c r="B332" s="18" t="s">
        <v>1800</v>
      </c>
      <c r="C332" s="18" t="s">
        <v>1799</v>
      </c>
      <c r="D332">
        <v>35187</v>
      </c>
      <c r="E332" s="18" t="s">
        <v>2263</v>
      </c>
      <c r="F332" s="3">
        <v>43891.041666666701</v>
      </c>
      <c r="G332" s="20">
        <f t="shared" ca="1" si="5"/>
        <v>5</v>
      </c>
      <c r="H332">
        <f>COUNTIF(BRON!A:A,Tabel6[[#This Row],[Personeelsnummer]])</f>
        <v>1</v>
      </c>
    </row>
    <row r="333" spans="1:8" x14ac:dyDescent="0.25">
      <c r="A333" s="18" t="s">
        <v>2627</v>
      </c>
      <c r="B333" s="18" t="s">
        <v>1802</v>
      </c>
      <c r="C333" s="18" t="s">
        <v>1801</v>
      </c>
      <c r="D333">
        <v>35216</v>
      </c>
      <c r="E333" s="18" t="s">
        <v>2263</v>
      </c>
      <c r="F333" s="3">
        <v>43892.041666666701</v>
      </c>
      <c r="G333" s="20">
        <f t="shared" ca="1" si="5"/>
        <v>5</v>
      </c>
      <c r="H333">
        <f>COUNTIF(BRON!A:A,Tabel6[[#This Row],[Personeelsnummer]])</f>
        <v>2</v>
      </c>
    </row>
    <row r="334" spans="1:8" x14ac:dyDescent="0.25">
      <c r="A334" s="18" t="s">
        <v>2628</v>
      </c>
      <c r="B334" s="18" t="s">
        <v>1804</v>
      </c>
      <c r="C334" s="18" t="s">
        <v>1803</v>
      </c>
      <c r="D334">
        <v>35220</v>
      </c>
      <c r="E334" s="18" t="s">
        <v>2263</v>
      </c>
      <c r="F334" s="3">
        <v>43906.041666666701</v>
      </c>
      <c r="G334" s="20">
        <f t="shared" ca="1" si="5"/>
        <v>5</v>
      </c>
      <c r="H334">
        <f>COUNTIF(BRON!A:A,Tabel6[[#This Row],[Personeelsnummer]])</f>
        <v>0</v>
      </c>
    </row>
    <row r="335" spans="1:8" x14ac:dyDescent="0.25">
      <c r="A335" s="18" t="s">
        <v>2629</v>
      </c>
      <c r="B335" s="18" t="s">
        <v>1805</v>
      </c>
      <c r="C335" s="18" t="s">
        <v>1127</v>
      </c>
      <c r="D335">
        <v>35246</v>
      </c>
      <c r="E335" s="18" t="s">
        <v>2270</v>
      </c>
      <c r="F335" s="3">
        <v>43906.041666666701</v>
      </c>
      <c r="G335" s="20">
        <f t="shared" ca="1" si="5"/>
        <v>5</v>
      </c>
      <c r="H335">
        <f>COUNTIF(BRON!A:A,Tabel6[[#This Row],[Personeelsnummer]])</f>
        <v>2</v>
      </c>
    </row>
    <row r="336" spans="1:8" x14ac:dyDescent="0.25">
      <c r="A336" s="18" t="s">
        <v>2630</v>
      </c>
      <c r="B336" s="18" t="s">
        <v>1807</v>
      </c>
      <c r="C336" s="18" t="s">
        <v>1806</v>
      </c>
      <c r="D336">
        <v>35334</v>
      </c>
      <c r="E336" s="18" t="s">
        <v>2270</v>
      </c>
      <c r="F336" s="3">
        <v>43944.083333333299</v>
      </c>
      <c r="G336" s="20">
        <f t="shared" ca="1" si="5"/>
        <v>5</v>
      </c>
      <c r="H336">
        <f>COUNTIF(BRON!A:A,Tabel6[[#This Row],[Personeelsnummer]])</f>
        <v>0</v>
      </c>
    </row>
    <row r="337" spans="1:8" x14ac:dyDescent="0.25">
      <c r="A337" s="18" t="s">
        <v>2631</v>
      </c>
      <c r="B337" s="18" t="s">
        <v>1808</v>
      </c>
      <c r="C337" s="18" t="s">
        <v>1609</v>
      </c>
      <c r="D337">
        <v>35379</v>
      </c>
      <c r="E337" s="18" t="s">
        <v>2270</v>
      </c>
      <c r="F337" s="3">
        <v>43969.083333333299</v>
      </c>
      <c r="G337" s="20">
        <f t="shared" ca="1" si="5"/>
        <v>5</v>
      </c>
      <c r="H337">
        <f>COUNTIF(BRON!A:A,Tabel6[[#This Row],[Personeelsnummer]])</f>
        <v>2</v>
      </c>
    </row>
    <row r="338" spans="1:8" x14ac:dyDescent="0.25">
      <c r="A338" s="18" t="s">
        <v>2632</v>
      </c>
      <c r="B338" s="18" t="s">
        <v>1810</v>
      </c>
      <c r="C338" s="18" t="s">
        <v>1809</v>
      </c>
      <c r="D338">
        <v>35395</v>
      </c>
      <c r="E338" s="18" t="s">
        <v>2286</v>
      </c>
      <c r="F338" s="3">
        <v>43980.083333333299</v>
      </c>
      <c r="G338" s="20">
        <f t="shared" ca="1" si="5"/>
        <v>5</v>
      </c>
      <c r="H338">
        <f>COUNTIF(BRON!A:A,Tabel6[[#This Row],[Personeelsnummer]])</f>
        <v>2</v>
      </c>
    </row>
    <row r="339" spans="1:8" x14ac:dyDescent="0.25">
      <c r="A339" s="18" t="s">
        <v>2633</v>
      </c>
      <c r="B339" s="18" t="s">
        <v>1812</v>
      </c>
      <c r="C339" s="18" t="s">
        <v>1811</v>
      </c>
      <c r="D339">
        <v>35397</v>
      </c>
      <c r="E339" s="18" t="s">
        <v>2263</v>
      </c>
      <c r="F339" s="3">
        <v>43984.083333333299</v>
      </c>
      <c r="G339" s="20">
        <f t="shared" ca="1" si="5"/>
        <v>5</v>
      </c>
      <c r="H339">
        <f>COUNTIF(BRON!A:A,Tabel6[[#This Row],[Personeelsnummer]])</f>
        <v>3</v>
      </c>
    </row>
    <row r="340" spans="1:8" x14ac:dyDescent="0.25">
      <c r="A340" s="18" t="s">
        <v>2634</v>
      </c>
      <c r="B340" s="18" t="s">
        <v>1430</v>
      </c>
      <c r="C340" s="18" t="s">
        <v>1815</v>
      </c>
      <c r="D340">
        <v>35419</v>
      </c>
      <c r="E340" s="18" t="s">
        <v>2263</v>
      </c>
      <c r="F340" s="3">
        <v>44011.083333333299</v>
      </c>
      <c r="G340" s="20">
        <f t="shared" ca="1" si="5"/>
        <v>5</v>
      </c>
      <c r="H340">
        <f>COUNTIF(BRON!A:A,Tabel6[[#This Row],[Personeelsnummer]])</f>
        <v>0</v>
      </c>
    </row>
    <row r="341" spans="1:8" x14ac:dyDescent="0.25">
      <c r="A341" s="18" t="s">
        <v>2635</v>
      </c>
      <c r="B341" s="18" t="s">
        <v>1385</v>
      </c>
      <c r="C341" s="18" t="s">
        <v>1816</v>
      </c>
      <c r="D341">
        <v>35430</v>
      </c>
      <c r="E341" s="18" t="s">
        <v>2270</v>
      </c>
      <c r="F341" s="3">
        <v>44011.083333333299</v>
      </c>
      <c r="G341" s="20">
        <f t="shared" ca="1" si="5"/>
        <v>5</v>
      </c>
      <c r="H341">
        <f>COUNTIF(BRON!A:A,Tabel6[[#This Row],[Personeelsnummer]])</f>
        <v>2</v>
      </c>
    </row>
    <row r="342" spans="1:8" x14ac:dyDescent="0.25">
      <c r="A342" s="18" t="s">
        <v>2636</v>
      </c>
      <c r="B342" s="18" t="s">
        <v>1817</v>
      </c>
      <c r="C342" s="18" t="s">
        <v>1569</v>
      </c>
      <c r="D342">
        <v>35434</v>
      </c>
      <c r="E342" s="18" t="s">
        <v>2300</v>
      </c>
      <c r="F342" s="3">
        <v>44081.083333333299</v>
      </c>
      <c r="G342" s="20">
        <f t="shared" ca="1" si="5"/>
        <v>5</v>
      </c>
      <c r="H342">
        <f>COUNTIF(BRON!A:A,Tabel6[[#This Row],[Personeelsnummer]])</f>
        <v>1</v>
      </c>
    </row>
    <row r="343" spans="1:8" x14ac:dyDescent="0.25">
      <c r="A343" s="18" t="s">
        <v>2637</v>
      </c>
      <c r="B343" s="18" t="s">
        <v>1770</v>
      </c>
      <c r="C343" s="18" t="s">
        <v>1818</v>
      </c>
      <c r="D343">
        <v>35450</v>
      </c>
      <c r="E343" s="18" t="s">
        <v>2277</v>
      </c>
      <c r="F343" s="3">
        <v>43997.083333333299</v>
      </c>
      <c r="G343" s="20">
        <f t="shared" ca="1" si="5"/>
        <v>5</v>
      </c>
      <c r="H343">
        <f>COUNTIF(BRON!A:A,Tabel6[[#This Row],[Personeelsnummer]])</f>
        <v>4</v>
      </c>
    </row>
    <row r="344" spans="1:8" x14ac:dyDescent="0.25">
      <c r="A344" s="18" t="s">
        <v>2638</v>
      </c>
      <c r="B344" s="18" t="s">
        <v>1351</v>
      </c>
      <c r="C344" s="18" t="s">
        <v>1375</v>
      </c>
      <c r="D344">
        <v>35463</v>
      </c>
      <c r="E344" s="18" t="s">
        <v>2300</v>
      </c>
      <c r="F344" s="3">
        <v>44025.083333333299</v>
      </c>
      <c r="G344" s="20">
        <f t="shared" ca="1" si="5"/>
        <v>5</v>
      </c>
      <c r="H344">
        <f>COUNTIF(BRON!A:A,Tabel6[[#This Row],[Personeelsnummer]])</f>
        <v>4</v>
      </c>
    </row>
    <row r="345" spans="1:8" x14ac:dyDescent="0.25">
      <c r="A345" s="18" t="s">
        <v>2639</v>
      </c>
      <c r="B345" s="18" t="s">
        <v>1343</v>
      </c>
      <c r="C345" s="18" t="s">
        <v>1492</v>
      </c>
      <c r="D345">
        <v>35471</v>
      </c>
      <c r="E345" s="18" t="s">
        <v>2263</v>
      </c>
      <c r="F345" s="3">
        <v>43993.083333333299</v>
      </c>
      <c r="G345" s="20">
        <f t="shared" ca="1" si="5"/>
        <v>5</v>
      </c>
      <c r="H345">
        <f>COUNTIF(BRON!A:A,Tabel6[[#This Row],[Personeelsnummer]])</f>
        <v>0</v>
      </c>
    </row>
    <row r="346" spans="1:8" x14ac:dyDescent="0.25">
      <c r="A346" s="18" t="s">
        <v>2640</v>
      </c>
      <c r="B346" s="18" t="s">
        <v>1820</v>
      </c>
      <c r="C346" s="18" t="s">
        <v>1819</v>
      </c>
      <c r="D346">
        <v>35490</v>
      </c>
      <c r="E346" s="18" t="s">
        <v>2286</v>
      </c>
      <c r="F346" s="3">
        <v>44025.083333333299</v>
      </c>
      <c r="G346" s="20">
        <f t="shared" ca="1" si="5"/>
        <v>5</v>
      </c>
      <c r="H346">
        <f>COUNTIF(BRON!A:A,Tabel6[[#This Row],[Personeelsnummer]])</f>
        <v>1</v>
      </c>
    </row>
    <row r="347" spans="1:8" x14ac:dyDescent="0.25">
      <c r="A347" s="18" t="s">
        <v>2641</v>
      </c>
      <c r="B347" s="18" t="s">
        <v>1821</v>
      </c>
      <c r="C347" s="18" t="s">
        <v>1616</v>
      </c>
      <c r="D347">
        <v>35491</v>
      </c>
      <c r="E347" s="18" t="s">
        <v>2270</v>
      </c>
      <c r="F347" s="3">
        <v>44025.083333333299</v>
      </c>
      <c r="G347" s="20">
        <f t="shared" ca="1" si="5"/>
        <v>5</v>
      </c>
      <c r="H347">
        <f>COUNTIF(BRON!A:A,Tabel6[[#This Row],[Personeelsnummer]])</f>
        <v>2</v>
      </c>
    </row>
    <row r="348" spans="1:8" x14ac:dyDescent="0.25">
      <c r="A348" s="18" t="s">
        <v>2642</v>
      </c>
      <c r="B348" s="18" t="s">
        <v>1823</v>
      </c>
      <c r="C348" s="18" t="s">
        <v>1822</v>
      </c>
      <c r="D348">
        <v>35493</v>
      </c>
      <c r="E348" s="18" t="s">
        <v>2263</v>
      </c>
      <c r="F348" s="3">
        <v>44039.083333333299</v>
      </c>
      <c r="G348" s="20">
        <f t="shared" ca="1" si="5"/>
        <v>5</v>
      </c>
      <c r="H348">
        <f>COUNTIF(BRON!A:A,Tabel6[[#This Row],[Personeelsnummer]])</f>
        <v>1</v>
      </c>
    </row>
    <row r="349" spans="1:8" x14ac:dyDescent="0.25">
      <c r="A349" s="18" t="s">
        <v>2643</v>
      </c>
      <c r="B349" s="18" t="s">
        <v>1532</v>
      </c>
      <c r="C349" s="18" t="s">
        <v>1824</v>
      </c>
      <c r="D349">
        <v>35494</v>
      </c>
      <c r="E349" s="18" t="s">
        <v>2270</v>
      </c>
      <c r="F349" s="3">
        <v>44039.083333333299</v>
      </c>
      <c r="G349" s="20">
        <f t="shared" ca="1" si="5"/>
        <v>5</v>
      </c>
      <c r="H349">
        <f>COUNTIF(BRON!A:A,Tabel6[[#This Row],[Personeelsnummer]])</f>
        <v>0</v>
      </c>
    </row>
    <row r="350" spans="1:8" x14ac:dyDescent="0.25">
      <c r="A350" s="18" t="s">
        <v>2644</v>
      </c>
      <c r="B350" s="18" t="s">
        <v>1826</v>
      </c>
      <c r="C350" s="18" t="s">
        <v>1825</v>
      </c>
      <c r="D350">
        <v>35495</v>
      </c>
      <c r="E350" s="18" t="s">
        <v>2265</v>
      </c>
      <c r="F350" s="3">
        <v>44025.083333333299</v>
      </c>
      <c r="G350" s="20">
        <f t="shared" ca="1" si="5"/>
        <v>5</v>
      </c>
      <c r="H350">
        <f>COUNTIF(BRON!A:A,Tabel6[[#This Row],[Personeelsnummer]])</f>
        <v>1</v>
      </c>
    </row>
    <row r="351" spans="1:8" x14ac:dyDescent="0.25">
      <c r="A351" s="18" t="s">
        <v>2645</v>
      </c>
      <c r="B351" s="18" t="s">
        <v>1828</v>
      </c>
      <c r="C351" s="18" t="s">
        <v>1827</v>
      </c>
      <c r="D351">
        <v>35588</v>
      </c>
      <c r="E351" s="18" t="s">
        <v>2263</v>
      </c>
      <c r="F351" s="3">
        <v>44039.083333333299</v>
      </c>
      <c r="G351" s="20">
        <f t="shared" ca="1" si="5"/>
        <v>5</v>
      </c>
      <c r="H351">
        <f>COUNTIF(BRON!A:A,Tabel6[[#This Row],[Personeelsnummer]])</f>
        <v>3</v>
      </c>
    </row>
    <row r="352" spans="1:8" x14ac:dyDescent="0.25">
      <c r="A352" s="18" t="s">
        <v>2646</v>
      </c>
      <c r="B352" s="18" t="s">
        <v>1830</v>
      </c>
      <c r="C352" s="18" t="s">
        <v>1829</v>
      </c>
      <c r="D352">
        <v>35598</v>
      </c>
      <c r="E352" s="18" t="s">
        <v>2300</v>
      </c>
      <c r="F352" s="3">
        <v>44039.083333333299</v>
      </c>
      <c r="G352" s="20">
        <f t="shared" ca="1" si="5"/>
        <v>5</v>
      </c>
      <c r="H352">
        <f>COUNTIF(BRON!A:A,Tabel6[[#This Row],[Personeelsnummer]])</f>
        <v>1</v>
      </c>
    </row>
    <row r="353" spans="1:8" x14ac:dyDescent="0.25">
      <c r="A353" s="18" t="s">
        <v>2647</v>
      </c>
      <c r="B353" s="18" t="s">
        <v>1832</v>
      </c>
      <c r="C353" s="18" t="s">
        <v>1831</v>
      </c>
      <c r="D353">
        <v>35619</v>
      </c>
      <c r="E353" s="18" t="s">
        <v>2286</v>
      </c>
      <c r="F353" s="3">
        <v>44067.083333333299</v>
      </c>
      <c r="G353" s="20">
        <f t="shared" ca="1" si="5"/>
        <v>5</v>
      </c>
      <c r="H353">
        <f>COUNTIF(BRON!A:A,Tabel6[[#This Row],[Personeelsnummer]])</f>
        <v>1</v>
      </c>
    </row>
    <row r="354" spans="1:8" x14ac:dyDescent="0.25">
      <c r="A354" s="18" t="s">
        <v>2648</v>
      </c>
      <c r="B354" s="18" t="s">
        <v>1555</v>
      </c>
      <c r="C354" s="18" t="s">
        <v>1833</v>
      </c>
      <c r="D354">
        <v>35623</v>
      </c>
      <c r="E354" s="18" t="s">
        <v>2261</v>
      </c>
      <c r="F354" s="3">
        <v>44081.083333333299</v>
      </c>
      <c r="G354" s="20">
        <f t="shared" ca="1" si="5"/>
        <v>5</v>
      </c>
      <c r="H354">
        <f>COUNTIF(BRON!A:A,Tabel6[[#This Row],[Personeelsnummer]])</f>
        <v>0</v>
      </c>
    </row>
    <row r="355" spans="1:8" x14ac:dyDescent="0.25">
      <c r="A355" s="18" t="s">
        <v>2649</v>
      </c>
      <c r="B355" s="18" t="s">
        <v>1835</v>
      </c>
      <c r="C355" s="18" t="s">
        <v>1834</v>
      </c>
      <c r="D355">
        <v>35645</v>
      </c>
      <c r="E355" s="18" t="s">
        <v>2286</v>
      </c>
      <c r="F355" s="3">
        <v>44070.083333333299</v>
      </c>
      <c r="G355" s="20">
        <f t="shared" ca="1" si="5"/>
        <v>5</v>
      </c>
      <c r="H355">
        <f>COUNTIF(BRON!A:A,Tabel6[[#This Row],[Personeelsnummer]])</f>
        <v>4</v>
      </c>
    </row>
    <row r="356" spans="1:8" x14ac:dyDescent="0.25">
      <c r="A356" s="18" t="s">
        <v>2650</v>
      </c>
      <c r="B356" s="18" t="s">
        <v>1837</v>
      </c>
      <c r="C356" s="18" t="s">
        <v>1836</v>
      </c>
      <c r="D356">
        <v>35709</v>
      </c>
      <c r="E356" s="18" t="s">
        <v>2270</v>
      </c>
      <c r="F356" s="3">
        <v>44075.083333333299</v>
      </c>
      <c r="G356" s="20">
        <f t="shared" ca="1" si="5"/>
        <v>5</v>
      </c>
      <c r="H356">
        <f>COUNTIF(BRON!A:A,Tabel6[[#This Row],[Personeelsnummer]])</f>
        <v>1</v>
      </c>
    </row>
    <row r="357" spans="1:8" x14ac:dyDescent="0.25">
      <c r="A357" s="18" t="s">
        <v>2651</v>
      </c>
      <c r="B357" s="18" t="s">
        <v>1838</v>
      </c>
      <c r="C357" s="18" t="s">
        <v>1582</v>
      </c>
      <c r="D357">
        <v>35761</v>
      </c>
      <c r="E357" s="18" t="s">
        <v>2277</v>
      </c>
      <c r="F357" s="3">
        <v>44067.083333333299</v>
      </c>
      <c r="G357" s="20">
        <f t="shared" ca="1" si="5"/>
        <v>5</v>
      </c>
      <c r="H357">
        <f>COUNTIF(BRON!A:A,Tabel6[[#This Row],[Personeelsnummer]])</f>
        <v>0</v>
      </c>
    </row>
    <row r="358" spans="1:8" x14ac:dyDescent="0.25">
      <c r="A358" s="18" t="s">
        <v>2652</v>
      </c>
      <c r="B358" s="18" t="s">
        <v>1404</v>
      </c>
      <c r="C358" s="18" t="s">
        <v>1839</v>
      </c>
      <c r="D358">
        <v>35862</v>
      </c>
      <c r="E358" s="18" t="s">
        <v>2277</v>
      </c>
      <c r="F358" s="3">
        <v>44123.083333333299</v>
      </c>
      <c r="G358" s="20">
        <f t="shared" ca="1" si="5"/>
        <v>5</v>
      </c>
      <c r="H358">
        <f>COUNTIF(BRON!A:A,Tabel6[[#This Row],[Personeelsnummer]])</f>
        <v>0</v>
      </c>
    </row>
    <row r="359" spans="1:8" x14ac:dyDescent="0.25">
      <c r="A359" s="18" t="s">
        <v>2653</v>
      </c>
      <c r="B359" s="18" t="s">
        <v>1491</v>
      </c>
      <c r="C359" s="18" t="s">
        <v>1840</v>
      </c>
      <c r="D359">
        <v>36021</v>
      </c>
      <c r="E359" s="18" t="s">
        <v>2263</v>
      </c>
      <c r="F359" s="3">
        <v>44151.041666666701</v>
      </c>
      <c r="G359" s="20">
        <f t="shared" ca="1" si="5"/>
        <v>5</v>
      </c>
      <c r="H359">
        <f>COUNTIF(BRON!A:A,Tabel6[[#This Row],[Personeelsnummer]])</f>
        <v>2</v>
      </c>
    </row>
    <row r="360" spans="1:8" x14ac:dyDescent="0.25">
      <c r="A360" s="18" t="s">
        <v>2654</v>
      </c>
      <c r="B360" s="18" t="s">
        <v>1687</v>
      </c>
      <c r="C360" s="18" t="s">
        <v>1686</v>
      </c>
      <c r="D360">
        <v>30321</v>
      </c>
      <c r="E360" s="18" t="s">
        <v>2265</v>
      </c>
      <c r="F360" s="3">
        <v>44348.083333333299</v>
      </c>
      <c r="G360" s="20">
        <f t="shared" ca="1" si="5"/>
        <v>4</v>
      </c>
      <c r="H360">
        <f>COUNTIF(BRON!A:A,Tabel6[[#This Row],[Personeelsnummer]])</f>
        <v>2</v>
      </c>
    </row>
    <row r="361" spans="1:8" x14ac:dyDescent="0.25">
      <c r="A361" s="18" t="s">
        <v>2655</v>
      </c>
      <c r="B361" s="18" t="s">
        <v>1814</v>
      </c>
      <c r="C361" s="18" t="s">
        <v>1813</v>
      </c>
      <c r="D361">
        <v>35414</v>
      </c>
      <c r="E361" s="18" t="s">
        <v>2286</v>
      </c>
      <c r="F361" s="3">
        <v>44207.041666666701</v>
      </c>
      <c r="G361" s="20">
        <f t="shared" ca="1" si="5"/>
        <v>5</v>
      </c>
      <c r="H361">
        <f>COUNTIF(BRON!A:A,Tabel6[[#This Row],[Personeelsnummer]])</f>
        <v>0</v>
      </c>
    </row>
    <row r="362" spans="1:8" x14ac:dyDescent="0.25">
      <c r="A362" s="18" t="s">
        <v>2656</v>
      </c>
      <c r="B362" s="18" t="s">
        <v>1841</v>
      </c>
      <c r="C362" s="18" t="s">
        <v>1456</v>
      </c>
      <c r="D362">
        <v>36154</v>
      </c>
      <c r="E362" s="18" t="s">
        <v>2263</v>
      </c>
      <c r="F362" s="3">
        <v>44214.041666666701</v>
      </c>
      <c r="G362" s="20">
        <f t="shared" ca="1" si="5"/>
        <v>5</v>
      </c>
      <c r="H362">
        <f>COUNTIF(BRON!A:A,Tabel6[[#This Row],[Personeelsnummer]])</f>
        <v>1</v>
      </c>
    </row>
    <row r="363" spans="1:8" x14ac:dyDescent="0.25">
      <c r="A363" s="18" t="s">
        <v>2657</v>
      </c>
      <c r="B363" s="18" t="s">
        <v>1843</v>
      </c>
      <c r="C363" s="18" t="s">
        <v>1842</v>
      </c>
      <c r="D363">
        <v>36228</v>
      </c>
      <c r="E363" s="18" t="s">
        <v>2270</v>
      </c>
      <c r="F363" s="3">
        <v>44256.041666666701</v>
      </c>
      <c r="G363" s="20">
        <f t="shared" ca="1" si="5"/>
        <v>4</v>
      </c>
      <c r="H363">
        <f>COUNTIF(BRON!A:A,Tabel6[[#This Row],[Personeelsnummer]])</f>
        <v>1</v>
      </c>
    </row>
    <row r="364" spans="1:8" x14ac:dyDescent="0.25">
      <c r="A364" s="18" t="s">
        <v>2658</v>
      </c>
      <c r="B364" s="18" t="s">
        <v>1365</v>
      </c>
      <c r="C364" s="18" t="s">
        <v>1846</v>
      </c>
      <c r="D364">
        <v>36289</v>
      </c>
      <c r="E364" s="18" t="s">
        <v>2270</v>
      </c>
      <c r="F364" s="3">
        <v>44284.083333333299</v>
      </c>
      <c r="G364" s="20">
        <f t="shared" ca="1" si="5"/>
        <v>4</v>
      </c>
      <c r="H364">
        <f>COUNTIF(BRON!A:A,Tabel6[[#This Row],[Personeelsnummer]])</f>
        <v>3</v>
      </c>
    </row>
    <row r="365" spans="1:8" x14ac:dyDescent="0.25">
      <c r="A365" s="18" t="s">
        <v>2659</v>
      </c>
      <c r="B365" s="18" t="s">
        <v>1389</v>
      </c>
      <c r="C365" s="18" t="s">
        <v>1847</v>
      </c>
      <c r="D365">
        <v>36336</v>
      </c>
      <c r="E365" s="18" t="s">
        <v>2263</v>
      </c>
      <c r="F365" s="3">
        <v>44284.083333333299</v>
      </c>
      <c r="G365" s="20">
        <f t="shared" ca="1" si="5"/>
        <v>4</v>
      </c>
      <c r="H365">
        <f>COUNTIF(BRON!A:A,Tabel6[[#This Row],[Personeelsnummer]])</f>
        <v>1</v>
      </c>
    </row>
    <row r="366" spans="1:8" x14ac:dyDescent="0.25">
      <c r="A366" s="18" t="s">
        <v>2660</v>
      </c>
      <c r="B366" s="18" t="s">
        <v>1798</v>
      </c>
      <c r="C366" s="18" t="s">
        <v>1848</v>
      </c>
      <c r="D366">
        <v>36337</v>
      </c>
      <c r="E366" s="18" t="s">
        <v>2265</v>
      </c>
      <c r="F366" s="3">
        <v>44284.083333333299</v>
      </c>
      <c r="G366" s="20">
        <f t="shared" ca="1" si="5"/>
        <v>4</v>
      </c>
      <c r="H366">
        <f>COUNTIF(BRON!A:A,Tabel6[[#This Row],[Personeelsnummer]])</f>
        <v>1</v>
      </c>
    </row>
    <row r="367" spans="1:8" x14ac:dyDescent="0.25">
      <c r="A367" s="18" t="s">
        <v>2661</v>
      </c>
      <c r="B367" s="18" t="s">
        <v>1850</v>
      </c>
      <c r="C367" s="18" t="s">
        <v>1849</v>
      </c>
      <c r="D367">
        <v>36354</v>
      </c>
      <c r="E367" s="18" t="s">
        <v>2270</v>
      </c>
      <c r="F367" s="3">
        <v>44298.083333333299</v>
      </c>
      <c r="G367" s="20">
        <f t="shared" ca="1" si="5"/>
        <v>4</v>
      </c>
      <c r="H367">
        <f>COUNTIF(BRON!A:A,Tabel6[[#This Row],[Personeelsnummer]])</f>
        <v>0</v>
      </c>
    </row>
    <row r="368" spans="1:8" x14ac:dyDescent="0.25">
      <c r="A368" s="18" t="s">
        <v>2662</v>
      </c>
      <c r="B368" s="18" t="s">
        <v>1852</v>
      </c>
      <c r="C368" s="18" t="s">
        <v>1851</v>
      </c>
      <c r="D368">
        <v>36358</v>
      </c>
      <c r="E368" s="18" t="s">
        <v>2277</v>
      </c>
      <c r="F368" s="3">
        <v>44270.041666666701</v>
      </c>
      <c r="G368" s="20">
        <f t="shared" ca="1" si="5"/>
        <v>4</v>
      </c>
      <c r="H368">
        <f>COUNTIF(BRON!A:A,Tabel6[[#This Row],[Personeelsnummer]])</f>
        <v>2</v>
      </c>
    </row>
    <row r="369" spans="1:8" x14ac:dyDescent="0.25">
      <c r="A369" s="18" t="s">
        <v>2663</v>
      </c>
      <c r="B369" s="18" t="s">
        <v>1854</v>
      </c>
      <c r="C369" s="18" t="s">
        <v>1853</v>
      </c>
      <c r="D369">
        <v>36378</v>
      </c>
      <c r="E369" s="18" t="s">
        <v>2263</v>
      </c>
      <c r="F369" s="3">
        <v>44336.083333333299</v>
      </c>
      <c r="G369" s="20">
        <f t="shared" ca="1" si="5"/>
        <v>4</v>
      </c>
      <c r="H369">
        <f>COUNTIF(BRON!A:A,Tabel6[[#This Row],[Personeelsnummer]])</f>
        <v>0</v>
      </c>
    </row>
    <row r="370" spans="1:8" x14ac:dyDescent="0.25">
      <c r="A370" s="18" t="s">
        <v>2664</v>
      </c>
      <c r="B370" s="18" t="s">
        <v>1345</v>
      </c>
      <c r="C370" s="18" t="s">
        <v>1855</v>
      </c>
      <c r="D370">
        <v>36425</v>
      </c>
      <c r="E370" s="18" t="s">
        <v>2270</v>
      </c>
      <c r="F370" s="3">
        <v>44333.083333333299</v>
      </c>
      <c r="G370" s="20">
        <f t="shared" ca="1" si="5"/>
        <v>4</v>
      </c>
      <c r="H370">
        <f>COUNTIF(BRON!A:A,Tabel6[[#This Row],[Personeelsnummer]])</f>
        <v>0</v>
      </c>
    </row>
    <row r="371" spans="1:8" x14ac:dyDescent="0.25">
      <c r="A371" s="18" t="s">
        <v>2665</v>
      </c>
      <c r="B371" s="18" t="s">
        <v>1857</v>
      </c>
      <c r="C371" s="18" t="s">
        <v>1856</v>
      </c>
      <c r="D371">
        <v>36426</v>
      </c>
      <c r="E371" s="18" t="s">
        <v>2261</v>
      </c>
      <c r="F371" s="3">
        <v>44305.083333333299</v>
      </c>
      <c r="G371" s="20">
        <f t="shared" ca="1" si="5"/>
        <v>4</v>
      </c>
      <c r="H371">
        <f>COUNTIF(BRON!A:A,Tabel6[[#This Row],[Personeelsnummer]])</f>
        <v>3</v>
      </c>
    </row>
    <row r="372" spans="1:8" x14ac:dyDescent="0.25">
      <c r="A372" s="18" t="s">
        <v>2666</v>
      </c>
      <c r="B372" s="18" t="s">
        <v>1861</v>
      </c>
      <c r="C372" s="18" t="s">
        <v>1860</v>
      </c>
      <c r="D372">
        <v>36428</v>
      </c>
      <c r="E372" s="18" t="s">
        <v>2263</v>
      </c>
      <c r="F372" s="3">
        <v>44312.083333333299</v>
      </c>
      <c r="G372" s="20">
        <f t="shared" ca="1" si="5"/>
        <v>4</v>
      </c>
      <c r="H372">
        <f>COUNTIF(BRON!A:A,Tabel6[[#This Row],[Personeelsnummer]])</f>
        <v>6</v>
      </c>
    </row>
    <row r="373" spans="1:8" x14ac:dyDescent="0.25">
      <c r="A373" s="18" t="s">
        <v>2667</v>
      </c>
      <c r="B373" s="18" t="s">
        <v>1863</v>
      </c>
      <c r="C373" s="18" t="s">
        <v>1862</v>
      </c>
      <c r="D373">
        <v>36429</v>
      </c>
      <c r="E373" s="18" t="s">
        <v>2265</v>
      </c>
      <c r="F373" s="3">
        <v>44312.083333333299</v>
      </c>
      <c r="G373" s="20">
        <f t="shared" ca="1" si="5"/>
        <v>4</v>
      </c>
      <c r="H373">
        <f>COUNTIF(BRON!A:A,Tabel6[[#This Row],[Personeelsnummer]])</f>
        <v>1</v>
      </c>
    </row>
    <row r="374" spans="1:8" x14ac:dyDescent="0.25">
      <c r="A374" s="18" t="s">
        <v>2668</v>
      </c>
      <c r="B374" s="18" t="s">
        <v>1865</v>
      </c>
      <c r="C374" s="18" t="s">
        <v>1864</v>
      </c>
      <c r="D374">
        <v>36438</v>
      </c>
      <c r="E374" s="18" t="s">
        <v>2261</v>
      </c>
      <c r="F374" s="3">
        <v>44298.083333333299</v>
      </c>
      <c r="G374" s="20">
        <f t="shared" ca="1" si="5"/>
        <v>4</v>
      </c>
      <c r="H374">
        <f>COUNTIF(BRON!A:A,Tabel6[[#This Row],[Personeelsnummer]])</f>
        <v>5</v>
      </c>
    </row>
    <row r="375" spans="1:8" x14ac:dyDescent="0.25">
      <c r="A375" s="18" t="s">
        <v>2669</v>
      </c>
      <c r="B375" s="18" t="s">
        <v>1867</v>
      </c>
      <c r="C375" s="18" t="s">
        <v>1866</v>
      </c>
      <c r="D375">
        <v>36503</v>
      </c>
      <c r="E375" s="18" t="s">
        <v>2297</v>
      </c>
      <c r="F375" s="3">
        <v>44333.083333333299</v>
      </c>
      <c r="G375" s="20">
        <f t="shared" ca="1" si="5"/>
        <v>4</v>
      </c>
      <c r="H375">
        <f>COUNTIF(BRON!A:A,Tabel6[[#This Row],[Personeelsnummer]])</f>
        <v>1</v>
      </c>
    </row>
    <row r="376" spans="1:8" x14ac:dyDescent="0.25">
      <c r="A376" s="18" t="s">
        <v>2670</v>
      </c>
      <c r="B376" s="18" t="s">
        <v>1869</v>
      </c>
      <c r="C376" s="18" t="s">
        <v>1868</v>
      </c>
      <c r="D376">
        <v>36505</v>
      </c>
      <c r="E376" s="18" t="s">
        <v>2265</v>
      </c>
      <c r="F376" s="3">
        <v>44333.083333333299</v>
      </c>
      <c r="G376" s="20">
        <f t="shared" ca="1" si="5"/>
        <v>4</v>
      </c>
      <c r="H376">
        <f>COUNTIF(BRON!A:A,Tabel6[[#This Row],[Personeelsnummer]])</f>
        <v>1</v>
      </c>
    </row>
    <row r="377" spans="1:8" x14ac:dyDescent="0.25">
      <c r="A377" s="18" t="s">
        <v>2671</v>
      </c>
      <c r="B377" s="18" t="s">
        <v>1871</v>
      </c>
      <c r="C377" s="18" t="s">
        <v>1870</v>
      </c>
      <c r="D377">
        <v>36507</v>
      </c>
      <c r="E377" s="18" t="s">
        <v>2286</v>
      </c>
      <c r="F377" s="3">
        <v>44347.083333333299</v>
      </c>
      <c r="G377" s="20">
        <f t="shared" ca="1" si="5"/>
        <v>4</v>
      </c>
      <c r="H377">
        <f>COUNTIF(BRON!A:A,Tabel6[[#This Row],[Personeelsnummer]])</f>
        <v>0</v>
      </c>
    </row>
    <row r="378" spans="1:8" x14ac:dyDescent="0.25">
      <c r="A378" s="18" t="s">
        <v>2672</v>
      </c>
      <c r="B378" s="18" t="s">
        <v>1873</v>
      </c>
      <c r="C378" s="18" t="s">
        <v>1872</v>
      </c>
      <c r="D378">
        <v>36512</v>
      </c>
      <c r="E378" s="18" t="s">
        <v>2286</v>
      </c>
      <c r="F378" s="3">
        <v>44333.083333333299</v>
      </c>
      <c r="G378" s="20">
        <f t="shared" ca="1" si="5"/>
        <v>4</v>
      </c>
      <c r="H378">
        <f>COUNTIF(BRON!A:A,Tabel6[[#This Row],[Personeelsnummer]])</f>
        <v>3</v>
      </c>
    </row>
    <row r="379" spans="1:8" x14ac:dyDescent="0.25">
      <c r="A379" s="18" t="s">
        <v>2673</v>
      </c>
      <c r="B379" s="18" t="s">
        <v>1874</v>
      </c>
      <c r="C379" s="18" t="s">
        <v>1103</v>
      </c>
      <c r="D379">
        <v>36513</v>
      </c>
      <c r="E379" s="18" t="s">
        <v>2265</v>
      </c>
      <c r="F379" s="3">
        <v>44333.083333333299</v>
      </c>
      <c r="G379" s="20">
        <f t="shared" ca="1" si="5"/>
        <v>4</v>
      </c>
      <c r="H379">
        <f>COUNTIF(BRON!A:A,Tabel6[[#This Row],[Personeelsnummer]])</f>
        <v>1</v>
      </c>
    </row>
    <row r="380" spans="1:8" x14ac:dyDescent="0.25">
      <c r="A380" s="18" t="s">
        <v>2674</v>
      </c>
      <c r="B380" s="18" t="s">
        <v>1876</v>
      </c>
      <c r="C380" s="18" t="s">
        <v>1875</v>
      </c>
      <c r="D380">
        <v>36543</v>
      </c>
      <c r="E380" s="18" t="s">
        <v>2263</v>
      </c>
      <c r="F380" s="3">
        <v>44347.083333333299</v>
      </c>
      <c r="G380" s="20">
        <f t="shared" ca="1" si="5"/>
        <v>4</v>
      </c>
      <c r="H380">
        <f>COUNTIF(BRON!A:A,Tabel6[[#This Row],[Personeelsnummer]])</f>
        <v>1</v>
      </c>
    </row>
    <row r="381" spans="1:8" x14ac:dyDescent="0.25">
      <c r="A381" s="18" t="s">
        <v>2675</v>
      </c>
      <c r="B381" s="18" t="s">
        <v>1493</v>
      </c>
      <c r="C381" s="18" t="s">
        <v>1877</v>
      </c>
      <c r="D381">
        <v>36559</v>
      </c>
      <c r="E381" s="18" t="s">
        <v>2265</v>
      </c>
      <c r="F381" s="3">
        <v>44347.083333333299</v>
      </c>
      <c r="G381" s="20">
        <f t="shared" ca="1" si="5"/>
        <v>4</v>
      </c>
      <c r="H381">
        <f>COUNTIF(BRON!A:A,Tabel6[[#This Row],[Personeelsnummer]])</f>
        <v>2</v>
      </c>
    </row>
    <row r="382" spans="1:8" x14ac:dyDescent="0.25">
      <c r="A382" s="18" t="s">
        <v>2676</v>
      </c>
      <c r="B382" s="18" t="s">
        <v>2677</v>
      </c>
      <c r="C382" s="18" t="s">
        <v>2678</v>
      </c>
      <c r="D382">
        <v>36569</v>
      </c>
      <c r="E382" s="18" t="s">
        <v>2270</v>
      </c>
      <c r="F382" s="3">
        <v>44347.083333333299</v>
      </c>
      <c r="G382" s="20">
        <f t="shared" ca="1" si="5"/>
        <v>4</v>
      </c>
      <c r="H382">
        <f>COUNTIF(BRON!A:A,Tabel6[[#This Row],[Personeelsnummer]])</f>
        <v>6</v>
      </c>
    </row>
    <row r="383" spans="1:8" x14ac:dyDescent="0.25">
      <c r="A383" s="18" t="s">
        <v>2679</v>
      </c>
      <c r="B383" s="18" t="s">
        <v>1357</v>
      </c>
      <c r="C383" s="18" t="s">
        <v>1354</v>
      </c>
      <c r="D383">
        <v>36577</v>
      </c>
      <c r="E383" s="18" t="s">
        <v>2277</v>
      </c>
      <c r="F383" s="3">
        <v>44389.083333333299</v>
      </c>
      <c r="G383" s="20">
        <f t="shared" ca="1" si="5"/>
        <v>4</v>
      </c>
      <c r="H383">
        <f>COUNTIF(BRON!A:A,Tabel6[[#This Row],[Personeelsnummer]])</f>
        <v>1</v>
      </c>
    </row>
    <row r="384" spans="1:8" x14ac:dyDescent="0.25">
      <c r="A384" s="18" t="s">
        <v>2680</v>
      </c>
      <c r="B384" s="18" t="s">
        <v>2681</v>
      </c>
      <c r="C384" s="18" t="s">
        <v>2682</v>
      </c>
      <c r="D384">
        <v>36586</v>
      </c>
      <c r="E384" s="18" t="s">
        <v>2376</v>
      </c>
      <c r="F384" s="3">
        <v>44340.083333333299</v>
      </c>
      <c r="G384" s="20">
        <f t="shared" ca="1" si="5"/>
        <v>4</v>
      </c>
      <c r="H384">
        <f>COUNTIF(BRON!A:A,Tabel6[[#This Row],[Personeelsnummer]])</f>
        <v>0</v>
      </c>
    </row>
    <row r="385" spans="1:8" x14ac:dyDescent="0.25">
      <c r="A385" s="18" t="s">
        <v>2683</v>
      </c>
      <c r="B385" s="18" t="s">
        <v>1349</v>
      </c>
      <c r="C385" s="18" t="s">
        <v>1878</v>
      </c>
      <c r="D385">
        <v>36624</v>
      </c>
      <c r="E385" s="18" t="s">
        <v>2300</v>
      </c>
      <c r="F385" s="3">
        <v>44375.083333333299</v>
      </c>
      <c r="G385" s="20">
        <f t="shared" ca="1" si="5"/>
        <v>4</v>
      </c>
      <c r="H385">
        <f>COUNTIF(BRON!A:A,Tabel6[[#This Row],[Personeelsnummer]])</f>
        <v>3</v>
      </c>
    </row>
    <row r="386" spans="1:8" x14ac:dyDescent="0.25">
      <c r="A386" s="18" t="s">
        <v>2684</v>
      </c>
      <c r="B386" s="18" t="s">
        <v>1460</v>
      </c>
      <c r="C386" s="18" t="s">
        <v>1881</v>
      </c>
      <c r="D386">
        <v>36626</v>
      </c>
      <c r="E386" s="18" t="s">
        <v>2277</v>
      </c>
      <c r="F386" s="3">
        <v>44389.083333333299</v>
      </c>
      <c r="G386" s="20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18" t="s">
        <v>2685</v>
      </c>
      <c r="B387" s="18" t="s">
        <v>1353</v>
      </c>
      <c r="C387" s="18" t="s">
        <v>1882</v>
      </c>
      <c r="D387">
        <v>36627</v>
      </c>
      <c r="E387" s="18" t="s">
        <v>2277</v>
      </c>
      <c r="F387" s="3">
        <v>44384.083333333299</v>
      </c>
      <c r="G387" s="20">
        <f t="shared" ca="1" si="6"/>
        <v>4</v>
      </c>
      <c r="H387">
        <f>COUNTIF(BRON!A:A,Tabel6[[#This Row],[Personeelsnummer]])</f>
        <v>5</v>
      </c>
    </row>
    <row r="388" spans="1:8" x14ac:dyDescent="0.25">
      <c r="A388" s="18" t="s">
        <v>2686</v>
      </c>
      <c r="B388" s="18" t="s">
        <v>1884</v>
      </c>
      <c r="C388" s="18" t="s">
        <v>1883</v>
      </c>
      <c r="D388">
        <v>36635</v>
      </c>
      <c r="E388" s="18" t="s">
        <v>2265</v>
      </c>
      <c r="F388" s="3">
        <v>44417.083333333299</v>
      </c>
      <c r="G388" s="20">
        <f t="shared" ca="1" si="6"/>
        <v>4</v>
      </c>
      <c r="H388">
        <f>COUNTIF(BRON!A:A,Tabel6[[#This Row],[Personeelsnummer]])</f>
        <v>4</v>
      </c>
    </row>
    <row r="389" spans="1:8" x14ac:dyDescent="0.25">
      <c r="A389" s="18" t="s">
        <v>2687</v>
      </c>
      <c r="B389" s="18" t="s">
        <v>1886</v>
      </c>
      <c r="C389" s="18" t="s">
        <v>1885</v>
      </c>
      <c r="D389">
        <v>36663</v>
      </c>
      <c r="E389" s="18" t="s">
        <v>2300</v>
      </c>
      <c r="F389" s="3">
        <v>44431.083333333299</v>
      </c>
      <c r="G389" s="20">
        <f t="shared" ca="1" si="6"/>
        <v>4</v>
      </c>
      <c r="H389">
        <f>COUNTIF(BRON!A:A,Tabel6[[#This Row],[Personeelsnummer]])</f>
        <v>3</v>
      </c>
    </row>
    <row r="390" spans="1:8" x14ac:dyDescent="0.25">
      <c r="A390" s="18" t="s">
        <v>2688</v>
      </c>
      <c r="B390" s="18" t="s">
        <v>1381</v>
      </c>
      <c r="C390" s="18" t="s">
        <v>1887</v>
      </c>
      <c r="D390">
        <v>36820</v>
      </c>
      <c r="E390" s="18" t="s">
        <v>2286</v>
      </c>
      <c r="F390" s="3">
        <v>44473.083333333299</v>
      </c>
      <c r="G390" s="20">
        <f t="shared" ca="1" si="6"/>
        <v>4</v>
      </c>
      <c r="H390">
        <f>COUNTIF(BRON!A:A,Tabel6[[#This Row],[Personeelsnummer]])</f>
        <v>1</v>
      </c>
    </row>
    <row r="391" spans="1:8" x14ac:dyDescent="0.25">
      <c r="A391" s="18" t="s">
        <v>2689</v>
      </c>
      <c r="B391" s="18" t="s">
        <v>1889</v>
      </c>
      <c r="C391" s="18" t="s">
        <v>1888</v>
      </c>
      <c r="D391">
        <v>36838</v>
      </c>
      <c r="E391" s="18" t="s">
        <v>2300</v>
      </c>
      <c r="F391" s="3">
        <v>44480.083333333299</v>
      </c>
      <c r="G391" s="20">
        <f t="shared" ca="1" si="6"/>
        <v>4</v>
      </c>
      <c r="H391">
        <f>COUNTIF(BRON!A:A,Tabel6[[#This Row],[Personeelsnummer]])</f>
        <v>0</v>
      </c>
    </row>
    <row r="392" spans="1:8" x14ac:dyDescent="0.25">
      <c r="A392" s="18" t="s">
        <v>2690</v>
      </c>
      <c r="B392" s="18" t="s">
        <v>1511</v>
      </c>
      <c r="C392" s="18" t="s">
        <v>1890</v>
      </c>
      <c r="D392">
        <v>36845</v>
      </c>
      <c r="E392" s="18" t="s">
        <v>2263</v>
      </c>
      <c r="F392" s="3">
        <v>44440.083333333299</v>
      </c>
      <c r="G392" s="20">
        <f t="shared" ca="1" si="6"/>
        <v>4</v>
      </c>
      <c r="H392">
        <f>COUNTIF(BRON!A:A,Tabel6[[#This Row],[Personeelsnummer]])</f>
        <v>0</v>
      </c>
    </row>
    <row r="393" spans="1:8" x14ac:dyDescent="0.25">
      <c r="A393" s="18" t="s">
        <v>2691</v>
      </c>
      <c r="B393" s="18" t="s">
        <v>1880</v>
      </c>
      <c r="C393" s="18" t="s">
        <v>1879</v>
      </c>
      <c r="D393">
        <v>36625</v>
      </c>
      <c r="E393" s="18" t="s">
        <v>2265</v>
      </c>
      <c r="F393" s="3">
        <v>44818.083333333299</v>
      </c>
      <c r="G393" s="20">
        <f t="shared" ca="1" si="6"/>
        <v>3</v>
      </c>
      <c r="H393">
        <f>COUNTIF(BRON!A:A,Tabel6[[#This Row],[Personeelsnummer]])</f>
        <v>0</v>
      </c>
    </row>
    <row r="394" spans="1:8" x14ac:dyDescent="0.25">
      <c r="A394" s="18" t="s">
        <v>2692</v>
      </c>
      <c r="B394" s="18" t="s">
        <v>1462</v>
      </c>
      <c r="C394" s="18" t="s">
        <v>1461</v>
      </c>
      <c r="D394">
        <v>19251</v>
      </c>
      <c r="E394" s="18" t="s">
        <v>2300</v>
      </c>
      <c r="F394" s="3">
        <v>44761.083333333299</v>
      </c>
      <c r="G394" s="20">
        <f t="shared" ca="1" si="6"/>
        <v>3</v>
      </c>
      <c r="H394">
        <f>COUNTIF(BRON!A:A,Tabel6[[#This Row],[Personeelsnummer]])</f>
        <v>0</v>
      </c>
    </row>
    <row r="395" spans="1:8" x14ac:dyDescent="0.25">
      <c r="A395" s="18" t="s">
        <v>2693</v>
      </c>
      <c r="B395" s="18" t="s">
        <v>1845</v>
      </c>
      <c r="C395" s="18" t="s">
        <v>1844</v>
      </c>
      <c r="D395">
        <v>36275</v>
      </c>
      <c r="E395" s="18" t="s">
        <v>2300</v>
      </c>
      <c r="F395" s="3">
        <v>44687.083333333299</v>
      </c>
      <c r="G395" s="20">
        <f t="shared" ca="1" si="6"/>
        <v>3</v>
      </c>
      <c r="H395">
        <f>COUNTIF(BRON!A:A,Tabel6[[#This Row],[Personeelsnummer]])</f>
        <v>2</v>
      </c>
    </row>
    <row r="396" spans="1:8" x14ac:dyDescent="0.25">
      <c r="A396" s="18" t="s">
        <v>2694</v>
      </c>
      <c r="B396" s="18" t="s">
        <v>1892</v>
      </c>
      <c r="C396" s="18" t="s">
        <v>1891</v>
      </c>
      <c r="D396">
        <v>37131</v>
      </c>
      <c r="E396" s="18" t="s">
        <v>2265</v>
      </c>
      <c r="F396" s="3">
        <v>44585.041666666701</v>
      </c>
      <c r="G396" s="20">
        <f t="shared" ca="1" si="6"/>
        <v>3</v>
      </c>
      <c r="H396">
        <f>COUNTIF(BRON!A:A,Tabel6[[#This Row],[Personeelsnummer]])</f>
        <v>2</v>
      </c>
    </row>
    <row r="397" spans="1:8" x14ac:dyDescent="0.25">
      <c r="A397" s="18" t="s">
        <v>2695</v>
      </c>
      <c r="B397" s="18" t="s">
        <v>1894</v>
      </c>
      <c r="C397" s="18" t="s">
        <v>1893</v>
      </c>
      <c r="D397">
        <v>37132</v>
      </c>
      <c r="E397" s="18" t="s">
        <v>2300</v>
      </c>
      <c r="F397" s="3">
        <v>44599.041666666701</v>
      </c>
      <c r="G397" s="20">
        <f t="shared" ca="1" si="6"/>
        <v>3</v>
      </c>
      <c r="H397">
        <f>COUNTIF(BRON!A:A,Tabel6[[#This Row],[Personeelsnummer]])</f>
        <v>2</v>
      </c>
    </row>
    <row r="398" spans="1:8" x14ac:dyDescent="0.25">
      <c r="A398" s="18" t="s">
        <v>2696</v>
      </c>
      <c r="B398" s="18" t="s">
        <v>1896</v>
      </c>
      <c r="C398" s="18" t="s">
        <v>1895</v>
      </c>
      <c r="D398">
        <v>37179</v>
      </c>
      <c r="E398" s="18" t="s">
        <v>2261</v>
      </c>
      <c r="F398" s="3">
        <v>44571.041666666701</v>
      </c>
      <c r="G398" s="20">
        <f t="shared" ca="1" si="6"/>
        <v>4</v>
      </c>
      <c r="H398">
        <f>COUNTIF(BRON!A:A,Tabel6[[#This Row],[Personeelsnummer]])</f>
        <v>2</v>
      </c>
    </row>
    <row r="399" spans="1:8" x14ac:dyDescent="0.25">
      <c r="A399" s="18" t="s">
        <v>2697</v>
      </c>
      <c r="B399" s="18" t="s">
        <v>1898</v>
      </c>
      <c r="C399" s="18" t="s">
        <v>1897</v>
      </c>
      <c r="D399">
        <v>37208</v>
      </c>
      <c r="E399" s="18" t="s">
        <v>2265</v>
      </c>
      <c r="F399" s="3">
        <v>44641.041666666701</v>
      </c>
      <c r="G399" s="20">
        <f t="shared" ca="1" si="6"/>
        <v>3</v>
      </c>
      <c r="H399">
        <f>COUNTIF(BRON!A:A,Tabel6[[#This Row],[Personeelsnummer]])</f>
        <v>1</v>
      </c>
    </row>
    <row r="400" spans="1:8" x14ac:dyDescent="0.25">
      <c r="A400" s="18" t="s">
        <v>2698</v>
      </c>
      <c r="B400" s="18" t="s">
        <v>1900</v>
      </c>
      <c r="C400" s="18" t="s">
        <v>1899</v>
      </c>
      <c r="D400">
        <v>37216</v>
      </c>
      <c r="E400" s="18" t="s">
        <v>2265</v>
      </c>
      <c r="F400" s="3">
        <v>44664.083333333299</v>
      </c>
      <c r="G400" s="20">
        <f t="shared" ca="1" si="6"/>
        <v>3</v>
      </c>
      <c r="H400">
        <f>COUNTIF(BRON!A:A,Tabel6[[#This Row],[Personeelsnummer]])</f>
        <v>1</v>
      </c>
    </row>
    <row r="401" spans="1:8" x14ac:dyDescent="0.25">
      <c r="A401" s="18" t="s">
        <v>2699</v>
      </c>
      <c r="B401" s="18" t="s">
        <v>1401</v>
      </c>
      <c r="C401" s="18" t="s">
        <v>1901</v>
      </c>
      <c r="D401">
        <v>37222</v>
      </c>
      <c r="E401" s="18" t="s">
        <v>2263</v>
      </c>
      <c r="F401" s="3">
        <v>44599.041666666701</v>
      </c>
      <c r="G401" s="20">
        <f t="shared" ca="1" si="6"/>
        <v>3</v>
      </c>
      <c r="H401">
        <f>COUNTIF(BRON!A:A,Tabel6[[#This Row],[Personeelsnummer]])</f>
        <v>1</v>
      </c>
    </row>
    <row r="402" spans="1:8" x14ac:dyDescent="0.25">
      <c r="A402" s="18" t="s">
        <v>2700</v>
      </c>
      <c r="B402" s="18" t="s">
        <v>1903</v>
      </c>
      <c r="C402" s="18" t="s">
        <v>1902</v>
      </c>
      <c r="D402">
        <v>37226</v>
      </c>
      <c r="E402" s="18" t="s">
        <v>2277</v>
      </c>
      <c r="F402" s="3">
        <v>44613.041666666701</v>
      </c>
      <c r="G402" s="20">
        <f t="shared" ca="1" si="6"/>
        <v>3</v>
      </c>
      <c r="H402">
        <f>COUNTIF(BRON!A:A,Tabel6[[#This Row],[Personeelsnummer]])</f>
        <v>0</v>
      </c>
    </row>
    <row r="403" spans="1:8" x14ac:dyDescent="0.25">
      <c r="A403" s="18" t="s">
        <v>2701</v>
      </c>
      <c r="B403" s="18" t="s">
        <v>1905</v>
      </c>
      <c r="C403" s="18" t="s">
        <v>1904</v>
      </c>
      <c r="D403">
        <v>37254</v>
      </c>
      <c r="E403" s="18" t="s">
        <v>2265</v>
      </c>
      <c r="F403" s="3">
        <v>44585.041666666701</v>
      </c>
      <c r="G403" s="20">
        <f t="shared" ca="1" si="6"/>
        <v>3</v>
      </c>
      <c r="H403">
        <f>COUNTIF(BRON!A:A,Tabel6[[#This Row],[Personeelsnummer]])</f>
        <v>2</v>
      </c>
    </row>
    <row r="404" spans="1:8" x14ac:dyDescent="0.25">
      <c r="A404" s="18" t="s">
        <v>2702</v>
      </c>
      <c r="B404" s="18" t="s">
        <v>1907</v>
      </c>
      <c r="C404" s="18" t="s">
        <v>1906</v>
      </c>
      <c r="D404">
        <v>37261</v>
      </c>
      <c r="E404" s="18" t="s">
        <v>2300</v>
      </c>
      <c r="F404" s="3">
        <v>44599.041666666701</v>
      </c>
      <c r="G404" s="20">
        <f t="shared" ca="1" si="6"/>
        <v>3</v>
      </c>
      <c r="H404">
        <f>COUNTIF(BRON!A:A,Tabel6[[#This Row],[Personeelsnummer]])</f>
        <v>4</v>
      </c>
    </row>
    <row r="405" spans="1:8" x14ac:dyDescent="0.25">
      <c r="A405" s="18" t="s">
        <v>2703</v>
      </c>
      <c r="B405" s="18" t="s">
        <v>1909</v>
      </c>
      <c r="C405" s="18" t="s">
        <v>1908</v>
      </c>
      <c r="D405">
        <v>37313</v>
      </c>
      <c r="E405" s="18" t="s">
        <v>2261</v>
      </c>
      <c r="F405" s="3">
        <v>44704.083333333299</v>
      </c>
      <c r="G405" s="20">
        <f t="shared" ca="1" si="6"/>
        <v>3</v>
      </c>
      <c r="H405">
        <f>COUNTIF(BRON!A:A,Tabel6[[#This Row],[Personeelsnummer]])</f>
        <v>1</v>
      </c>
    </row>
    <row r="406" spans="1:8" x14ac:dyDescent="0.25">
      <c r="A406" s="18" t="s">
        <v>2704</v>
      </c>
      <c r="B406" s="18" t="s">
        <v>1911</v>
      </c>
      <c r="C406" s="18" t="s">
        <v>1910</v>
      </c>
      <c r="D406">
        <v>37345</v>
      </c>
      <c r="E406" s="18" t="s">
        <v>2263</v>
      </c>
      <c r="F406" s="3">
        <v>44655.083333333299</v>
      </c>
      <c r="G406" s="20">
        <f t="shared" ca="1" si="6"/>
        <v>3</v>
      </c>
      <c r="H406">
        <f>COUNTIF(BRON!A:A,Tabel6[[#This Row],[Personeelsnummer]])</f>
        <v>3</v>
      </c>
    </row>
    <row r="407" spans="1:8" x14ac:dyDescent="0.25">
      <c r="A407" s="18" t="s">
        <v>2705</v>
      </c>
      <c r="B407" s="18" t="s">
        <v>1552</v>
      </c>
      <c r="C407" s="18" t="s">
        <v>1912</v>
      </c>
      <c r="D407">
        <v>37439</v>
      </c>
      <c r="E407" s="18" t="s">
        <v>2265</v>
      </c>
      <c r="F407" s="3">
        <v>44655.083333333299</v>
      </c>
      <c r="G407" s="20">
        <f t="shared" ca="1" si="6"/>
        <v>3</v>
      </c>
      <c r="H407">
        <f>COUNTIF(BRON!A:A,Tabel6[[#This Row],[Personeelsnummer]])</f>
        <v>4</v>
      </c>
    </row>
    <row r="408" spans="1:8" x14ac:dyDescent="0.25">
      <c r="A408" s="18" t="s">
        <v>2706</v>
      </c>
      <c r="B408" s="18" t="s">
        <v>1913</v>
      </c>
      <c r="C408" s="18" t="s">
        <v>1362</v>
      </c>
      <c r="D408">
        <v>37496</v>
      </c>
      <c r="E408" s="18" t="s">
        <v>2300</v>
      </c>
      <c r="F408" s="3">
        <v>44700.083333333299</v>
      </c>
      <c r="G408" s="20">
        <f t="shared" ca="1" si="6"/>
        <v>3</v>
      </c>
      <c r="H408">
        <f>COUNTIF(BRON!A:A,Tabel6[[#This Row],[Personeelsnummer]])</f>
        <v>4</v>
      </c>
    </row>
    <row r="409" spans="1:8" x14ac:dyDescent="0.25">
      <c r="A409" s="18" t="s">
        <v>2707</v>
      </c>
      <c r="B409" s="18" t="s">
        <v>1915</v>
      </c>
      <c r="C409" s="18" t="s">
        <v>1914</v>
      </c>
      <c r="D409">
        <v>37509</v>
      </c>
      <c r="E409" s="18" t="s">
        <v>2261</v>
      </c>
      <c r="F409" s="3">
        <v>44670.083333333299</v>
      </c>
      <c r="G409" s="20">
        <f t="shared" ca="1" si="6"/>
        <v>3</v>
      </c>
      <c r="H409">
        <f>COUNTIF(BRON!A:A,Tabel6[[#This Row],[Personeelsnummer]])</f>
        <v>3</v>
      </c>
    </row>
    <row r="410" spans="1:8" x14ac:dyDescent="0.25">
      <c r="A410" s="18" t="s">
        <v>2708</v>
      </c>
      <c r="B410" s="18" t="s">
        <v>1917</v>
      </c>
      <c r="C410" s="18" t="s">
        <v>1916</v>
      </c>
      <c r="D410">
        <v>37542</v>
      </c>
      <c r="E410" s="18" t="s">
        <v>2261</v>
      </c>
      <c r="F410" s="3">
        <v>44683.083333333299</v>
      </c>
      <c r="G410" s="20">
        <f t="shared" ca="1" si="6"/>
        <v>3</v>
      </c>
      <c r="H410">
        <f>COUNTIF(BRON!A:A,Tabel6[[#This Row],[Personeelsnummer]])</f>
        <v>5</v>
      </c>
    </row>
    <row r="411" spans="1:8" x14ac:dyDescent="0.25">
      <c r="A411" s="18" t="s">
        <v>2709</v>
      </c>
      <c r="B411" s="18" t="s">
        <v>1919</v>
      </c>
      <c r="C411" s="18" t="s">
        <v>1918</v>
      </c>
      <c r="D411">
        <v>37543</v>
      </c>
      <c r="E411" s="18" t="s">
        <v>2265</v>
      </c>
      <c r="F411" s="3">
        <v>44683.083333333299</v>
      </c>
      <c r="G411" s="20">
        <f t="shared" ca="1" si="6"/>
        <v>3</v>
      </c>
      <c r="H411">
        <f>COUNTIF(BRON!A:A,Tabel6[[#This Row],[Personeelsnummer]])</f>
        <v>6</v>
      </c>
    </row>
    <row r="412" spans="1:8" x14ac:dyDescent="0.25">
      <c r="A412" s="18" t="s">
        <v>2710</v>
      </c>
      <c r="B412" s="18" t="s">
        <v>1921</v>
      </c>
      <c r="C412" s="18" t="s">
        <v>1920</v>
      </c>
      <c r="D412">
        <v>37564</v>
      </c>
      <c r="E412" s="18" t="s">
        <v>2270</v>
      </c>
      <c r="F412" s="3">
        <v>44683.083333333299</v>
      </c>
      <c r="G412" s="20">
        <f t="shared" ca="1" si="6"/>
        <v>3</v>
      </c>
      <c r="H412">
        <f>COUNTIF(BRON!A:A,Tabel6[[#This Row],[Personeelsnummer]])</f>
        <v>1</v>
      </c>
    </row>
    <row r="413" spans="1:8" x14ac:dyDescent="0.25">
      <c r="A413" s="18" t="s">
        <v>2711</v>
      </c>
      <c r="B413" s="18" t="s">
        <v>1345</v>
      </c>
      <c r="C413" s="18" t="s">
        <v>1827</v>
      </c>
      <c r="D413">
        <v>37600</v>
      </c>
      <c r="E413" s="18" t="s">
        <v>2263</v>
      </c>
      <c r="F413" s="3">
        <v>44704.083333333299</v>
      </c>
      <c r="G413" s="20">
        <f t="shared" ca="1" si="6"/>
        <v>3</v>
      </c>
      <c r="H413">
        <f>COUNTIF(BRON!A:A,Tabel6[[#This Row],[Personeelsnummer]])</f>
        <v>0</v>
      </c>
    </row>
    <row r="414" spans="1:8" x14ac:dyDescent="0.25">
      <c r="A414" s="18" t="s">
        <v>2712</v>
      </c>
      <c r="B414" s="18" t="s">
        <v>1706</v>
      </c>
      <c r="C414" s="18" t="s">
        <v>1922</v>
      </c>
      <c r="D414">
        <v>37609</v>
      </c>
      <c r="E414" s="18" t="s">
        <v>2265</v>
      </c>
      <c r="F414" s="3">
        <v>44704.083333333299</v>
      </c>
      <c r="G414" s="20">
        <f t="shared" ca="1" si="6"/>
        <v>3</v>
      </c>
      <c r="H414">
        <f>COUNTIF(BRON!A:A,Tabel6[[#This Row],[Personeelsnummer]])</f>
        <v>2</v>
      </c>
    </row>
    <row r="415" spans="1:8" x14ac:dyDescent="0.25">
      <c r="A415" s="18" t="s">
        <v>2713</v>
      </c>
      <c r="B415" s="18" t="s">
        <v>1567</v>
      </c>
      <c r="C415" s="18" t="s">
        <v>2714</v>
      </c>
      <c r="D415">
        <v>37623</v>
      </c>
      <c r="E415" s="18" t="s">
        <v>2376</v>
      </c>
      <c r="F415" s="3">
        <v>44774.083333333299</v>
      </c>
      <c r="G415" s="20">
        <f t="shared" ca="1" si="6"/>
        <v>3</v>
      </c>
      <c r="H415">
        <f>COUNTIF(BRON!A:A,Tabel6[[#This Row],[Personeelsnummer]])</f>
        <v>0</v>
      </c>
    </row>
    <row r="416" spans="1:8" x14ac:dyDescent="0.25">
      <c r="A416" s="18" t="s">
        <v>2715</v>
      </c>
      <c r="B416" s="18" t="s">
        <v>1600</v>
      </c>
      <c r="C416" s="18" t="s">
        <v>1923</v>
      </c>
      <c r="D416">
        <v>37662</v>
      </c>
      <c r="E416" s="18" t="s">
        <v>2261</v>
      </c>
      <c r="F416" s="3">
        <v>44719.083333333299</v>
      </c>
      <c r="G416" s="20">
        <f t="shared" ca="1" si="6"/>
        <v>3</v>
      </c>
      <c r="H416">
        <f>COUNTIF(BRON!A:A,Tabel6[[#This Row],[Personeelsnummer]])</f>
        <v>9</v>
      </c>
    </row>
    <row r="417" spans="1:8" x14ac:dyDescent="0.25">
      <c r="A417" s="18" t="s">
        <v>2716</v>
      </c>
      <c r="B417" s="18" t="s">
        <v>1924</v>
      </c>
      <c r="C417" s="18" t="s">
        <v>1531</v>
      </c>
      <c r="D417">
        <v>37683</v>
      </c>
      <c r="E417" s="18" t="s">
        <v>2286</v>
      </c>
      <c r="F417" s="3">
        <v>44739.083333333299</v>
      </c>
      <c r="G417" s="20">
        <f t="shared" ca="1" si="6"/>
        <v>3</v>
      </c>
      <c r="H417">
        <f>COUNTIF(BRON!A:A,Tabel6[[#This Row],[Personeelsnummer]])</f>
        <v>1</v>
      </c>
    </row>
    <row r="418" spans="1:8" x14ac:dyDescent="0.25">
      <c r="A418" s="18" t="s">
        <v>2717</v>
      </c>
      <c r="B418" s="18" t="s">
        <v>1397</v>
      </c>
      <c r="C418" s="18" t="s">
        <v>1868</v>
      </c>
      <c r="D418">
        <v>37744</v>
      </c>
      <c r="E418" s="18" t="s">
        <v>2300</v>
      </c>
      <c r="F418" s="3">
        <v>44753.083333333299</v>
      </c>
      <c r="G418" s="20">
        <f t="shared" ca="1" si="6"/>
        <v>3</v>
      </c>
      <c r="H418">
        <f>COUNTIF(BRON!A:A,Tabel6[[#This Row],[Personeelsnummer]])</f>
        <v>1</v>
      </c>
    </row>
    <row r="419" spans="1:8" x14ac:dyDescent="0.25">
      <c r="A419" s="18" t="s">
        <v>2718</v>
      </c>
      <c r="B419" s="18" t="s">
        <v>1926</v>
      </c>
      <c r="C419" s="18" t="s">
        <v>1925</v>
      </c>
      <c r="D419">
        <v>37794</v>
      </c>
      <c r="E419" s="18" t="s">
        <v>2286</v>
      </c>
      <c r="F419" s="3">
        <v>44790.083333333299</v>
      </c>
      <c r="G419" s="20">
        <f t="shared" ca="1" si="6"/>
        <v>3</v>
      </c>
      <c r="H419">
        <f>COUNTIF(BRON!A:A,Tabel6[[#This Row],[Personeelsnummer]])</f>
        <v>1</v>
      </c>
    </row>
    <row r="420" spans="1:8" x14ac:dyDescent="0.25">
      <c r="A420" s="18" t="s">
        <v>2719</v>
      </c>
      <c r="B420" s="18" t="s">
        <v>1552</v>
      </c>
      <c r="C420" s="18" t="s">
        <v>1573</v>
      </c>
      <c r="D420">
        <v>37808</v>
      </c>
      <c r="E420" s="18" t="s">
        <v>2270</v>
      </c>
      <c r="F420" s="3">
        <v>44795.083333333299</v>
      </c>
      <c r="G420" s="20">
        <f t="shared" ca="1" si="6"/>
        <v>3</v>
      </c>
      <c r="H420">
        <f>COUNTIF(BRON!A:A,Tabel6[[#This Row],[Personeelsnummer]])</f>
        <v>1</v>
      </c>
    </row>
    <row r="421" spans="1:8" x14ac:dyDescent="0.25">
      <c r="A421" s="18" t="s">
        <v>2720</v>
      </c>
      <c r="B421" s="18" t="s">
        <v>1749</v>
      </c>
      <c r="C421" s="18" t="s">
        <v>1927</v>
      </c>
      <c r="D421">
        <v>37809</v>
      </c>
      <c r="E421" s="18" t="s">
        <v>2286</v>
      </c>
      <c r="F421" s="3">
        <v>44809.083333333299</v>
      </c>
      <c r="G421" s="20">
        <f t="shared" ca="1" si="6"/>
        <v>3</v>
      </c>
      <c r="H421">
        <f>COUNTIF(BRON!A:A,Tabel6[[#This Row],[Personeelsnummer]])</f>
        <v>3</v>
      </c>
    </row>
    <row r="422" spans="1:8" x14ac:dyDescent="0.25">
      <c r="A422" s="18" t="s">
        <v>2721</v>
      </c>
      <c r="B422" s="18" t="s">
        <v>1929</v>
      </c>
      <c r="C422" s="18" t="s">
        <v>1928</v>
      </c>
      <c r="D422">
        <v>37907</v>
      </c>
      <c r="E422" s="18" t="s">
        <v>2300</v>
      </c>
      <c r="F422" s="3">
        <v>44809.083333333299</v>
      </c>
      <c r="G422" s="20">
        <f t="shared" ca="1" si="6"/>
        <v>3</v>
      </c>
      <c r="H422">
        <f>COUNTIF(BRON!A:A,Tabel6[[#This Row],[Personeelsnummer]])</f>
        <v>0</v>
      </c>
    </row>
    <row r="423" spans="1:8" x14ac:dyDescent="0.25">
      <c r="A423" s="18" t="s">
        <v>2722</v>
      </c>
      <c r="B423" s="18" t="s">
        <v>1930</v>
      </c>
      <c r="C423" s="18" t="s">
        <v>1394</v>
      </c>
      <c r="D423">
        <v>37908</v>
      </c>
      <c r="E423" s="18" t="s">
        <v>2286</v>
      </c>
      <c r="F423" s="3">
        <v>44823.083333333299</v>
      </c>
      <c r="G423" s="20">
        <f t="shared" ca="1" si="6"/>
        <v>3</v>
      </c>
      <c r="H423">
        <f>COUNTIF(BRON!A:A,Tabel6[[#This Row],[Personeelsnummer]])</f>
        <v>1</v>
      </c>
    </row>
    <row r="424" spans="1:8" x14ac:dyDescent="0.25">
      <c r="A424" s="18" t="s">
        <v>2723</v>
      </c>
      <c r="B424" s="18" t="s">
        <v>1932</v>
      </c>
      <c r="C424" s="18" t="s">
        <v>1931</v>
      </c>
      <c r="D424">
        <v>37936</v>
      </c>
      <c r="E424" s="18" t="s">
        <v>2286</v>
      </c>
      <c r="F424" s="3">
        <v>44837.083333333299</v>
      </c>
      <c r="G424" s="20">
        <f t="shared" ca="1" si="6"/>
        <v>3</v>
      </c>
      <c r="H424">
        <f>COUNTIF(BRON!A:A,Tabel6[[#This Row],[Personeelsnummer]])</f>
        <v>2</v>
      </c>
    </row>
    <row r="425" spans="1:8" x14ac:dyDescent="0.25">
      <c r="A425" s="18" t="s">
        <v>2724</v>
      </c>
      <c r="B425" s="18" t="s">
        <v>1591</v>
      </c>
      <c r="C425" s="18" t="s">
        <v>1933</v>
      </c>
      <c r="D425">
        <v>37950</v>
      </c>
      <c r="E425" s="18" t="s">
        <v>2300</v>
      </c>
      <c r="F425" s="3">
        <v>44809.083333333299</v>
      </c>
      <c r="G425" s="20">
        <f t="shared" ca="1" si="6"/>
        <v>3</v>
      </c>
      <c r="H425">
        <f>COUNTIF(BRON!A:A,Tabel6[[#This Row],[Personeelsnummer]])</f>
        <v>3</v>
      </c>
    </row>
    <row r="426" spans="1:8" x14ac:dyDescent="0.25">
      <c r="A426" s="18" t="s">
        <v>2725</v>
      </c>
      <c r="B426" s="18" t="s">
        <v>1935</v>
      </c>
      <c r="C426" s="18" t="s">
        <v>1934</v>
      </c>
      <c r="D426">
        <v>37951</v>
      </c>
      <c r="E426" s="18" t="s">
        <v>2263</v>
      </c>
      <c r="F426" s="3">
        <v>44837.083333333299</v>
      </c>
      <c r="G426" s="20">
        <f t="shared" ca="1" si="6"/>
        <v>3</v>
      </c>
      <c r="H426">
        <f>COUNTIF(BRON!A:A,Tabel6[[#This Row],[Personeelsnummer]])</f>
        <v>1</v>
      </c>
    </row>
    <row r="427" spans="1:8" x14ac:dyDescent="0.25">
      <c r="A427" s="18" t="s">
        <v>2726</v>
      </c>
      <c r="B427" s="18" t="s">
        <v>1937</v>
      </c>
      <c r="C427" s="18" t="s">
        <v>1936</v>
      </c>
      <c r="D427">
        <v>37999</v>
      </c>
      <c r="E427" s="18" t="s">
        <v>2286</v>
      </c>
      <c r="F427" s="3">
        <v>44805.083333333299</v>
      </c>
      <c r="G427" s="20">
        <f t="shared" ca="1" si="6"/>
        <v>3</v>
      </c>
      <c r="H427">
        <f>COUNTIF(BRON!A:A,Tabel6[[#This Row],[Personeelsnummer]])</f>
        <v>0</v>
      </c>
    </row>
    <row r="428" spans="1:8" x14ac:dyDescent="0.25">
      <c r="A428" s="18" t="s">
        <v>2727</v>
      </c>
      <c r="B428" s="18" t="s">
        <v>1585</v>
      </c>
      <c r="C428" s="18" t="s">
        <v>1938</v>
      </c>
      <c r="D428">
        <v>38013</v>
      </c>
      <c r="E428" s="18" t="s">
        <v>2263</v>
      </c>
      <c r="F428" s="3">
        <v>44837.083333333299</v>
      </c>
      <c r="G428" s="20">
        <f t="shared" ca="1" si="6"/>
        <v>3</v>
      </c>
      <c r="H428">
        <f>COUNTIF(BRON!A:A,Tabel6[[#This Row],[Personeelsnummer]])</f>
        <v>2</v>
      </c>
    </row>
    <row r="429" spans="1:8" x14ac:dyDescent="0.25">
      <c r="A429" s="18" t="s">
        <v>2728</v>
      </c>
      <c r="B429" s="18" t="s">
        <v>1939</v>
      </c>
      <c r="C429" s="18" t="s">
        <v>1582</v>
      </c>
      <c r="D429">
        <v>38035</v>
      </c>
      <c r="E429" s="18" t="s">
        <v>2261</v>
      </c>
      <c r="F429" s="3">
        <v>44837.083333333299</v>
      </c>
      <c r="G429" s="20">
        <f t="shared" ca="1" si="6"/>
        <v>3</v>
      </c>
      <c r="H429">
        <f>COUNTIF(BRON!A:A,Tabel6[[#This Row],[Personeelsnummer]])</f>
        <v>1</v>
      </c>
    </row>
    <row r="430" spans="1:8" x14ac:dyDescent="0.25">
      <c r="A430" s="18" t="s">
        <v>2729</v>
      </c>
      <c r="B430" s="18" t="s">
        <v>1943</v>
      </c>
      <c r="C430" s="18" t="s">
        <v>1942</v>
      </c>
      <c r="D430">
        <v>38205</v>
      </c>
      <c r="E430" s="18" t="s">
        <v>2265</v>
      </c>
      <c r="F430" s="3">
        <v>44893.041666666701</v>
      </c>
      <c r="G430" s="20">
        <f t="shared" ca="1" si="6"/>
        <v>3</v>
      </c>
      <c r="H430">
        <f>COUNTIF(BRON!A:A,Tabel6[[#This Row],[Personeelsnummer]])</f>
        <v>0</v>
      </c>
    </row>
    <row r="431" spans="1:8" x14ac:dyDescent="0.25">
      <c r="A431" s="18" t="s">
        <v>2730</v>
      </c>
      <c r="B431" s="18" t="s">
        <v>1944</v>
      </c>
      <c r="C431" s="18" t="s">
        <v>1508</v>
      </c>
      <c r="D431">
        <v>38481</v>
      </c>
      <c r="E431" s="18" t="s">
        <v>2265</v>
      </c>
      <c r="F431" s="3">
        <v>44970.041666666701</v>
      </c>
      <c r="G431" s="20">
        <f t="shared" ca="1" si="6"/>
        <v>2</v>
      </c>
      <c r="H431">
        <f>COUNTIF(BRON!A:A,Tabel6[[#This Row],[Personeelsnummer]])</f>
        <v>4</v>
      </c>
    </row>
    <row r="432" spans="1:8" x14ac:dyDescent="0.25">
      <c r="A432" s="18" t="s">
        <v>2731</v>
      </c>
      <c r="B432" s="18" t="s">
        <v>1555</v>
      </c>
      <c r="C432" s="18" t="s">
        <v>1554</v>
      </c>
      <c r="D432">
        <v>23700</v>
      </c>
      <c r="E432" s="18" t="s">
        <v>2300</v>
      </c>
      <c r="F432" s="3">
        <v>45181.083333333299</v>
      </c>
      <c r="G432" s="20">
        <f t="shared" ca="1" si="6"/>
        <v>2</v>
      </c>
      <c r="H432">
        <f>COUNTIF(BRON!A:A,Tabel6[[#This Row],[Personeelsnummer]])</f>
        <v>3</v>
      </c>
    </row>
    <row r="433" spans="1:8" x14ac:dyDescent="0.25">
      <c r="A433" s="18" t="s">
        <v>2732</v>
      </c>
      <c r="B433" s="18" t="s">
        <v>1621</v>
      </c>
      <c r="C433" s="18" t="s">
        <v>1620</v>
      </c>
      <c r="D433">
        <v>27186</v>
      </c>
      <c r="E433" s="18" t="s">
        <v>2297</v>
      </c>
      <c r="F433" s="3">
        <v>45139.083333333299</v>
      </c>
      <c r="G433" s="20">
        <f t="shared" ca="1" si="6"/>
        <v>2</v>
      </c>
      <c r="H433">
        <f>COUNTIF(BRON!A:A,Tabel6[[#This Row],[Personeelsnummer]])</f>
        <v>2</v>
      </c>
    </row>
    <row r="434" spans="1:8" x14ac:dyDescent="0.25">
      <c r="A434" s="18" t="s">
        <v>2733</v>
      </c>
      <c r="B434" s="18" t="s">
        <v>1783</v>
      </c>
      <c r="C434" s="18" t="s">
        <v>1782</v>
      </c>
      <c r="D434">
        <v>34325</v>
      </c>
      <c r="E434" s="18" t="s">
        <v>2286</v>
      </c>
      <c r="F434" s="3">
        <v>44971.041666666701</v>
      </c>
      <c r="G434" s="20">
        <f t="shared" ca="1" si="6"/>
        <v>2</v>
      </c>
      <c r="H434">
        <f>COUNTIF(BRON!A:A,Tabel6[[#This Row],[Personeelsnummer]])</f>
        <v>5</v>
      </c>
    </row>
    <row r="435" spans="1:8" x14ac:dyDescent="0.25">
      <c r="A435" s="18" t="s">
        <v>2734</v>
      </c>
      <c r="B435" s="18" t="s">
        <v>1941</v>
      </c>
      <c r="C435" s="18" t="s">
        <v>1940</v>
      </c>
      <c r="D435">
        <v>38047</v>
      </c>
      <c r="E435" s="18" t="s">
        <v>2297</v>
      </c>
      <c r="F435" s="3">
        <v>45169.083333333299</v>
      </c>
      <c r="G435" s="20">
        <f t="shared" ca="1" si="6"/>
        <v>2</v>
      </c>
      <c r="H435">
        <f>COUNTIF(BRON!A:A,Tabel6[[#This Row],[Personeelsnummer]])</f>
        <v>0</v>
      </c>
    </row>
    <row r="436" spans="1:8" x14ac:dyDescent="0.25">
      <c r="A436" s="18" t="s">
        <v>2735</v>
      </c>
      <c r="B436" s="18" t="s">
        <v>1391</v>
      </c>
      <c r="C436" s="18" t="s">
        <v>1767</v>
      </c>
      <c r="D436">
        <v>38475</v>
      </c>
      <c r="E436" s="18" t="s">
        <v>2277</v>
      </c>
      <c r="F436" s="3">
        <v>44942.041666666701</v>
      </c>
      <c r="G436" s="20">
        <f t="shared" ca="1" si="6"/>
        <v>3</v>
      </c>
      <c r="H436">
        <f>COUNTIF(BRON!A:A,Tabel6[[#This Row],[Personeelsnummer]])</f>
        <v>4</v>
      </c>
    </row>
    <row r="437" spans="1:8" x14ac:dyDescent="0.25">
      <c r="A437" s="18" t="s">
        <v>2736</v>
      </c>
      <c r="B437" s="18" t="s">
        <v>1363</v>
      </c>
      <c r="C437" s="18" t="s">
        <v>1945</v>
      </c>
      <c r="D437">
        <v>38529</v>
      </c>
      <c r="E437" s="18" t="s">
        <v>2277</v>
      </c>
      <c r="F437" s="3">
        <v>44956.041666666701</v>
      </c>
      <c r="G437" s="20">
        <f t="shared" ca="1" si="6"/>
        <v>2</v>
      </c>
      <c r="H437">
        <f>COUNTIF(BRON!A:A,Tabel6[[#This Row],[Personeelsnummer]])</f>
        <v>5</v>
      </c>
    </row>
    <row r="438" spans="1:8" x14ac:dyDescent="0.25">
      <c r="A438" s="18" t="s">
        <v>2737</v>
      </c>
      <c r="B438" s="18" t="s">
        <v>1947</v>
      </c>
      <c r="C438" s="18" t="s">
        <v>1946</v>
      </c>
      <c r="D438">
        <v>38550</v>
      </c>
      <c r="E438" s="18" t="s">
        <v>2297</v>
      </c>
      <c r="F438" s="3">
        <v>44984.041666666701</v>
      </c>
      <c r="G438" s="20">
        <f t="shared" ca="1" si="6"/>
        <v>2</v>
      </c>
      <c r="H438">
        <f>COUNTIF(BRON!A:A,Tabel6[[#This Row],[Personeelsnummer]])</f>
        <v>0</v>
      </c>
    </row>
    <row r="439" spans="1:8" x14ac:dyDescent="0.25">
      <c r="A439" s="18" t="s">
        <v>2738</v>
      </c>
      <c r="B439" s="18" t="s">
        <v>1949</v>
      </c>
      <c r="C439" s="18" t="s">
        <v>1948</v>
      </c>
      <c r="D439">
        <v>38551</v>
      </c>
      <c r="E439" s="18" t="s">
        <v>2261</v>
      </c>
      <c r="F439" s="3">
        <v>44970.041666666701</v>
      </c>
      <c r="G439" s="20">
        <f t="shared" ca="1" si="6"/>
        <v>2</v>
      </c>
      <c r="H439">
        <f>COUNTIF(BRON!A:A,Tabel6[[#This Row],[Personeelsnummer]])</f>
        <v>1</v>
      </c>
    </row>
    <row r="440" spans="1:8" x14ac:dyDescent="0.25">
      <c r="A440" s="18" t="s">
        <v>2739</v>
      </c>
      <c r="B440" s="18" t="s">
        <v>1951</v>
      </c>
      <c r="C440" s="18" t="s">
        <v>1950</v>
      </c>
      <c r="D440">
        <v>38555</v>
      </c>
      <c r="E440" s="18" t="s">
        <v>2270</v>
      </c>
      <c r="F440" s="3">
        <v>44984.041666666701</v>
      </c>
      <c r="G440" s="20">
        <f t="shared" ca="1" si="6"/>
        <v>2</v>
      </c>
      <c r="H440">
        <f>COUNTIF(BRON!A:A,Tabel6[[#This Row],[Personeelsnummer]])</f>
        <v>1</v>
      </c>
    </row>
    <row r="441" spans="1:8" x14ac:dyDescent="0.25">
      <c r="A441" s="18" t="s">
        <v>2740</v>
      </c>
      <c r="B441" s="18" t="s">
        <v>1841</v>
      </c>
      <c r="C441" s="18" t="s">
        <v>1946</v>
      </c>
      <c r="D441">
        <v>38579</v>
      </c>
      <c r="E441" s="18" t="s">
        <v>2277</v>
      </c>
      <c r="F441" s="3">
        <v>45035.083333333299</v>
      </c>
      <c r="G441" s="20">
        <f t="shared" ca="1" si="6"/>
        <v>2</v>
      </c>
      <c r="H441">
        <f>COUNTIF(BRON!A:A,Tabel6[[#This Row],[Personeelsnummer]])</f>
        <v>1</v>
      </c>
    </row>
    <row r="442" spans="1:8" x14ac:dyDescent="0.25">
      <c r="A442" s="18" t="s">
        <v>2741</v>
      </c>
      <c r="B442" s="18" t="s">
        <v>1953</v>
      </c>
      <c r="C442" s="18" t="s">
        <v>1952</v>
      </c>
      <c r="D442">
        <v>38580</v>
      </c>
      <c r="E442" s="18" t="s">
        <v>2277</v>
      </c>
      <c r="F442" s="3">
        <v>44998.041666666701</v>
      </c>
      <c r="G442" s="20">
        <f t="shared" ca="1" si="6"/>
        <v>2</v>
      </c>
      <c r="H442">
        <f>COUNTIF(BRON!A:A,Tabel6[[#This Row],[Personeelsnummer]])</f>
        <v>2</v>
      </c>
    </row>
    <row r="443" spans="1:8" x14ac:dyDescent="0.25">
      <c r="A443" s="18" t="s">
        <v>2742</v>
      </c>
      <c r="B443" s="18" t="s">
        <v>1955</v>
      </c>
      <c r="C443" s="18" t="s">
        <v>1954</v>
      </c>
      <c r="D443">
        <v>38633</v>
      </c>
      <c r="E443" s="18" t="s">
        <v>2277</v>
      </c>
      <c r="F443" s="3">
        <v>44970.041666666701</v>
      </c>
      <c r="G443" s="20">
        <f t="shared" ca="1" si="6"/>
        <v>2</v>
      </c>
      <c r="H443">
        <f>COUNTIF(BRON!A:A,Tabel6[[#This Row],[Personeelsnummer]])</f>
        <v>4</v>
      </c>
    </row>
    <row r="444" spans="1:8" x14ac:dyDescent="0.25">
      <c r="A444" s="18" t="s">
        <v>2743</v>
      </c>
      <c r="B444" s="18" t="s">
        <v>1957</v>
      </c>
      <c r="C444" s="18" t="s">
        <v>1956</v>
      </c>
      <c r="D444">
        <v>38634</v>
      </c>
      <c r="E444" s="18" t="s">
        <v>2261</v>
      </c>
      <c r="F444" s="3">
        <v>45012.083333333299</v>
      </c>
      <c r="G444" s="20">
        <f t="shared" ca="1" si="6"/>
        <v>2</v>
      </c>
      <c r="H444">
        <f>COUNTIF(BRON!A:A,Tabel6[[#This Row],[Personeelsnummer]])</f>
        <v>3</v>
      </c>
    </row>
    <row r="445" spans="1:8" x14ac:dyDescent="0.25">
      <c r="A445" s="18" t="s">
        <v>2744</v>
      </c>
      <c r="B445" s="18" t="s">
        <v>1959</v>
      </c>
      <c r="C445" s="18" t="s">
        <v>1958</v>
      </c>
      <c r="D445">
        <v>38648</v>
      </c>
      <c r="E445" s="18" t="s">
        <v>2263</v>
      </c>
      <c r="F445" s="3">
        <v>45027.083333333299</v>
      </c>
      <c r="G445" s="20">
        <f t="shared" ca="1" si="6"/>
        <v>2</v>
      </c>
      <c r="H445">
        <f>COUNTIF(BRON!A:A,Tabel6[[#This Row],[Personeelsnummer]])</f>
        <v>4</v>
      </c>
    </row>
    <row r="446" spans="1:8" x14ac:dyDescent="0.25">
      <c r="A446" s="18" t="s">
        <v>2745</v>
      </c>
      <c r="B446" s="18" t="s">
        <v>1961</v>
      </c>
      <c r="C446" s="18" t="s">
        <v>1960</v>
      </c>
      <c r="D446">
        <v>38688</v>
      </c>
      <c r="E446" s="18" t="s">
        <v>2277</v>
      </c>
      <c r="F446" s="3">
        <v>45027.083333333299</v>
      </c>
      <c r="G446" s="20">
        <f t="shared" ca="1" si="6"/>
        <v>2</v>
      </c>
      <c r="H446">
        <f>COUNTIF(BRON!A:A,Tabel6[[#This Row],[Personeelsnummer]])</f>
        <v>3</v>
      </c>
    </row>
    <row r="447" spans="1:8" x14ac:dyDescent="0.25">
      <c r="A447" s="18" t="s">
        <v>2746</v>
      </c>
      <c r="B447" s="18" t="s">
        <v>1963</v>
      </c>
      <c r="C447" s="18" t="s">
        <v>1962</v>
      </c>
      <c r="D447">
        <v>38691</v>
      </c>
      <c r="E447" s="18" t="s">
        <v>2277</v>
      </c>
      <c r="F447" s="3">
        <v>45012.083333333299</v>
      </c>
      <c r="G447" s="20">
        <f t="shared" ca="1" si="6"/>
        <v>2</v>
      </c>
      <c r="H447">
        <f>COUNTIF(BRON!A:A,Tabel6[[#This Row],[Personeelsnummer]])</f>
        <v>0</v>
      </c>
    </row>
    <row r="448" spans="1:8" x14ac:dyDescent="0.25">
      <c r="A448" s="18" t="s">
        <v>2747</v>
      </c>
      <c r="B448" s="18" t="s">
        <v>1965</v>
      </c>
      <c r="C448" s="18" t="s">
        <v>1964</v>
      </c>
      <c r="D448">
        <v>38731</v>
      </c>
      <c r="E448" s="18" t="s">
        <v>2297</v>
      </c>
      <c r="F448" s="3">
        <v>45062.083333333299</v>
      </c>
      <c r="G448" s="20">
        <f t="shared" ca="1" si="6"/>
        <v>2</v>
      </c>
      <c r="H448">
        <f>COUNTIF(BRON!A:A,Tabel6[[#This Row],[Personeelsnummer]])</f>
        <v>1</v>
      </c>
    </row>
    <row r="449" spans="1:8" x14ac:dyDescent="0.25">
      <c r="A449" s="18" t="s">
        <v>2748</v>
      </c>
      <c r="B449" s="18" t="s">
        <v>1967</v>
      </c>
      <c r="C449" s="18" t="s">
        <v>1966</v>
      </c>
      <c r="D449">
        <v>38740</v>
      </c>
      <c r="E449" s="18" t="s">
        <v>2297</v>
      </c>
      <c r="F449" s="3">
        <v>45027.083333333299</v>
      </c>
      <c r="G449" s="20">
        <f t="shared" ca="1" si="6"/>
        <v>2</v>
      </c>
      <c r="H449">
        <f>COUNTIF(BRON!A:A,Tabel6[[#This Row],[Personeelsnummer]])</f>
        <v>3</v>
      </c>
    </row>
    <row r="450" spans="1:8" x14ac:dyDescent="0.25">
      <c r="A450" s="18" t="s">
        <v>2749</v>
      </c>
      <c r="B450" s="18" t="s">
        <v>1969</v>
      </c>
      <c r="C450" s="18" t="s">
        <v>1968</v>
      </c>
      <c r="D450">
        <v>38807</v>
      </c>
      <c r="E450" s="18" t="s">
        <v>2297</v>
      </c>
      <c r="F450" s="3">
        <v>45027.083333333299</v>
      </c>
      <c r="G450" s="20">
        <f t="shared" ref="G450:G513" ca="1" si="7">TRUNC(YEARFRAC(F450,TODAY(),1))</f>
        <v>2</v>
      </c>
      <c r="H450">
        <f>COUNTIF(BRON!A:A,Tabel6[[#This Row],[Personeelsnummer]])</f>
        <v>5</v>
      </c>
    </row>
    <row r="451" spans="1:8" x14ac:dyDescent="0.25">
      <c r="A451" s="18" t="s">
        <v>2750</v>
      </c>
      <c r="B451" s="18" t="s">
        <v>1971</v>
      </c>
      <c r="C451" s="18" t="s">
        <v>1970</v>
      </c>
      <c r="D451">
        <v>38808</v>
      </c>
      <c r="E451" s="18" t="s">
        <v>2277</v>
      </c>
      <c r="F451" s="3">
        <v>45090.083333333299</v>
      </c>
      <c r="G451" s="20">
        <f t="shared" ca="1" si="7"/>
        <v>2</v>
      </c>
      <c r="H451">
        <f>COUNTIF(BRON!A:A,Tabel6[[#This Row],[Personeelsnummer]])</f>
        <v>5</v>
      </c>
    </row>
    <row r="452" spans="1:8" x14ac:dyDescent="0.25">
      <c r="A452" s="18" t="s">
        <v>2751</v>
      </c>
      <c r="B452" s="18" t="s">
        <v>1973</v>
      </c>
      <c r="C452" s="18" t="s">
        <v>1972</v>
      </c>
      <c r="D452">
        <v>38931</v>
      </c>
      <c r="E452" s="18" t="s">
        <v>2261</v>
      </c>
      <c r="F452" s="3">
        <v>45040.083333333299</v>
      </c>
      <c r="G452" s="20">
        <f t="shared" ca="1" si="7"/>
        <v>2</v>
      </c>
      <c r="H452">
        <f>COUNTIF(BRON!A:A,Tabel6[[#This Row],[Personeelsnummer]])</f>
        <v>4</v>
      </c>
    </row>
    <row r="453" spans="1:8" x14ac:dyDescent="0.25">
      <c r="A453" s="18" t="s">
        <v>2752</v>
      </c>
      <c r="B453" s="18" t="s">
        <v>1975</v>
      </c>
      <c r="C453" s="18" t="s">
        <v>1974</v>
      </c>
      <c r="D453">
        <v>38938</v>
      </c>
      <c r="E453" s="18" t="s">
        <v>2263</v>
      </c>
      <c r="F453" s="3">
        <v>45061.083333333299</v>
      </c>
      <c r="G453" s="20">
        <f t="shared" ca="1" si="7"/>
        <v>2</v>
      </c>
      <c r="H453">
        <f>COUNTIF(BRON!A:A,Tabel6[[#This Row],[Personeelsnummer]])</f>
        <v>7</v>
      </c>
    </row>
    <row r="454" spans="1:8" x14ac:dyDescent="0.25">
      <c r="A454" s="18" t="s">
        <v>2753</v>
      </c>
      <c r="B454" s="18" t="s">
        <v>1977</v>
      </c>
      <c r="C454" s="18" t="s">
        <v>1976</v>
      </c>
      <c r="D454">
        <v>39013</v>
      </c>
      <c r="E454" s="18" t="s">
        <v>2277</v>
      </c>
      <c r="F454" s="3">
        <v>45076.083333333299</v>
      </c>
      <c r="G454" s="20">
        <f t="shared" ca="1" si="7"/>
        <v>2</v>
      </c>
      <c r="H454">
        <f>COUNTIF(BRON!A:A,Tabel6[[#This Row],[Personeelsnummer]])</f>
        <v>3</v>
      </c>
    </row>
    <row r="455" spans="1:8" x14ac:dyDescent="0.25">
      <c r="A455" s="18" t="s">
        <v>2754</v>
      </c>
      <c r="B455" s="18" t="s">
        <v>1979</v>
      </c>
      <c r="C455" s="18" t="s">
        <v>1978</v>
      </c>
      <c r="D455">
        <v>39014</v>
      </c>
      <c r="E455" s="18" t="s">
        <v>2261</v>
      </c>
      <c r="F455" s="3">
        <v>45076.083333333299</v>
      </c>
      <c r="G455" s="20">
        <f t="shared" ca="1" si="7"/>
        <v>2</v>
      </c>
      <c r="H455">
        <f>COUNTIF(BRON!A:A,Tabel6[[#This Row],[Personeelsnummer]])</f>
        <v>3</v>
      </c>
    </row>
    <row r="456" spans="1:8" x14ac:dyDescent="0.25">
      <c r="A456" s="18" t="s">
        <v>2755</v>
      </c>
      <c r="B456" s="18" t="s">
        <v>1981</v>
      </c>
      <c r="C456" s="18" t="s">
        <v>1980</v>
      </c>
      <c r="D456">
        <v>39019</v>
      </c>
      <c r="E456" s="18" t="s">
        <v>2263</v>
      </c>
      <c r="F456" s="3">
        <v>45061.083333333299</v>
      </c>
      <c r="G456" s="20">
        <f t="shared" ca="1" si="7"/>
        <v>2</v>
      </c>
      <c r="H456">
        <f>COUNTIF(BRON!A:A,Tabel6[[#This Row],[Personeelsnummer]])</f>
        <v>2</v>
      </c>
    </row>
    <row r="457" spans="1:8" x14ac:dyDescent="0.25">
      <c r="A457" s="18" t="s">
        <v>2756</v>
      </c>
      <c r="B457" s="18" t="s">
        <v>1470</v>
      </c>
      <c r="C457" s="18" t="s">
        <v>1983</v>
      </c>
      <c r="D457">
        <v>39106</v>
      </c>
      <c r="E457" s="18" t="s">
        <v>2261</v>
      </c>
      <c r="F457" s="3">
        <v>45076.083333333299</v>
      </c>
      <c r="G457" s="20">
        <f t="shared" ca="1" si="7"/>
        <v>2</v>
      </c>
      <c r="H457">
        <f>COUNTIF(BRON!A:A,Tabel6[[#This Row],[Personeelsnummer]])</f>
        <v>1</v>
      </c>
    </row>
    <row r="458" spans="1:8" x14ac:dyDescent="0.25">
      <c r="A458" s="18" t="s">
        <v>2757</v>
      </c>
      <c r="B458" s="18" t="s">
        <v>1985</v>
      </c>
      <c r="C458" s="18" t="s">
        <v>1984</v>
      </c>
      <c r="D458">
        <v>39145</v>
      </c>
      <c r="E458" s="18" t="s">
        <v>2297</v>
      </c>
      <c r="F458" s="3">
        <v>45166.083333333299</v>
      </c>
      <c r="G458" s="20">
        <f t="shared" ca="1" si="7"/>
        <v>2</v>
      </c>
      <c r="H458">
        <f>COUNTIF(BRON!A:A,Tabel6[[#This Row],[Personeelsnummer]])</f>
        <v>1</v>
      </c>
    </row>
    <row r="459" spans="1:8" x14ac:dyDescent="0.25">
      <c r="A459" s="18" t="s">
        <v>2758</v>
      </c>
      <c r="B459" s="18" t="s">
        <v>1518</v>
      </c>
      <c r="C459" s="18" t="s">
        <v>1986</v>
      </c>
      <c r="D459">
        <v>39146</v>
      </c>
      <c r="E459" s="18" t="s">
        <v>2277</v>
      </c>
      <c r="F459" s="3">
        <v>45090.083333333299</v>
      </c>
      <c r="G459" s="20">
        <f t="shared" ca="1" si="7"/>
        <v>2</v>
      </c>
      <c r="H459">
        <f>COUNTIF(BRON!A:A,Tabel6[[#This Row],[Personeelsnummer]])</f>
        <v>3</v>
      </c>
    </row>
    <row r="460" spans="1:8" x14ac:dyDescent="0.25">
      <c r="A460" s="18" t="s">
        <v>2759</v>
      </c>
      <c r="B460" s="18" t="s">
        <v>1988</v>
      </c>
      <c r="C460" s="18" t="s">
        <v>1987</v>
      </c>
      <c r="D460">
        <v>39183</v>
      </c>
      <c r="E460" s="18" t="s">
        <v>2297</v>
      </c>
      <c r="F460" s="3">
        <v>45103.083333333299</v>
      </c>
      <c r="G460" s="20">
        <f t="shared" ca="1" si="7"/>
        <v>2</v>
      </c>
      <c r="H460">
        <f>COUNTIF(BRON!A:A,Tabel6[[#This Row],[Personeelsnummer]])</f>
        <v>5</v>
      </c>
    </row>
    <row r="461" spans="1:8" x14ac:dyDescent="0.25">
      <c r="A461" s="18" t="s">
        <v>2760</v>
      </c>
      <c r="B461" s="18" t="s">
        <v>1517</v>
      </c>
      <c r="C461" s="18" t="s">
        <v>1989</v>
      </c>
      <c r="D461">
        <v>39184</v>
      </c>
      <c r="E461" s="18" t="s">
        <v>2297</v>
      </c>
      <c r="F461" s="3">
        <v>45097.083333333299</v>
      </c>
      <c r="G461" s="20">
        <f t="shared" ca="1" si="7"/>
        <v>2</v>
      </c>
      <c r="H461">
        <f>COUNTIF(BRON!A:A,Tabel6[[#This Row],[Personeelsnummer]])</f>
        <v>3</v>
      </c>
    </row>
    <row r="462" spans="1:8" x14ac:dyDescent="0.25">
      <c r="A462" s="18" t="s">
        <v>2761</v>
      </c>
      <c r="B462" s="18" t="s">
        <v>1572</v>
      </c>
      <c r="C462" s="18" t="s">
        <v>1990</v>
      </c>
      <c r="D462">
        <v>39251</v>
      </c>
      <c r="E462" s="18" t="s">
        <v>2277</v>
      </c>
      <c r="F462" s="3">
        <v>45103.083333333299</v>
      </c>
      <c r="G462" s="20">
        <f t="shared" ca="1" si="7"/>
        <v>2</v>
      </c>
      <c r="H462">
        <f>COUNTIF(BRON!A:A,Tabel6[[#This Row],[Personeelsnummer]])</f>
        <v>0</v>
      </c>
    </row>
    <row r="463" spans="1:8" x14ac:dyDescent="0.25">
      <c r="A463" s="18" t="s">
        <v>2762</v>
      </c>
      <c r="B463" s="18" t="s">
        <v>1971</v>
      </c>
      <c r="C463" s="18" t="s">
        <v>1991</v>
      </c>
      <c r="D463">
        <v>39267</v>
      </c>
      <c r="E463" s="18" t="s">
        <v>2297</v>
      </c>
      <c r="F463" s="3">
        <v>45173.083333333299</v>
      </c>
      <c r="G463" s="20">
        <f t="shared" ca="1" si="7"/>
        <v>2</v>
      </c>
      <c r="H463">
        <f>COUNTIF(BRON!A:A,Tabel6[[#This Row],[Personeelsnummer]])</f>
        <v>1</v>
      </c>
    </row>
    <row r="464" spans="1:8" x14ac:dyDescent="0.25">
      <c r="A464" s="18" t="s">
        <v>2763</v>
      </c>
      <c r="B464" s="18" t="s">
        <v>1993</v>
      </c>
      <c r="C464" s="18" t="s">
        <v>1992</v>
      </c>
      <c r="D464">
        <v>39358</v>
      </c>
      <c r="E464" s="18" t="s">
        <v>2297</v>
      </c>
      <c r="F464" s="3">
        <v>45124.083333333299</v>
      </c>
      <c r="G464" s="20">
        <f t="shared" ca="1" si="7"/>
        <v>2</v>
      </c>
      <c r="H464">
        <f>COUNTIF(BRON!A:A,Tabel6[[#This Row],[Personeelsnummer]])</f>
        <v>5</v>
      </c>
    </row>
    <row r="465" spans="1:8" x14ac:dyDescent="0.25">
      <c r="A465" s="18" t="s">
        <v>2764</v>
      </c>
      <c r="B465" s="18" t="s">
        <v>1995</v>
      </c>
      <c r="C465" s="18" t="s">
        <v>1994</v>
      </c>
      <c r="D465">
        <v>39379</v>
      </c>
      <c r="E465" s="18" t="s">
        <v>2297</v>
      </c>
      <c r="F465" s="3">
        <v>45194.083333333299</v>
      </c>
      <c r="G465" s="20">
        <f t="shared" ca="1" si="7"/>
        <v>2</v>
      </c>
      <c r="H465">
        <f>COUNTIF(BRON!A:A,Tabel6[[#This Row],[Personeelsnummer]])</f>
        <v>2</v>
      </c>
    </row>
    <row r="466" spans="1:8" x14ac:dyDescent="0.25">
      <c r="A466" s="18" t="s">
        <v>2765</v>
      </c>
      <c r="B466" s="18" t="s">
        <v>1997</v>
      </c>
      <c r="C466" s="18" t="s">
        <v>1996</v>
      </c>
      <c r="D466">
        <v>39528</v>
      </c>
      <c r="E466" s="18" t="s">
        <v>2297</v>
      </c>
      <c r="F466" s="3">
        <v>45236.041666666701</v>
      </c>
      <c r="G466" s="20">
        <f t="shared" ca="1" si="7"/>
        <v>2</v>
      </c>
      <c r="H466">
        <f>COUNTIF(BRON!A:A,Tabel6[[#This Row],[Personeelsnummer]])</f>
        <v>4</v>
      </c>
    </row>
    <row r="467" spans="1:8" x14ac:dyDescent="0.25">
      <c r="A467" s="18" t="s">
        <v>2766</v>
      </c>
      <c r="B467" s="18" t="s">
        <v>2001</v>
      </c>
      <c r="C467" s="18" t="s">
        <v>2000</v>
      </c>
      <c r="D467">
        <v>39532</v>
      </c>
      <c r="E467" s="18" t="s">
        <v>2297</v>
      </c>
      <c r="F467" s="3">
        <v>45208.083333333299</v>
      </c>
      <c r="G467" s="20">
        <f t="shared" ca="1" si="7"/>
        <v>2</v>
      </c>
      <c r="H467">
        <f>COUNTIF(BRON!A:A,Tabel6[[#This Row],[Personeelsnummer]])</f>
        <v>7</v>
      </c>
    </row>
    <row r="468" spans="1:8" x14ac:dyDescent="0.25">
      <c r="A468" s="18" t="s">
        <v>2767</v>
      </c>
      <c r="B468" s="18" t="s">
        <v>2002</v>
      </c>
      <c r="C468" s="18" t="s">
        <v>1922</v>
      </c>
      <c r="D468">
        <v>39558</v>
      </c>
      <c r="E468" s="18" t="s">
        <v>2286</v>
      </c>
      <c r="F468" s="3">
        <v>45208.083333333299</v>
      </c>
      <c r="G468" s="20">
        <f t="shared" ca="1" si="7"/>
        <v>2</v>
      </c>
      <c r="H468">
        <f>COUNTIF(BRON!A:A,Tabel6[[#This Row],[Personeelsnummer]])</f>
        <v>2</v>
      </c>
    </row>
    <row r="469" spans="1:8" x14ac:dyDescent="0.25">
      <c r="A469" s="18" t="s">
        <v>2768</v>
      </c>
      <c r="B469" s="18" t="s">
        <v>2004</v>
      </c>
      <c r="C469" s="18" t="s">
        <v>2003</v>
      </c>
      <c r="D469">
        <v>39575</v>
      </c>
      <c r="E469" s="18" t="s">
        <v>2277</v>
      </c>
      <c r="F469" s="3">
        <v>45222.083333333299</v>
      </c>
      <c r="G469" s="20">
        <f t="shared" ca="1" si="7"/>
        <v>2</v>
      </c>
      <c r="H469">
        <f>COUNTIF(BRON!A:A,Tabel6[[#This Row],[Personeelsnummer]])</f>
        <v>2</v>
      </c>
    </row>
    <row r="470" spans="1:8" x14ac:dyDescent="0.25">
      <c r="A470" s="18" t="s">
        <v>2769</v>
      </c>
      <c r="B470" s="18" t="s">
        <v>2006</v>
      </c>
      <c r="C470" s="18" t="s">
        <v>2005</v>
      </c>
      <c r="D470">
        <v>39581</v>
      </c>
      <c r="E470" s="18" t="s">
        <v>2277</v>
      </c>
      <c r="F470" s="3">
        <v>45194.083333333299</v>
      </c>
      <c r="G470" s="20">
        <f t="shared" ca="1" si="7"/>
        <v>2</v>
      </c>
      <c r="H470">
        <f>COUNTIF(BRON!A:A,Tabel6[[#This Row],[Personeelsnummer]])</f>
        <v>5</v>
      </c>
    </row>
    <row r="471" spans="1:8" x14ac:dyDescent="0.25">
      <c r="A471" s="18" t="s">
        <v>2770</v>
      </c>
      <c r="B471" s="18" t="s">
        <v>2008</v>
      </c>
      <c r="C471" s="18" t="s">
        <v>2007</v>
      </c>
      <c r="D471">
        <v>39610</v>
      </c>
      <c r="E471" s="18" t="s">
        <v>2261</v>
      </c>
      <c r="F471" s="3">
        <v>45208.083333333299</v>
      </c>
      <c r="G471" s="20">
        <f t="shared" ca="1" si="7"/>
        <v>2</v>
      </c>
      <c r="H471">
        <f>COUNTIF(BRON!A:A,Tabel6[[#This Row],[Personeelsnummer]])</f>
        <v>1</v>
      </c>
    </row>
    <row r="472" spans="1:8" x14ac:dyDescent="0.25">
      <c r="A472" s="18" t="s">
        <v>2771</v>
      </c>
      <c r="B472" s="18" t="s">
        <v>2010</v>
      </c>
      <c r="C472" s="18" t="s">
        <v>2009</v>
      </c>
      <c r="D472">
        <v>39651</v>
      </c>
      <c r="E472" s="18" t="s">
        <v>2265</v>
      </c>
      <c r="F472" s="3">
        <v>45208.083333333299</v>
      </c>
      <c r="G472" s="20">
        <f t="shared" ca="1" si="7"/>
        <v>2</v>
      </c>
      <c r="H472">
        <f>COUNTIF(BRON!A:A,Tabel6[[#This Row],[Personeelsnummer]])</f>
        <v>4</v>
      </c>
    </row>
    <row r="473" spans="1:8" x14ac:dyDescent="0.25">
      <c r="A473" s="18" t="s">
        <v>2772</v>
      </c>
      <c r="B473" s="18" t="s">
        <v>2012</v>
      </c>
      <c r="C473" s="18" t="s">
        <v>2011</v>
      </c>
      <c r="D473">
        <v>39654</v>
      </c>
      <c r="E473" s="18" t="s">
        <v>2265</v>
      </c>
      <c r="F473" s="3">
        <v>45222.083333333299</v>
      </c>
      <c r="G473" s="20">
        <f t="shared" ca="1" si="7"/>
        <v>2</v>
      </c>
      <c r="H473">
        <f>COUNTIF(BRON!A:A,Tabel6[[#This Row],[Personeelsnummer]])</f>
        <v>2</v>
      </c>
    </row>
    <row r="474" spans="1:8" x14ac:dyDescent="0.25">
      <c r="A474" s="18" t="s">
        <v>2773</v>
      </c>
      <c r="B474" s="18" t="s">
        <v>1828</v>
      </c>
      <c r="C474" s="18" t="s">
        <v>2013</v>
      </c>
      <c r="D474">
        <v>39660</v>
      </c>
      <c r="E474" s="18" t="s">
        <v>2261</v>
      </c>
      <c r="F474" s="3">
        <v>45222.083333333299</v>
      </c>
      <c r="G474" s="20">
        <f t="shared" ca="1" si="7"/>
        <v>2</v>
      </c>
      <c r="H474">
        <f>COUNTIF(BRON!A:A,Tabel6[[#This Row],[Personeelsnummer]])</f>
        <v>6</v>
      </c>
    </row>
    <row r="475" spans="1:8" x14ac:dyDescent="0.25">
      <c r="A475" s="18" t="s">
        <v>2774</v>
      </c>
      <c r="B475" s="18" t="s">
        <v>2015</v>
      </c>
      <c r="C475" s="18" t="s">
        <v>2014</v>
      </c>
      <c r="D475">
        <v>39673</v>
      </c>
      <c r="E475" s="18" t="s">
        <v>2270</v>
      </c>
      <c r="F475" s="3">
        <v>45236.041666666701</v>
      </c>
      <c r="G475" s="20">
        <f t="shared" ca="1" si="7"/>
        <v>2</v>
      </c>
      <c r="H475">
        <f>COUNTIF(BRON!A:A,Tabel6[[#This Row],[Personeelsnummer]])</f>
        <v>5</v>
      </c>
    </row>
    <row r="476" spans="1:8" x14ac:dyDescent="0.25">
      <c r="A476" s="18" t="s">
        <v>2775</v>
      </c>
      <c r="B476" s="18" t="s">
        <v>2017</v>
      </c>
      <c r="C476" s="18" t="s">
        <v>2016</v>
      </c>
      <c r="D476">
        <v>39677</v>
      </c>
      <c r="E476" s="18" t="s">
        <v>2265</v>
      </c>
      <c r="F476" s="3">
        <v>45222.083333333299</v>
      </c>
      <c r="G476" s="20">
        <f t="shared" ca="1" si="7"/>
        <v>2</v>
      </c>
      <c r="H476">
        <f>COUNTIF(BRON!A:A,Tabel6[[#This Row],[Personeelsnummer]])</f>
        <v>1</v>
      </c>
    </row>
    <row r="477" spans="1:8" x14ac:dyDescent="0.25">
      <c r="A477" s="18" t="s">
        <v>2776</v>
      </c>
      <c r="B477" s="18" t="s">
        <v>1070</v>
      </c>
      <c r="C477" s="18" t="s">
        <v>885</v>
      </c>
      <c r="D477">
        <v>39712</v>
      </c>
      <c r="E477" s="18" t="s">
        <v>2261</v>
      </c>
      <c r="F477" s="3">
        <v>45236.041666666701</v>
      </c>
      <c r="G477" s="20">
        <f t="shared" ca="1" si="7"/>
        <v>2</v>
      </c>
      <c r="H477">
        <f>COUNTIF(BRON!A:A,Tabel6[[#This Row],[Personeelsnummer]])</f>
        <v>5</v>
      </c>
    </row>
    <row r="478" spans="1:8" x14ac:dyDescent="0.25">
      <c r="A478" s="18" t="s">
        <v>2777</v>
      </c>
      <c r="B478" s="18" t="s">
        <v>2021</v>
      </c>
      <c r="C478" s="18" t="s">
        <v>2020</v>
      </c>
      <c r="D478">
        <v>39728</v>
      </c>
      <c r="E478" s="18" t="s">
        <v>2263</v>
      </c>
      <c r="F478" s="3">
        <v>45250.041666666701</v>
      </c>
      <c r="G478" s="20">
        <f t="shared" ca="1" si="7"/>
        <v>2</v>
      </c>
      <c r="H478">
        <f>COUNTIF(BRON!A:A,Tabel6[[#This Row],[Personeelsnummer]])</f>
        <v>2</v>
      </c>
    </row>
    <row r="479" spans="1:8" x14ac:dyDescent="0.25">
      <c r="A479" s="18" t="s">
        <v>2778</v>
      </c>
      <c r="B479" s="18" t="s">
        <v>2023</v>
      </c>
      <c r="C479" s="18" t="s">
        <v>2022</v>
      </c>
      <c r="D479">
        <v>39779</v>
      </c>
      <c r="E479" s="18" t="s">
        <v>2261</v>
      </c>
      <c r="F479" s="3">
        <v>45250.041666666701</v>
      </c>
      <c r="G479" s="20">
        <f t="shared" ca="1" si="7"/>
        <v>2</v>
      </c>
      <c r="H479">
        <f>COUNTIF(BRON!A:A,Tabel6[[#This Row],[Personeelsnummer]])</f>
        <v>7</v>
      </c>
    </row>
    <row r="480" spans="1:8" x14ac:dyDescent="0.25">
      <c r="A480" s="18" t="s">
        <v>2779</v>
      </c>
      <c r="B480" s="18" t="s">
        <v>2024</v>
      </c>
      <c r="C480" s="18" t="s">
        <v>1925</v>
      </c>
      <c r="D480">
        <v>39829</v>
      </c>
      <c r="E480" s="18" t="s">
        <v>2263</v>
      </c>
      <c r="F480" s="3">
        <v>45264.041666666701</v>
      </c>
      <c r="G480" s="20">
        <f t="shared" ca="1" si="7"/>
        <v>2</v>
      </c>
      <c r="H480">
        <f>COUNTIF(BRON!A:A,Tabel6[[#This Row],[Personeelsnummer]])</f>
        <v>2</v>
      </c>
    </row>
    <row r="481" spans="1:8" x14ac:dyDescent="0.25">
      <c r="A481" s="18" t="s">
        <v>2780</v>
      </c>
      <c r="B481" s="18" t="s">
        <v>2026</v>
      </c>
      <c r="C481" s="18" t="s">
        <v>2025</v>
      </c>
      <c r="D481">
        <v>39831</v>
      </c>
      <c r="E481" s="18" t="s">
        <v>2277</v>
      </c>
      <c r="F481" s="3">
        <v>45264.041666666701</v>
      </c>
      <c r="G481" s="20">
        <f t="shared" ca="1" si="7"/>
        <v>2</v>
      </c>
      <c r="H481">
        <f>COUNTIF(BRON!A:A,Tabel6[[#This Row],[Personeelsnummer]])</f>
        <v>2</v>
      </c>
    </row>
    <row r="482" spans="1:8" x14ac:dyDescent="0.25">
      <c r="A482" s="18" t="s">
        <v>2781</v>
      </c>
      <c r="B482" s="18" t="s">
        <v>2028</v>
      </c>
      <c r="C482" s="18" t="s">
        <v>2027</v>
      </c>
      <c r="D482">
        <v>39850</v>
      </c>
      <c r="E482" s="18" t="s">
        <v>2300</v>
      </c>
      <c r="F482" s="3">
        <v>45264.041666666701</v>
      </c>
      <c r="G482" s="20">
        <f t="shared" ca="1" si="7"/>
        <v>2</v>
      </c>
      <c r="H482">
        <f>COUNTIF(BRON!A:A,Tabel6[[#This Row],[Personeelsnummer]])</f>
        <v>3</v>
      </c>
    </row>
    <row r="483" spans="1:8" x14ac:dyDescent="0.25">
      <c r="A483" s="18" t="s">
        <v>2782</v>
      </c>
      <c r="B483" s="18" t="s">
        <v>2030</v>
      </c>
      <c r="C483" s="18" t="s">
        <v>2029</v>
      </c>
      <c r="D483">
        <v>39856</v>
      </c>
      <c r="E483" s="18" t="s">
        <v>2265</v>
      </c>
      <c r="F483" s="3">
        <v>45264.041666666701</v>
      </c>
      <c r="G483" s="20">
        <f t="shared" ca="1" si="7"/>
        <v>2</v>
      </c>
      <c r="H483">
        <f>COUNTIF(BRON!A:A,Tabel6[[#This Row],[Personeelsnummer]])</f>
        <v>2</v>
      </c>
    </row>
    <row r="484" spans="1:8" x14ac:dyDescent="0.25">
      <c r="A484" s="18" t="s">
        <v>2783</v>
      </c>
      <c r="B484" s="18" t="s">
        <v>2032</v>
      </c>
      <c r="C484" s="18" t="s">
        <v>2031</v>
      </c>
      <c r="D484">
        <v>39858</v>
      </c>
      <c r="E484" s="18" t="s">
        <v>2277</v>
      </c>
      <c r="F484" s="3">
        <v>45264.041666666701</v>
      </c>
      <c r="G484" s="20">
        <f t="shared" ca="1" si="7"/>
        <v>2</v>
      </c>
      <c r="H484">
        <f>COUNTIF(BRON!A:A,Tabel6[[#This Row],[Personeelsnummer]])</f>
        <v>2</v>
      </c>
    </row>
    <row r="485" spans="1:8" x14ac:dyDescent="0.25">
      <c r="A485" s="18" t="s">
        <v>2784</v>
      </c>
      <c r="B485" s="18" t="s">
        <v>1981</v>
      </c>
      <c r="C485" s="18" t="s">
        <v>2033</v>
      </c>
      <c r="D485">
        <v>39859</v>
      </c>
      <c r="E485" s="18" t="s">
        <v>2261</v>
      </c>
      <c r="F485" s="3">
        <v>45264.041666666701</v>
      </c>
      <c r="G485" s="20">
        <f t="shared" ca="1" si="7"/>
        <v>2</v>
      </c>
      <c r="H485">
        <f>COUNTIF(BRON!A:A,Tabel6[[#This Row],[Personeelsnummer]])</f>
        <v>4</v>
      </c>
    </row>
    <row r="486" spans="1:8" x14ac:dyDescent="0.25">
      <c r="A486" s="18" t="s">
        <v>2785</v>
      </c>
      <c r="B486" s="18" t="s">
        <v>1672</v>
      </c>
      <c r="C486" s="18" t="s">
        <v>1671</v>
      </c>
      <c r="D486">
        <v>29674</v>
      </c>
      <c r="E486" s="18" t="s">
        <v>2300</v>
      </c>
      <c r="F486" s="3">
        <v>45341.041666666701</v>
      </c>
      <c r="G486" s="20">
        <f t="shared" ca="1" si="7"/>
        <v>1</v>
      </c>
      <c r="H486">
        <f>COUNTIF(BRON!A:A,Tabel6[[#This Row],[Personeelsnummer]])</f>
        <v>1</v>
      </c>
    </row>
    <row r="487" spans="1:8" x14ac:dyDescent="0.25">
      <c r="A487" s="18" t="s">
        <v>2786</v>
      </c>
      <c r="B487" s="18" t="s">
        <v>1757</v>
      </c>
      <c r="C487" s="18" t="s">
        <v>1756</v>
      </c>
      <c r="D487">
        <v>33085</v>
      </c>
      <c r="E487" s="18" t="s">
        <v>2265</v>
      </c>
      <c r="F487" s="3">
        <v>45460.083333333299</v>
      </c>
      <c r="G487" s="20">
        <f t="shared" ca="1" si="7"/>
        <v>1</v>
      </c>
      <c r="H487">
        <f>COUNTIF(BRON!A:A,Tabel6[[#This Row],[Personeelsnummer]])</f>
        <v>2</v>
      </c>
    </row>
    <row r="488" spans="1:8" x14ac:dyDescent="0.25">
      <c r="A488" s="18" t="s">
        <v>2787</v>
      </c>
      <c r="B488" s="18" t="s">
        <v>1426</v>
      </c>
      <c r="C488" s="18" t="s">
        <v>1762</v>
      </c>
      <c r="D488">
        <v>33551</v>
      </c>
      <c r="E488" s="18" t="s">
        <v>2270</v>
      </c>
      <c r="F488" s="3">
        <v>45372.041666666701</v>
      </c>
      <c r="G488" s="20">
        <f t="shared" ca="1" si="7"/>
        <v>1</v>
      </c>
      <c r="H488">
        <f>COUNTIF(BRON!A:A,Tabel6[[#This Row],[Personeelsnummer]])</f>
        <v>2</v>
      </c>
    </row>
    <row r="489" spans="1:8" x14ac:dyDescent="0.25">
      <c r="A489" s="18" t="s">
        <v>2788</v>
      </c>
      <c r="B489" s="18" t="s">
        <v>1552</v>
      </c>
      <c r="C489" s="18" t="s">
        <v>1982</v>
      </c>
      <c r="D489">
        <v>39101</v>
      </c>
      <c r="E489" s="18" t="s">
        <v>2297</v>
      </c>
      <c r="F489" s="3">
        <v>45425.083333333299</v>
      </c>
      <c r="G489" s="20">
        <f t="shared" ca="1" si="7"/>
        <v>1</v>
      </c>
      <c r="H489">
        <f>COUNTIF(BRON!A:A,Tabel6[[#This Row],[Personeelsnummer]])</f>
        <v>0</v>
      </c>
    </row>
    <row r="490" spans="1:8" x14ac:dyDescent="0.25">
      <c r="A490" s="18" t="s">
        <v>2789</v>
      </c>
      <c r="B490" s="18" t="s">
        <v>1999</v>
      </c>
      <c r="C490" s="18" t="s">
        <v>1998</v>
      </c>
      <c r="D490">
        <v>39529</v>
      </c>
      <c r="E490" s="18" t="s">
        <v>2297</v>
      </c>
      <c r="F490" s="3">
        <v>45286.041666666701</v>
      </c>
      <c r="G490" s="20">
        <f t="shared" ca="1" si="7"/>
        <v>2</v>
      </c>
      <c r="H490">
        <f>COUNTIF(BRON!A:A,Tabel6[[#This Row],[Personeelsnummer]])</f>
        <v>4</v>
      </c>
    </row>
    <row r="491" spans="1:8" x14ac:dyDescent="0.25">
      <c r="A491" s="18" t="s">
        <v>2790</v>
      </c>
      <c r="B491" s="18" t="s">
        <v>2019</v>
      </c>
      <c r="C491" s="18" t="s">
        <v>2018</v>
      </c>
      <c r="D491">
        <v>39715</v>
      </c>
      <c r="E491" s="18" t="s">
        <v>2265</v>
      </c>
      <c r="F491" s="3">
        <v>45313.041666666701</v>
      </c>
      <c r="G491" s="20">
        <f t="shared" ca="1" si="7"/>
        <v>1</v>
      </c>
      <c r="H491">
        <f>COUNTIF(BRON!A:A,Tabel6[[#This Row],[Personeelsnummer]])</f>
        <v>0</v>
      </c>
    </row>
    <row r="492" spans="1:8" x14ac:dyDescent="0.25">
      <c r="A492" s="18" t="s">
        <v>2791</v>
      </c>
      <c r="B492" s="18" t="s">
        <v>2035</v>
      </c>
      <c r="C492" s="18" t="s">
        <v>2034</v>
      </c>
      <c r="D492">
        <v>39889</v>
      </c>
      <c r="E492" s="18" t="s">
        <v>2286</v>
      </c>
      <c r="F492" s="3">
        <v>45293.041666666701</v>
      </c>
      <c r="G492" s="20">
        <f t="shared" ca="1" si="7"/>
        <v>2</v>
      </c>
      <c r="H492">
        <f>COUNTIF(BRON!A:A,Tabel6[[#This Row],[Personeelsnummer]])</f>
        <v>1</v>
      </c>
    </row>
    <row r="493" spans="1:8" x14ac:dyDescent="0.25">
      <c r="A493" s="18" t="s">
        <v>2792</v>
      </c>
      <c r="B493" s="18" t="s">
        <v>2037</v>
      </c>
      <c r="C493" s="18" t="s">
        <v>2036</v>
      </c>
      <c r="D493">
        <v>39899</v>
      </c>
      <c r="E493" s="18" t="s">
        <v>2297</v>
      </c>
      <c r="F493" s="3">
        <v>45315.041666666701</v>
      </c>
      <c r="G493" s="20">
        <f t="shared" ca="1" si="7"/>
        <v>1</v>
      </c>
      <c r="H493">
        <f>COUNTIF(BRON!A:A,Tabel6[[#This Row],[Personeelsnummer]])</f>
        <v>1</v>
      </c>
    </row>
    <row r="494" spans="1:8" x14ac:dyDescent="0.25">
      <c r="A494" s="18" t="s">
        <v>2793</v>
      </c>
      <c r="B494" s="18" t="s">
        <v>2039</v>
      </c>
      <c r="C494" s="18" t="s">
        <v>2038</v>
      </c>
      <c r="D494">
        <v>39901</v>
      </c>
      <c r="E494" s="18" t="s">
        <v>2297</v>
      </c>
      <c r="F494" s="3">
        <v>45307.041666666701</v>
      </c>
      <c r="G494" s="20">
        <f t="shared" ca="1" si="7"/>
        <v>2</v>
      </c>
      <c r="H494">
        <f>COUNTIF(BRON!A:A,Tabel6[[#This Row],[Personeelsnummer]])</f>
        <v>1</v>
      </c>
    </row>
    <row r="495" spans="1:8" x14ac:dyDescent="0.25">
      <c r="A495" s="18" t="s">
        <v>2794</v>
      </c>
      <c r="B495" s="18" t="s">
        <v>2041</v>
      </c>
      <c r="C495" s="18" t="s">
        <v>2040</v>
      </c>
      <c r="D495">
        <v>39907</v>
      </c>
      <c r="E495" s="18" t="s">
        <v>2265</v>
      </c>
      <c r="F495" s="3">
        <v>45299.041666666701</v>
      </c>
      <c r="G495" s="20">
        <f t="shared" ca="1" si="7"/>
        <v>2</v>
      </c>
      <c r="H495">
        <f>COUNTIF(BRON!A:A,Tabel6[[#This Row],[Personeelsnummer]])</f>
        <v>1</v>
      </c>
    </row>
    <row r="496" spans="1:8" x14ac:dyDescent="0.25">
      <c r="A496" s="18" t="s">
        <v>2795</v>
      </c>
      <c r="B496" s="18" t="s">
        <v>2042</v>
      </c>
      <c r="C496" s="18" t="s">
        <v>1728</v>
      </c>
      <c r="D496">
        <v>39927</v>
      </c>
      <c r="E496" s="18" t="s">
        <v>2297</v>
      </c>
      <c r="F496" s="3">
        <v>45307.041666666701</v>
      </c>
      <c r="G496" s="20">
        <f t="shared" ca="1" si="7"/>
        <v>2</v>
      </c>
      <c r="H496">
        <f>COUNTIF(BRON!A:A,Tabel6[[#This Row],[Personeelsnummer]])</f>
        <v>2</v>
      </c>
    </row>
    <row r="497" spans="1:8" x14ac:dyDescent="0.25">
      <c r="A497" s="18" t="s">
        <v>2796</v>
      </c>
      <c r="B497" s="18" t="s">
        <v>2045</v>
      </c>
      <c r="C497" s="18" t="s">
        <v>2044</v>
      </c>
      <c r="D497">
        <v>39929</v>
      </c>
      <c r="E497" s="18" t="s">
        <v>2297</v>
      </c>
      <c r="F497" s="3">
        <v>45299.041666666701</v>
      </c>
      <c r="G497" s="20">
        <f t="shared" ca="1" si="7"/>
        <v>2</v>
      </c>
      <c r="H497">
        <f>COUNTIF(BRON!A:A,Tabel6[[#This Row],[Personeelsnummer]])</f>
        <v>9</v>
      </c>
    </row>
    <row r="498" spans="1:8" x14ac:dyDescent="0.25">
      <c r="A498" s="18" t="s">
        <v>2797</v>
      </c>
      <c r="B498" s="18" t="s">
        <v>2047</v>
      </c>
      <c r="C498" s="18" t="s">
        <v>2046</v>
      </c>
      <c r="D498">
        <v>39930</v>
      </c>
      <c r="E498" s="18" t="s">
        <v>2297</v>
      </c>
      <c r="F498" s="3">
        <v>45307.041666666701</v>
      </c>
      <c r="G498" s="20">
        <f t="shared" ca="1" si="7"/>
        <v>2</v>
      </c>
      <c r="H498">
        <f>COUNTIF(BRON!A:A,Tabel6[[#This Row],[Personeelsnummer]])</f>
        <v>3</v>
      </c>
    </row>
    <row r="499" spans="1:8" x14ac:dyDescent="0.25">
      <c r="A499" s="18" t="s">
        <v>2798</v>
      </c>
      <c r="B499" s="18" t="s">
        <v>2049</v>
      </c>
      <c r="C499" s="18" t="s">
        <v>2048</v>
      </c>
      <c r="D499">
        <v>39985</v>
      </c>
      <c r="E499" s="18" t="s">
        <v>2297</v>
      </c>
      <c r="F499" s="3">
        <v>45321.041666666701</v>
      </c>
      <c r="G499" s="20">
        <f t="shared" ca="1" si="7"/>
        <v>1</v>
      </c>
      <c r="H499">
        <f>COUNTIF(BRON!A:A,Tabel6[[#This Row],[Personeelsnummer]])</f>
        <v>0</v>
      </c>
    </row>
    <row r="500" spans="1:8" x14ac:dyDescent="0.25">
      <c r="A500" s="18" t="s">
        <v>2799</v>
      </c>
      <c r="B500" s="18" t="s">
        <v>1826</v>
      </c>
      <c r="C500" s="18" t="s">
        <v>2050</v>
      </c>
      <c r="D500">
        <v>39988</v>
      </c>
      <c r="E500" s="18" t="s">
        <v>2297</v>
      </c>
      <c r="F500" s="3">
        <v>45321.041666666701</v>
      </c>
      <c r="G500" s="20">
        <f t="shared" ca="1" si="7"/>
        <v>1</v>
      </c>
      <c r="H500">
        <f>COUNTIF(BRON!A:A,Tabel6[[#This Row],[Personeelsnummer]])</f>
        <v>0</v>
      </c>
    </row>
    <row r="501" spans="1:8" x14ac:dyDescent="0.25">
      <c r="A501" s="18" t="s">
        <v>2800</v>
      </c>
      <c r="B501" s="18" t="s">
        <v>1381</v>
      </c>
      <c r="C501" s="18" t="s">
        <v>2051</v>
      </c>
      <c r="D501">
        <v>40005</v>
      </c>
      <c r="E501" s="18" t="s">
        <v>2297</v>
      </c>
      <c r="F501" s="3">
        <v>45307.041666666701</v>
      </c>
      <c r="G501" s="20">
        <f t="shared" ca="1" si="7"/>
        <v>2</v>
      </c>
      <c r="H501">
        <f>COUNTIF(BRON!A:A,Tabel6[[#This Row],[Personeelsnummer]])</f>
        <v>2</v>
      </c>
    </row>
    <row r="502" spans="1:8" x14ac:dyDescent="0.25">
      <c r="A502" s="18" t="s">
        <v>2801</v>
      </c>
      <c r="B502" s="18" t="s">
        <v>2052</v>
      </c>
      <c r="C502" s="18" t="s">
        <v>1504</v>
      </c>
      <c r="D502">
        <v>40006</v>
      </c>
      <c r="E502" s="18" t="s">
        <v>2297</v>
      </c>
      <c r="F502" s="3">
        <v>45307.041666666701</v>
      </c>
      <c r="G502" s="20">
        <f t="shared" ca="1" si="7"/>
        <v>2</v>
      </c>
      <c r="H502">
        <f>COUNTIF(BRON!A:A,Tabel6[[#This Row],[Personeelsnummer]])</f>
        <v>1</v>
      </c>
    </row>
    <row r="503" spans="1:8" x14ac:dyDescent="0.25">
      <c r="A503" s="18" t="s">
        <v>2802</v>
      </c>
      <c r="B503" s="18" t="s">
        <v>2054</v>
      </c>
      <c r="C503" s="18" t="s">
        <v>2053</v>
      </c>
      <c r="D503">
        <v>40036</v>
      </c>
      <c r="E503" s="18" t="s">
        <v>2300</v>
      </c>
      <c r="F503" s="3">
        <v>45364.041666666701</v>
      </c>
      <c r="G503" s="20">
        <f t="shared" ca="1" si="7"/>
        <v>1</v>
      </c>
      <c r="H503">
        <f>COUNTIF(BRON!A:A,Tabel6[[#This Row],[Personeelsnummer]])</f>
        <v>2</v>
      </c>
    </row>
    <row r="504" spans="1:8" x14ac:dyDescent="0.25">
      <c r="A504" s="18" t="s">
        <v>2803</v>
      </c>
      <c r="B504" s="18" t="s">
        <v>2056</v>
      </c>
      <c r="C504" s="18" t="s">
        <v>2055</v>
      </c>
      <c r="D504">
        <v>40055</v>
      </c>
      <c r="E504" s="18" t="s">
        <v>2270</v>
      </c>
      <c r="F504" s="3">
        <v>45321.041666666701</v>
      </c>
      <c r="G504" s="20">
        <f t="shared" ca="1" si="7"/>
        <v>1</v>
      </c>
      <c r="H504">
        <f>COUNTIF(BRON!A:A,Tabel6[[#This Row],[Personeelsnummer]])</f>
        <v>2</v>
      </c>
    </row>
    <row r="505" spans="1:8" x14ac:dyDescent="0.25">
      <c r="A505" s="18" t="s">
        <v>2804</v>
      </c>
      <c r="B505" s="18" t="s">
        <v>2058</v>
      </c>
      <c r="C505" s="18" t="s">
        <v>2057</v>
      </c>
      <c r="D505">
        <v>40058</v>
      </c>
      <c r="E505" s="18" t="s">
        <v>2297</v>
      </c>
      <c r="F505" s="3">
        <v>45321.041666666701</v>
      </c>
      <c r="G505" s="20">
        <f t="shared" ca="1" si="7"/>
        <v>1</v>
      </c>
      <c r="H505">
        <f>COUNTIF(BRON!A:A,Tabel6[[#This Row],[Personeelsnummer]])</f>
        <v>3</v>
      </c>
    </row>
    <row r="506" spans="1:8" x14ac:dyDescent="0.25">
      <c r="A506" s="18" t="s">
        <v>2805</v>
      </c>
      <c r="B506" s="18" t="s">
        <v>1493</v>
      </c>
      <c r="C506" s="18" t="s">
        <v>1441</v>
      </c>
      <c r="D506">
        <v>40110</v>
      </c>
      <c r="E506" s="18" t="s">
        <v>2297</v>
      </c>
      <c r="F506" s="3">
        <v>45335.041666666701</v>
      </c>
      <c r="G506" s="20">
        <f t="shared" ca="1" si="7"/>
        <v>1</v>
      </c>
      <c r="H506">
        <f>COUNTIF(BRON!A:A,Tabel6[[#This Row],[Personeelsnummer]])</f>
        <v>7</v>
      </c>
    </row>
    <row r="507" spans="1:8" x14ac:dyDescent="0.25">
      <c r="A507" s="18" t="s">
        <v>2806</v>
      </c>
      <c r="B507" s="18" t="s">
        <v>2060</v>
      </c>
      <c r="C507" s="18" t="s">
        <v>2059</v>
      </c>
      <c r="D507">
        <v>40134</v>
      </c>
      <c r="E507" s="18" t="s">
        <v>2300</v>
      </c>
      <c r="F507" s="3">
        <v>45364.041666666701</v>
      </c>
      <c r="G507" s="20">
        <f t="shared" ca="1" si="7"/>
        <v>1</v>
      </c>
      <c r="H507">
        <f>COUNTIF(BRON!A:A,Tabel6[[#This Row],[Personeelsnummer]])</f>
        <v>4</v>
      </c>
    </row>
    <row r="508" spans="1:8" x14ac:dyDescent="0.25">
      <c r="A508" s="18" t="s">
        <v>2807</v>
      </c>
      <c r="B508" s="18" t="s">
        <v>2062</v>
      </c>
      <c r="C508" s="18" t="s">
        <v>2061</v>
      </c>
      <c r="D508">
        <v>40138</v>
      </c>
      <c r="E508" s="18" t="s">
        <v>2297</v>
      </c>
      <c r="F508" s="3">
        <v>45335.041666666701</v>
      </c>
      <c r="G508" s="20">
        <f t="shared" ca="1" si="7"/>
        <v>1</v>
      </c>
      <c r="H508">
        <f>COUNTIF(BRON!A:A,Tabel6[[#This Row],[Personeelsnummer]])</f>
        <v>10</v>
      </c>
    </row>
    <row r="509" spans="1:8" x14ac:dyDescent="0.25">
      <c r="A509" s="18" t="s">
        <v>2808</v>
      </c>
      <c r="B509" s="18" t="s">
        <v>1930</v>
      </c>
      <c r="C509" s="18" t="s">
        <v>2063</v>
      </c>
      <c r="D509">
        <v>40143</v>
      </c>
      <c r="E509" s="18" t="s">
        <v>2297</v>
      </c>
      <c r="F509" s="3">
        <v>45335.041666666701</v>
      </c>
      <c r="G509" s="20">
        <f t="shared" ca="1" si="7"/>
        <v>1</v>
      </c>
      <c r="H509">
        <f>COUNTIF(BRON!A:A,Tabel6[[#This Row],[Personeelsnummer]])</f>
        <v>0</v>
      </c>
    </row>
    <row r="510" spans="1:8" x14ac:dyDescent="0.25">
      <c r="A510" s="18" t="s">
        <v>2809</v>
      </c>
      <c r="B510" s="18" t="s">
        <v>2065</v>
      </c>
      <c r="C510" s="18" t="s">
        <v>2064</v>
      </c>
      <c r="D510">
        <v>40200</v>
      </c>
      <c r="E510" s="18" t="s">
        <v>2300</v>
      </c>
      <c r="F510" s="3">
        <v>45345.041666666701</v>
      </c>
      <c r="G510" s="20">
        <f t="shared" ca="1" si="7"/>
        <v>1</v>
      </c>
      <c r="H510">
        <f>COUNTIF(BRON!A:A,Tabel6[[#This Row],[Personeelsnummer]])</f>
        <v>2</v>
      </c>
    </row>
    <row r="511" spans="1:8" x14ac:dyDescent="0.25">
      <c r="A511" s="18" t="s">
        <v>2810</v>
      </c>
      <c r="B511" s="18" t="s">
        <v>2066</v>
      </c>
      <c r="C511" s="18" t="s">
        <v>1425</v>
      </c>
      <c r="D511">
        <v>40201</v>
      </c>
      <c r="E511" s="18" t="s">
        <v>2300</v>
      </c>
      <c r="F511" s="3">
        <v>45378.041666666701</v>
      </c>
      <c r="G511" s="20">
        <f t="shared" ca="1" si="7"/>
        <v>1</v>
      </c>
      <c r="H511">
        <f>COUNTIF(BRON!A:A,Tabel6[[#This Row],[Personeelsnummer]])</f>
        <v>0</v>
      </c>
    </row>
    <row r="512" spans="1:8" x14ac:dyDescent="0.25">
      <c r="A512" s="18" t="s">
        <v>2811</v>
      </c>
      <c r="B512" s="18" t="s">
        <v>2060</v>
      </c>
      <c r="C512" s="18" t="s">
        <v>2067</v>
      </c>
      <c r="D512">
        <v>40222</v>
      </c>
      <c r="E512" s="18" t="s">
        <v>2300</v>
      </c>
      <c r="F512" s="3">
        <v>45349.041666666701</v>
      </c>
      <c r="G512" s="20">
        <f t="shared" ca="1" si="7"/>
        <v>1</v>
      </c>
      <c r="H512">
        <f>COUNTIF(BRON!A:A,Tabel6[[#This Row],[Personeelsnummer]])</f>
        <v>2</v>
      </c>
    </row>
    <row r="513" spans="1:8" x14ac:dyDescent="0.25">
      <c r="A513" s="18" t="s">
        <v>2812</v>
      </c>
      <c r="B513" s="18" t="s">
        <v>2069</v>
      </c>
      <c r="C513" s="18" t="s">
        <v>2068</v>
      </c>
      <c r="D513">
        <v>40264</v>
      </c>
      <c r="E513" s="18" t="s">
        <v>2297</v>
      </c>
      <c r="F513" s="3">
        <v>45364.041666666701</v>
      </c>
      <c r="G513" s="20">
        <f t="shared" ca="1" si="7"/>
        <v>1</v>
      </c>
      <c r="H513">
        <f>COUNTIF(BRON!A:A,Tabel6[[#This Row],[Personeelsnummer]])</f>
        <v>0</v>
      </c>
    </row>
    <row r="514" spans="1:8" x14ac:dyDescent="0.25">
      <c r="A514" s="18" t="s">
        <v>2813</v>
      </c>
      <c r="B514" s="18" t="s">
        <v>2071</v>
      </c>
      <c r="C514" s="18" t="s">
        <v>2070</v>
      </c>
      <c r="D514">
        <v>40266</v>
      </c>
      <c r="E514" s="18" t="s">
        <v>2297</v>
      </c>
      <c r="F514" s="3">
        <v>45394.083333333299</v>
      </c>
      <c r="G514" s="20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18" t="s">
        <v>2814</v>
      </c>
      <c r="B515" s="18" t="s">
        <v>2073</v>
      </c>
      <c r="C515" s="18" t="s">
        <v>2072</v>
      </c>
      <c r="D515">
        <v>40278</v>
      </c>
      <c r="E515" s="18" t="s">
        <v>2297</v>
      </c>
      <c r="F515" s="3">
        <v>45378.041666666701</v>
      </c>
      <c r="G515" s="20">
        <f t="shared" ca="1" si="8"/>
        <v>1</v>
      </c>
      <c r="H515">
        <f>COUNTIF(BRON!A:A,Tabel6[[#This Row],[Personeelsnummer]])</f>
        <v>5</v>
      </c>
    </row>
    <row r="516" spans="1:8" x14ac:dyDescent="0.25">
      <c r="A516" s="18" t="s">
        <v>2815</v>
      </c>
      <c r="B516" s="18" t="s">
        <v>2075</v>
      </c>
      <c r="C516" s="18" t="s">
        <v>2074</v>
      </c>
      <c r="D516">
        <v>40294</v>
      </c>
      <c r="E516" s="18" t="s">
        <v>2297</v>
      </c>
      <c r="F516" s="3">
        <v>45404.083333333299</v>
      </c>
      <c r="G516" s="20">
        <f t="shared" ca="1" si="8"/>
        <v>1</v>
      </c>
      <c r="H516">
        <f>COUNTIF(BRON!A:A,Tabel6[[#This Row],[Personeelsnummer]])</f>
        <v>2</v>
      </c>
    </row>
    <row r="517" spans="1:8" x14ac:dyDescent="0.25">
      <c r="A517" s="18" t="s">
        <v>2816</v>
      </c>
      <c r="B517" s="18" t="s">
        <v>1710</v>
      </c>
      <c r="C517" s="18" t="s">
        <v>2076</v>
      </c>
      <c r="D517">
        <v>40362</v>
      </c>
      <c r="E517" s="18" t="s">
        <v>2265</v>
      </c>
      <c r="F517" s="3">
        <v>45394.083333333299</v>
      </c>
      <c r="G517" s="20">
        <f t="shared" ca="1" si="8"/>
        <v>1</v>
      </c>
      <c r="H517">
        <f>COUNTIF(BRON!A:A,Tabel6[[#This Row],[Personeelsnummer]])</f>
        <v>3</v>
      </c>
    </row>
    <row r="518" spans="1:8" x14ac:dyDescent="0.25">
      <c r="A518" s="18" t="s">
        <v>2817</v>
      </c>
      <c r="B518" s="18" t="s">
        <v>2078</v>
      </c>
      <c r="C518" s="18" t="s">
        <v>2077</v>
      </c>
      <c r="D518">
        <v>40393</v>
      </c>
      <c r="E518" s="18" t="s">
        <v>2300</v>
      </c>
      <c r="F518" s="3">
        <v>45408.083333333299</v>
      </c>
      <c r="G518" s="20">
        <f t="shared" ca="1" si="8"/>
        <v>1</v>
      </c>
      <c r="H518">
        <f>COUNTIF(BRON!A:A,Tabel6[[#This Row],[Personeelsnummer]])</f>
        <v>1</v>
      </c>
    </row>
    <row r="519" spans="1:8" x14ac:dyDescent="0.25">
      <c r="A519" s="18" t="s">
        <v>2818</v>
      </c>
      <c r="B519" s="18" t="s">
        <v>2080</v>
      </c>
      <c r="C519" s="18" t="s">
        <v>2079</v>
      </c>
      <c r="D519">
        <v>40400</v>
      </c>
      <c r="E519" s="18" t="s">
        <v>2300</v>
      </c>
      <c r="F519" s="3">
        <v>45478.083333333299</v>
      </c>
      <c r="G519" s="20">
        <f t="shared" ca="1" si="8"/>
        <v>1</v>
      </c>
      <c r="H519">
        <f>COUNTIF(BRON!A:A,Tabel6[[#This Row],[Personeelsnummer]])</f>
        <v>0</v>
      </c>
    </row>
    <row r="520" spans="1:8" x14ac:dyDescent="0.25">
      <c r="A520" s="18" t="s">
        <v>2819</v>
      </c>
      <c r="B520" s="18" t="s">
        <v>2082</v>
      </c>
      <c r="C520" s="18" t="s">
        <v>2081</v>
      </c>
      <c r="D520">
        <v>40403</v>
      </c>
      <c r="E520" s="18" t="s">
        <v>2300</v>
      </c>
      <c r="F520" s="3">
        <v>45481.083333333299</v>
      </c>
      <c r="G520" s="20">
        <f t="shared" ca="1" si="8"/>
        <v>1</v>
      </c>
      <c r="H520">
        <f>COUNTIF(BRON!A:A,Tabel6[[#This Row],[Personeelsnummer]])</f>
        <v>3</v>
      </c>
    </row>
    <row r="521" spans="1:8" x14ac:dyDescent="0.25">
      <c r="A521" s="18" t="s">
        <v>2820</v>
      </c>
      <c r="B521" s="18" t="s">
        <v>2084</v>
      </c>
      <c r="C521" s="18" t="s">
        <v>2083</v>
      </c>
      <c r="D521">
        <v>40414</v>
      </c>
      <c r="E521" s="18" t="s">
        <v>2286</v>
      </c>
      <c r="F521" s="3">
        <v>45408.083333333299</v>
      </c>
      <c r="G521" s="20">
        <f t="shared" ca="1" si="8"/>
        <v>1</v>
      </c>
      <c r="H521">
        <f>COUNTIF(BRON!A:A,Tabel6[[#This Row],[Personeelsnummer]])</f>
        <v>1</v>
      </c>
    </row>
    <row r="522" spans="1:8" x14ac:dyDescent="0.25">
      <c r="A522" s="18" t="s">
        <v>2821</v>
      </c>
      <c r="B522" s="18" t="s">
        <v>1800</v>
      </c>
      <c r="C522" s="18" t="s">
        <v>2085</v>
      </c>
      <c r="D522">
        <v>40421</v>
      </c>
      <c r="E522" s="18" t="s">
        <v>2263</v>
      </c>
      <c r="F522" s="3">
        <v>45407.083333333299</v>
      </c>
      <c r="G522" s="20">
        <f t="shared" ca="1" si="8"/>
        <v>1</v>
      </c>
      <c r="H522">
        <f>COUNTIF(BRON!A:A,Tabel6[[#This Row],[Personeelsnummer]])</f>
        <v>0</v>
      </c>
    </row>
    <row r="523" spans="1:8" x14ac:dyDescent="0.25">
      <c r="A523" s="18" t="s">
        <v>2822</v>
      </c>
      <c r="B523" s="18" t="s">
        <v>2087</v>
      </c>
      <c r="C523" s="18" t="s">
        <v>2086</v>
      </c>
      <c r="D523">
        <v>40422</v>
      </c>
      <c r="E523" s="18" t="s">
        <v>2263</v>
      </c>
      <c r="F523" s="3">
        <v>45407.083333333299</v>
      </c>
      <c r="G523" s="20">
        <f t="shared" ca="1" si="8"/>
        <v>1</v>
      </c>
      <c r="H523">
        <f>COUNTIF(BRON!A:A,Tabel6[[#This Row],[Personeelsnummer]])</f>
        <v>0</v>
      </c>
    </row>
    <row r="524" spans="1:8" x14ac:dyDescent="0.25">
      <c r="A524" s="18" t="s">
        <v>2823</v>
      </c>
      <c r="B524" s="18" t="s">
        <v>1826</v>
      </c>
      <c r="C524" s="18" t="s">
        <v>2088</v>
      </c>
      <c r="D524">
        <v>40443</v>
      </c>
      <c r="E524" s="18" t="s">
        <v>2261</v>
      </c>
      <c r="F524" s="3">
        <v>45408.083333333299</v>
      </c>
      <c r="G524" s="20">
        <f t="shared" ca="1" si="8"/>
        <v>1</v>
      </c>
      <c r="H524">
        <f>COUNTIF(BRON!A:A,Tabel6[[#This Row],[Personeelsnummer]])</f>
        <v>1</v>
      </c>
    </row>
    <row r="525" spans="1:8" x14ac:dyDescent="0.25">
      <c r="A525" s="18" t="s">
        <v>2824</v>
      </c>
      <c r="B525" s="18" t="s">
        <v>1828</v>
      </c>
      <c r="C525" s="18" t="s">
        <v>1839</v>
      </c>
      <c r="D525">
        <v>40444</v>
      </c>
      <c r="E525" s="18" t="s">
        <v>2277</v>
      </c>
      <c r="F525" s="3">
        <v>45408.083333333299</v>
      </c>
      <c r="G525" s="20">
        <f t="shared" ca="1" si="8"/>
        <v>1</v>
      </c>
      <c r="H525">
        <f>COUNTIF(BRON!A:A,Tabel6[[#This Row],[Personeelsnummer]])</f>
        <v>1</v>
      </c>
    </row>
    <row r="526" spans="1:8" x14ac:dyDescent="0.25">
      <c r="A526" s="18" t="s">
        <v>2825</v>
      </c>
      <c r="B526" s="18" t="s">
        <v>2090</v>
      </c>
      <c r="C526" s="18" t="s">
        <v>2089</v>
      </c>
      <c r="D526">
        <v>40469</v>
      </c>
      <c r="E526" s="18" t="s">
        <v>2277</v>
      </c>
      <c r="F526" s="3">
        <v>45408.083333333299</v>
      </c>
      <c r="G526" s="20">
        <f t="shared" ca="1" si="8"/>
        <v>1</v>
      </c>
      <c r="H526">
        <f>COUNTIF(BRON!A:A,Tabel6[[#This Row],[Personeelsnummer]])</f>
        <v>0</v>
      </c>
    </row>
    <row r="527" spans="1:8" x14ac:dyDescent="0.25">
      <c r="A527" s="18" t="s">
        <v>2826</v>
      </c>
      <c r="B527" s="18" t="s">
        <v>2092</v>
      </c>
      <c r="C527" s="18" t="s">
        <v>2091</v>
      </c>
      <c r="D527">
        <v>40478</v>
      </c>
      <c r="E527" s="18" t="s">
        <v>2261</v>
      </c>
      <c r="F527" s="3">
        <v>45442.083333333299</v>
      </c>
      <c r="G527" s="20">
        <f t="shared" ca="1" si="8"/>
        <v>1</v>
      </c>
      <c r="H527">
        <f>COUNTIF(BRON!A:A,Tabel6[[#This Row],[Personeelsnummer]])</f>
        <v>4</v>
      </c>
    </row>
    <row r="528" spans="1:8" x14ac:dyDescent="0.25">
      <c r="A528" s="18" t="s">
        <v>2827</v>
      </c>
      <c r="B528" s="18" t="s">
        <v>2094</v>
      </c>
      <c r="C528" s="18" t="s">
        <v>2093</v>
      </c>
      <c r="D528">
        <v>40486</v>
      </c>
      <c r="E528" s="18" t="s">
        <v>2297</v>
      </c>
      <c r="F528" s="3">
        <v>45427.083333333299</v>
      </c>
      <c r="G528" s="20">
        <f t="shared" ca="1" si="8"/>
        <v>1</v>
      </c>
      <c r="H528">
        <f>COUNTIF(BRON!A:A,Tabel6[[#This Row],[Personeelsnummer]])</f>
        <v>1</v>
      </c>
    </row>
    <row r="529" spans="1:8" x14ac:dyDescent="0.25">
      <c r="A529" s="18" t="s">
        <v>2828</v>
      </c>
      <c r="B529" s="18" t="s">
        <v>1651</v>
      </c>
      <c r="C529" s="18" t="s">
        <v>2829</v>
      </c>
      <c r="D529">
        <v>40489</v>
      </c>
      <c r="E529" s="18" t="s">
        <v>2376</v>
      </c>
      <c r="F529" s="3">
        <v>45427.083333333299</v>
      </c>
      <c r="G529" s="20">
        <f t="shared" ca="1" si="8"/>
        <v>1</v>
      </c>
      <c r="H529">
        <f>COUNTIF(BRON!A:A,Tabel6[[#This Row],[Personeelsnummer]])</f>
        <v>0</v>
      </c>
    </row>
    <row r="530" spans="1:8" x14ac:dyDescent="0.25">
      <c r="A530" s="18" t="s">
        <v>2830</v>
      </c>
      <c r="B530" s="18" t="s">
        <v>1572</v>
      </c>
      <c r="C530" s="18" t="s">
        <v>2095</v>
      </c>
      <c r="D530">
        <v>40521</v>
      </c>
      <c r="E530" s="18" t="s">
        <v>2263</v>
      </c>
      <c r="F530" s="3">
        <v>45419.083333333299</v>
      </c>
      <c r="G530" s="20">
        <f t="shared" ca="1" si="8"/>
        <v>1</v>
      </c>
      <c r="H530">
        <f>COUNTIF(BRON!A:A,Tabel6[[#This Row],[Personeelsnummer]])</f>
        <v>2</v>
      </c>
    </row>
    <row r="531" spans="1:8" x14ac:dyDescent="0.25">
      <c r="A531" s="18" t="s">
        <v>2831</v>
      </c>
      <c r="B531" s="18" t="s">
        <v>2097</v>
      </c>
      <c r="C531" s="18" t="s">
        <v>2096</v>
      </c>
      <c r="D531">
        <v>40590</v>
      </c>
      <c r="E531" s="18" t="s">
        <v>2261</v>
      </c>
      <c r="F531" s="3">
        <v>45464.083333333299</v>
      </c>
      <c r="G531" s="20">
        <f t="shared" ca="1" si="8"/>
        <v>1</v>
      </c>
      <c r="H531">
        <f>COUNTIF(BRON!A:A,Tabel6[[#This Row],[Personeelsnummer]])</f>
        <v>0</v>
      </c>
    </row>
    <row r="532" spans="1:8" x14ac:dyDescent="0.25">
      <c r="A532" s="18" t="s">
        <v>2832</v>
      </c>
      <c r="B532" s="18" t="s">
        <v>1826</v>
      </c>
      <c r="C532" s="18" t="s">
        <v>2098</v>
      </c>
      <c r="D532">
        <v>40591</v>
      </c>
      <c r="E532" s="18" t="s">
        <v>2300</v>
      </c>
      <c r="F532" s="3">
        <v>45450.083333333299</v>
      </c>
      <c r="G532" s="20">
        <f t="shared" ca="1" si="8"/>
        <v>1</v>
      </c>
      <c r="H532">
        <f>COUNTIF(BRON!A:A,Tabel6[[#This Row],[Personeelsnummer]])</f>
        <v>2</v>
      </c>
    </row>
    <row r="533" spans="1:8" x14ac:dyDescent="0.25">
      <c r="A533" s="18" t="s">
        <v>2833</v>
      </c>
      <c r="B533" s="18" t="s">
        <v>2100</v>
      </c>
      <c r="C533" s="18" t="s">
        <v>2099</v>
      </c>
      <c r="D533">
        <v>40608</v>
      </c>
      <c r="E533" s="18" t="s">
        <v>2263</v>
      </c>
      <c r="F533" s="3">
        <v>45456.083333333299</v>
      </c>
      <c r="G533" s="20">
        <f t="shared" ca="1" si="8"/>
        <v>1</v>
      </c>
      <c r="H533">
        <f>COUNTIF(BRON!A:A,Tabel6[[#This Row],[Personeelsnummer]])</f>
        <v>1</v>
      </c>
    </row>
    <row r="534" spans="1:8" x14ac:dyDescent="0.25">
      <c r="A534" s="18" t="s">
        <v>2834</v>
      </c>
      <c r="B534" s="18" t="s">
        <v>2102</v>
      </c>
      <c r="C534" s="18" t="s">
        <v>2101</v>
      </c>
      <c r="D534">
        <v>40645</v>
      </c>
      <c r="E534" s="18" t="s">
        <v>2277</v>
      </c>
      <c r="F534" s="3">
        <v>45544.083333333299</v>
      </c>
      <c r="G534" s="20">
        <f t="shared" ca="1" si="8"/>
        <v>1</v>
      </c>
      <c r="H534">
        <f>COUNTIF(BRON!A:A,Tabel6[[#This Row],[Personeelsnummer]])</f>
        <v>2</v>
      </c>
    </row>
    <row r="535" spans="1:8" x14ac:dyDescent="0.25">
      <c r="A535" s="18" t="s">
        <v>2835</v>
      </c>
      <c r="B535" s="18" t="s">
        <v>2103</v>
      </c>
      <c r="C535" s="18" t="s">
        <v>1839</v>
      </c>
      <c r="D535">
        <v>40652</v>
      </c>
      <c r="E535" s="18" t="s">
        <v>2270</v>
      </c>
      <c r="F535" s="3">
        <v>45470.083333333299</v>
      </c>
      <c r="G535" s="20">
        <f t="shared" ca="1" si="8"/>
        <v>1</v>
      </c>
      <c r="H535">
        <f>COUNTIF(BRON!A:A,Tabel6[[#This Row],[Personeelsnummer]])</f>
        <v>8</v>
      </c>
    </row>
    <row r="536" spans="1:8" x14ac:dyDescent="0.25">
      <c r="A536" s="18" t="s">
        <v>2836</v>
      </c>
      <c r="B536" s="18" t="s">
        <v>2105</v>
      </c>
      <c r="C536" s="18" t="s">
        <v>2104</v>
      </c>
      <c r="D536">
        <v>40744</v>
      </c>
      <c r="E536" s="18" t="s">
        <v>2261</v>
      </c>
      <c r="F536" s="3">
        <v>45484.083333333299</v>
      </c>
      <c r="G536" s="20">
        <f t="shared" ca="1" si="8"/>
        <v>1</v>
      </c>
      <c r="H536">
        <f>COUNTIF(BRON!A:A,Tabel6[[#This Row],[Personeelsnummer]])</f>
        <v>6</v>
      </c>
    </row>
    <row r="537" spans="1:8" x14ac:dyDescent="0.25">
      <c r="A537" s="18" t="s">
        <v>2837</v>
      </c>
      <c r="B537" s="18" t="s">
        <v>1468</v>
      </c>
      <c r="C537" s="18" t="s">
        <v>2106</v>
      </c>
      <c r="D537">
        <v>40745</v>
      </c>
      <c r="E537" s="18" t="s">
        <v>2261</v>
      </c>
      <c r="F537" s="3">
        <v>45498.083333333299</v>
      </c>
      <c r="G537" s="20">
        <f t="shared" ca="1" si="8"/>
        <v>1</v>
      </c>
      <c r="H537">
        <f>COUNTIF(BRON!A:A,Tabel6[[#This Row],[Personeelsnummer]])</f>
        <v>1</v>
      </c>
    </row>
    <row r="538" spans="1:8" x14ac:dyDescent="0.25">
      <c r="A538" s="18" t="s">
        <v>2838</v>
      </c>
      <c r="B538" s="18" t="s">
        <v>1329</v>
      </c>
      <c r="C538" s="18" t="s">
        <v>2107</v>
      </c>
      <c r="D538">
        <v>40761</v>
      </c>
      <c r="E538" s="18" t="s">
        <v>2265</v>
      </c>
      <c r="F538" s="3">
        <v>45498.083333333299</v>
      </c>
      <c r="G538" s="20">
        <f t="shared" ca="1" si="8"/>
        <v>1</v>
      </c>
      <c r="H538">
        <f>COUNTIF(BRON!A:A,Tabel6[[#This Row],[Personeelsnummer]])</f>
        <v>1</v>
      </c>
    </row>
    <row r="539" spans="1:8" x14ac:dyDescent="0.25">
      <c r="A539" s="18" t="s">
        <v>2839</v>
      </c>
      <c r="B539" s="18" t="s">
        <v>2109</v>
      </c>
      <c r="C539" s="18" t="s">
        <v>2108</v>
      </c>
      <c r="D539">
        <v>40856</v>
      </c>
      <c r="E539" s="18" t="s">
        <v>2265</v>
      </c>
      <c r="F539" s="3">
        <v>45538.083333333299</v>
      </c>
      <c r="G539" s="20">
        <f t="shared" ca="1" si="8"/>
        <v>1</v>
      </c>
      <c r="H539">
        <f>COUNTIF(BRON!A:A,Tabel6[[#This Row],[Personeelsnummer]])</f>
        <v>5</v>
      </c>
    </row>
    <row r="540" spans="1:8" x14ac:dyDescent="0.25">
      <c r="A540" s="18" t="s">
        <v>2840</v>
      </c>
      <c r="B540" s="18" t="s">
        <v>2111</v>
      </c>
      <c r="C540" s="18" t="s">
        <v>2110</v>
      </c>
      <c r="D540">
        <v>40859</v>
      </c>
      <c r="E540" s="18" t="s">
        <v>2270</v>
      </c>
      <c r="F540" s="3">
        <v>45544.083333333299</v>
      </c>
      <c r="G540" s="20">
        <f t="shared" ca="1" si="8"/>
        <v>1</v>
      </c>
      <c r="H540">
        <f>COUNTIF(BRON!A:A,Tabel6[[#This Row],[Personeelsnummer]])</f>
        <v>4</v>
      </c>
    </row>
    <row r="541" spans="1:8" x14ac:dyDescent="0.25">
      <c r="A541" s="18" t="s">
        <v>2841</v>
      </c>
      <c r="B541" s="18" t="s">
        <v>2113</v>
      </c>
      <c r="C541" s="18" t="s">
        <v>2112</v>
      </c>
      <c r="D541">
        <v>40890</v>
      </c>
      <c r="E541" s="18" t="s">
        <v>2300</v>
      </c>
      <c r="F541" s="3">
        <v>45530.083333333299</v>
      </c>
      <c r="G541" s="20">
        <f t="shared" ca="1" si="8"/>
        <v>1</v>
      </c>
      <c r="H541">
        <f>COUNTIF(BRON!A:A,Tabel6[[#This Row],[Personeelsnummer]])</f>
        <v>0</v>
      </c>
    </row>
    <row r="542" spans="1:8" x14ac:dyDescent="0.25">
      <c r="A542" s="18" t="s">
        <v>2842</v>
      </c>
      <c r="B542" s="18" t="s">
        <v>2115</v>
      </c>
      <c r="C542" s="18" t="s">
        <v>2114</v>
      </c>
      <c r="D542">
        <v>40938</v>
      </c>
      <c r="E542" s="18" t="s">
        <v>2300</v>
      </c>
      <c r="F542" s="3">
        <v>45530.083333333299</v>
      </c>
      <c r="G542" s="20">
        <f t="shared" ca="1" si="8"/>
        <v>1</v>
      </c>
      <c r="H542">
        <f>COUNTIF(BRON!A:A,Tabel6[[#This Row],[Personeelsnummer]])</f>
        <v>4</v>
      </c>
    </row>
    <row r="543" spans="1:8" x14ac:dyDescent="0.25">
      <c r="A543" s="18" t="s">
        <v>2843</v>
      </c>
      <c r="B543" s="18" t="s">
        <v>2117</v>
      </c>
      <c r="C543" s="18" t="s">
        <v>2116</v>
      </c>
      <c r="D543">
        <v>40939</v>
      </c>
      <c r="E543" s="18" t="s">
        <v>2265</v>
      </c>
      <c r="F543" s="3">
        <v>45530.083333333299</v>
      </c>
      <c r="G543" s="20">
        <f t="shared" ca="1" si="8"/>
        <v>1</v>
      </c>
      <c r="H543">
        <f>COUNTIF(BRON!A:A,Tabel6[[#This Row],[Personeelsnummer]])</f>
        <v>4</v>
      </c>
    </row>
    <row r="544" spans="1:8" x14ac:dyDescent="0.25">
      <c r="A544" s="18" t="s">
        <v>2844</v>
      </c>
      <c r="B544" s="18" t="s">
        <v>1104</v>
      </c>
      <c r="C544" s="18" t="s">
        <v>1103</v>
      </c>
      <c r="D544">
        <v>41007</v>
      </c>
      <c r="E544" s="18" t="s">
        <v>2376</v>
      </c>
      <c r="F544" s="3">
        <v>45559.083333333299</v>
      </c>
      <c r="G544" s="20">
        <f t="shared" ca="1" si="8"/>
        <v>1</v>
      </c>
      <c r="H544">
        <f>COUNTIF(BRON!A:A,Tabel6[[#This Row],[Personeelsnummer]])</f>
        <v>1</v>
      </c>
    </row>
    <row r="545" spans="1:8" x14ac:dyDescent="0.25">
      <c r="A545" s="18" t="s">
        <v>2845</v>
      </c>
      <c r="B545" s="18" t="s">
        <v>2119</v>
      </c>
      <c r="C545" s="18" t="s">
        <v>2118</v>
      </c>
      <c r="D545">
        <v>41012</v>
      </c>
      <c r="E545" s="18" t="s">
        <v>2270</v>
      </c>
      <c r="F545" s="3">
        <v>45574.083333333299</v>
      </c>
      <c r="G545" s="20">
        <f t="shared" ca="1" si="8"/>
        <v>1</v>
      </c>
      <c r="H545">
        <f>COUNTIF(BRON!A:A,Tabel6[[#This Row],[Personeelsnummer]])</f>
        <v>2</v>
      </c>
    </row>
    <row r="546" spans="1:8" x14ac:dyDescent="0.25">
      <c r="A546" s="18" t="s">
        <v>2846</v>
      </c>
      <c r="B546" s="18" t="s">
        <v>2121</v>
      </c>
      <c r="C546" s="18" t="s">
        <v>2120</v>
      </c>
      <c r="D546">
        <v>41032</v>
      </c>
      <c r="E546" s="18" t="s">
        <v>2270</v>
      </c>
      <c r="F546" s="3">
        <v>45559.083333333299</v>
      </c>
      <c r="G546" s="20">
        <f t="shared" ca="1" si="8"/>
        <v>1</v>
      </c>
      <c r="H546">
        <f>COUNTIF(BRON!A:A,Tabel6[[#This Row],[Personeelsnummer]])</f>
        <v>4</v>
      </c>
    </row>
    <row r="547" spans="1:8" x14ac:dyDescent="0.25">
      <c r="A547" s="18" t="s">
        <v>2847</v>
      </c>
      <c r="B547" s="18" t="s">
        <v>2123</v>
      </c>
      <c r="C547" s="18" t="s">
        <v>2122</v>
      </c>
      <c r="D547">
        <v>41064</v>
      </c>
      <c r="E547" s="18" t="s">
        <v>2300</v>
      </c>
      <c r="F547" s="3">
        <v>45588.083333333299</v>
      </c>
      <c r="G547" s="20">
        <f t="shared" ca="1" si="8"/>
        <v>1</v>
      </c>
      <c r="H547">
        <f>COUNTIF(BRON!A:A,Tabel6[[#This Row],[Personeelsnummer]])</f>
        <v>2</v>
      </c>
    </row>
    <row r="548" spans="1:8" x14ac:dyDescent="0.25">
      <c r="A548" s="18" t="s">
        <v>2848</v>
      </c>
      <c r="B548" s="18" t="s">
        <v>2125</v>
      </c>
      <c r="C548" s="18" t="s">
        <v>2124</v>
      </c>
      <c r="D548">
        <v>41091</v>
      </c>
      <c r="E548" s="18" t="s">
        <v>2300</v>
      </c>
      <c r="F548" s="3">
        <v>45603.041666666701</v>
      </c>
      <c r="G548" s="20">
        <f t="shared" ca="1" si="8"/>
        <v>1</v>
      </c>
      <c r="H548">
        <f>COUNTIF(BRON!A:A,Tabel6[[#This Row],[Personeelsnummer]])</f>
        <v>2</v>
      </c>
    </row>
    <row r="549" spans="1:8" x14ac:dyDescent="0.25">
      <c r="A549" s="18" t="s">
        <v>2849</v>
      </c>
      <c r="B549" s="18" t="s">
        <v>2127</v>
      </c>
      <c r="C549" s="18" t="s">
        <v>2126</v>
      </c>
      <c r="D549">
        <v>41092</v>
      </c>
      <c r="E549" s="18" t="s">
        <v>2300</v>
      </c>
      <c r="F549" s="3">
        <v>45574.083333333299</v>
      </c>
      <c r="G549" s="20">
        <f t="shared" ca="1" si="8"/>
        <v>1</v>
      </c>
      <c r="H549">
        <f>COUNTIF(BRON!A:A,Tabel6[[#This Row],[Personeelsnummer]])</f>
        <v>9</v>
      </c>
    </row>
    <row r="550" spans="1:8" x14ac:dyDescent="0.25">
      <c r="A550" s="18" t="s">
        <v>2850</v>
      </c>
      <c r="B550" s="18" t="s">
        <v>2129</v>
      </c>
      <c r="C550" s="18" t="s">
        <v>2128</v>
      </c>
      <c r="D550">
        <v>41101</v>
      </c>
      <c r="E550" s="18" t="s">
        <v>2300</v>
      </c>
      <c r="F550" s="3">
        <v>45618.041666666701</v>
      </c>
      <c r="G550" s="20">
        <f t="shared" ca="1" si="8"/>
        <v>1</v>
      </c>
      <c r="H550">
        <f>COUNTIF(BRON!A:A,Tabel6[[#This Row],[Personeelsnummer]])</f>
        <v>1</v>
      </c>
    </row>
    <row r="551" spans="1:8" x14ac:dyDescent="0.25">
      <c r="A551" s="18" t="s">
        <v>2851</v>
      </c>
      <c r="B551" s="18" t="s">
        <v>1385</v>
      </c>
      <c r="C551" s="18" t="s">
        <v>2130</v>
      </c>
      <c r="D551">
        <v>41137</v>
      </c>
      <c r="E551" s="18" t="s">
        <v>2300</v>
      </c>
      <c r="F551" s="3">
        <v>45616.041666666701</v>
      </c>
      <c r="G551" s="20">
        <f t="shared" ca="1" si="8"/>
        <v>1</v>
      </c>
      <c r="H551">
        <f>COUNTIF(BRON!A:A,Tabel6[[#This Row],[Personeelsnummer]])</f>
        <v>1</v>
      </c>
    </row>
    <row r="552" spans="1:8" x14ac:dyDescent="0.25">
      <c r="A552" s="18" t="s">
        <v>2852</v>
      </c>
      <c r="B552" s="18" t="s">
        <v>1409</v>
      </c>
      <c r="C552" s="18" t="s">
        <v>2131</v>
      </c>
      <c r="D552">
        <v>41162</v>
      </c>
      <c r="E552" s="18" t="s">
        <v>2300</v>
      </c>
      <c r="F552" s="3">
        <v>45603.041666666701</v>
      </c>
      <c r="G552" s="20">
        <f t="shared" ca="1" si="8"/>
        <v>1</v>
      </c>
      <c r="H552">
        <f>COUNTIF(BRON!A:A,Tabel6[[#This Row],[Personeelsnummer]])</f>
        <v>5</v>
      </c>
    </row>
    <row r="553" spans="1:8" x14ac:dyDescent="0.25">
      <c r="A553" s="18" t="s">
        <v>2853</v>
      </c>
      <c r="B553" s="18" t="s">
        <v>1497</v>
      </c>
      <c r="C553" s="18" t="s">
        <v>2132</v>
      </c>
      <c r="D553">
        <v>41230</v>
      </c>
      <c r="E553" s="18" t="s">
        <v>2300</v>
      </c>
      <c r="F553" s="3">
        <v>45603.041666666701</v>
      </c>
      <c r="G553" s="20">
        <f t="shared" ca="1" si="8"/>
        <v>1</v>
      </c>
      <c r="H553">
        <f>COUNTIF(BRON!A:A,Tabel6[[#This Row],[Personeelsnummer]])</f>
        <v>2</v>
      </c>
    </row>
    <row r="554" spans="1:8" x14ac:dyDescent="0.25">
      <c r="A554" s="18" t="s">
        <v>2854</v>
      </c>
      <c r="B554" s="18" t="s">
        <v>2135</v>
      </c>
      <c r="C554" s="18" t="s">
        <v>2134</v>
      </c>
      <c r="D554">
        <v>41296</v>
      </c>
      <c r="E554" s="18" t="s">
        <v>2297</v>
      </c>
      <c r="F554" s="3">
        <v>45618.041666666701</v>
      </c>
      <c r="G554" s="20">
        <f t="shared" ca="1" si="8"/>
        <v>1</v>
      </c>
      <c r="H554">
        <f>COUNTIF(BRON!A:A,Tabel6[[#This Row],[Personeelsnummer]])</f>
        <v>2</v>
      </c>
    </row>
    <row r="555" spans="1:8" x14ac:dyDescent="0.25">
      <c r="A555" s="18" t="s">
        <v>2855</v>
      </c>
      <c r="B555" s="18" t="s">
        <v>1971</v>
      </c>
      <c r="C555" s="18" t="s">
        <v>2027</v>
      </c>
      <c r="D555">
        <v>42307</v>
      </c>
      <c r="E555" s="18" t="s">
        <v>2297</v>
      </c>
      <c r="F555" s="3">
        <v>45903.083333333299</v>
      </c>
      <c r="G555" s="20">
        <f t="shared" ca="1" si="8"/>
        <v>0</v>
      </c>
      <c r="H555">
        <f>COUNTIF(BRON!A:A,Tabel6[[#This Row],[Personeelsnummer]])</f>
        <v>3</v>
      </c>
    </row>
    <row r="556" spans="1:8" x14ac:dyDescent="0.25">
      <c r="A556" s="18" t="s">
        <v>2856</v>
      </c>
      <c r="B556" s="18" t="s">
        <v>1729</v>
      </c>
      <c r="C556" s="18" t="s">
        <v>1728</v>
      </c>
      <c r="D556">
        <v>31891</v>
      </c>
      <c r="E556" s="18" t="s">
        <v>2261</v>
      </c>
      <c r="F556" s="3">
        <v>45873.083333333299</v>
      </c>
      <c r="G556" s="20">
        <f t="shared" ca="1" si="8"/>
        <v>0</v>
      </c>
      <c r="H556">
        <f>COUNTIF(BRON!A:A,Tabel6[[#This Row],[Personeelsnummer]])</f>
        <v>1</v>
      </c>
    </row>
    <row r="557" spans="1:8" x14ac:dyDescent="0.25">
      <c r="A557" s="18" t="s">
        <v>2857</v>
      </c>
      <c r="B557" s="18" t="s">
        <v>1859</v>
      </c>
      <c r="C557" s="18" t="s">
        <v>1858</v>
      </c>
      <c r="D557">
        <v>36427</v>
      </c>
      <c r="E557" s="18" t="s">
        <v>2270</v>
      </c>
      <c r="F557" s="3">
        <v>45883.083333333299</v>
      </c>
      <c r="G557" s="20">
        <f t="shared" ca="1" si="8"/>
        <v>0</v>
      </c>
      <c r="H557">
        <f>COUNTIF(BRON!A:A,Tabel6[[#This Row],[Personeelsnummer]])</f>
        <v>0</v>
      </c>
    </row>
    <row r="558" spans="1:8" x14ac:dyDescent="0.25">
      <c r="A558" s="18" t="s">
        <v>2858</v>
      </c>
      <c r="B558" s="18" t="s">
        <v>2859</v>
      </c>
      <c r="C558" s="18" t="s">
        <v>2860</v>
      </c>
      <c r="D558">
        <v>36815</v>
      </c>
      <c r="E558" s="18" t="s">
        <v>2376</v>
      </c>
      <c r="F558" s="3">
        <v>45979.041666666701</v>
      </c>
      <c r="G558" s="20">
        <f t="shared" ca="1" si="8"/>
        <v>0</v>
      </c>
      <c r="H558">
        <f>COUNTIF(BRON!A:A,Tabel6[[#This Row],[Personeelsnummer]])</f>
        <v>0</v>
      </c>
    </row>
    <row r="559" spans="1:8" x14ac:dyDescent="0.25">
      <c r="A559" s="18" t="s">
        <v>2861</v>
      </c>
      <c r="B559" s="18" t="s">
        <v>1583</v>
      </c>
      <c r="C559" s="18" t="s">
        <v>2043</v>
      </c>
      <c r="D559">
        <v>39928</v>
      </c>
      <c r="E559" s="18" t="s">
        <v>2261</v>
      </c>
      <c r="F559" s="3">
        <v>45896.083333333299</v>
      </c>
      <c r="G559" s="20">
        <f t="shared" ca="1" si="8"/>
        <v>0</v>
      </c>
      <c r="H559">
        <f>COUNTIF(BRON!A:A,Tabel6[[#This Row],[Personeelsnummer]])</f>
        <v>2</v>
      </c>
    </row>
    <row r="560" spans="1:8" x14ac:dyDescent="0.25">
      <c r="A560" s="18" t="s">
        <v>2862</v>
      </c>
      <c r="B560" s="18" t="s">
        <v>2133</v>
      </c>
      <c r="C560" s="18" t="s">
        <v>1991</v>
      </c>
      <c r="D560">
        <v>41246</v>
      </c>
      <c r="E560" s="18" t="s">
        <v>2300</v>
      </c>
      <c r="F560" s="3">
        <v>45663.041666666701</v>
      </c>
      <c r="G560" s="20">
        <f t="shared" ca="1" si="8"/>
        <v>1</v>
      </c>
      <c r="H560">
        <f>COUNTIF(BRON!A:A,Tabel6[[#This Row],[Personeelsnummer]])</f>
        <v>3</v>
      </c>
    </row>
    <row r="561" spans="1:8" x14ac:dyDescent="0.25">
      <c r="A561" s="18" t="s">
        <v>2863</v>
      </c>
      <c r="B561" s="18" t="s">
        <v>2137</v>
      </c>
      <c r="C561" s="18" t="s">
        <v>2136</v>
      </c>
      <c r="D561">
        <v>41344</v>
      </c>
      <c r="E561" s="18" t="s">
        <v>2270</v>
      </c>
      <c r="F561" s="3">
        <v>45663.041666666701</v>
      </c>
      <c r="G561" s="20">
        <f t="shared" ca="1" si="8"/>
        <v>1</v>
      </c>
      <c r="H561">
        <f>COUNTIF(BRON!A:A,Tabel6[[#This Row],[Personeelsnummer]])</f>
        <v>0</v>
      </c>
    </row>
    <row r="562" spans="1:8" x14ac:dyDescent="0.25">
      <c r="A562" s="18" t="s">
        <v>2864</v>
      </c>
      <c r="B562" s="18" t="s">
        <v>2139</v>
      </c>
      <c r="C562" s="18" t="s">
        <v>2138</v>
      </c>
      <c r="D562">
        <v>41348</v>
      </c>
      <c r="E562" s="18" t="s">
        <v>2297</v>
      </c>
      <c r="F562" s="3">
        <v>45673.041666666701</v>
      </c>
      <c r="G562" s="20">
        <f t="shared" ca="1" si="8"/>
        <v>1</v>
      </c>
      <c r="H562">
        <f>COUNTIF(BRON!A:A,Tabel6[[#This Row],[Personeelsnummer]])</f>
        <v>1</v>
      </c>
    </row>
    <row r="563" spans="1:8" x14ac:dyDescent="0.25">
      <c r="A563" s="18" t="s">
        <v>2865</v>
      </c>
      <c r="B563" s="18" t="s">
        <v>1070</v>
      </c>
      <c r="C563" s="18" t="s">
        <v>2140</v>
      </c>
      <c r="D563">
        <v>41357</v>
      </c>
      <c r="E563" s="18" t="s">
        <v>2261</v>
      </c>
      <c r="F563" s="3">
        <v>45692.041666666701</v>
      </c>
      <c r="G563" s="20">
        <f t="shared" ca="1" si="8"/>
        <v>0</v>
      </c>
      <c r="H563">
        <f>COUNTIF(BRON!A:A,Tabel6[[#This Row],[Personeelsnummer]])</f>
        <v>1</v>
      </c>
    </row>
    <row r="564" spans="1:8" x14ac:dyDescent="0.25">
      <c r="A564" s="18" t="s">
        <v>2866</v>
      </c>
      <c r="B564" s="18" t="s">
        <v>1326</v>
      </c>
      <c r="C564" s="18" t="s">
        <v>1638</v>
      </c>
      <c r="D564">
        <v>41383</v>
      </c>
      <c r="E564" s="18" t="s">
        <v>2270</v>
      </c>
      <c r="F564" s="3">
        <v>45663.041666666701</v>
      </c>
      <c r="G564" s="20">
        <f t="shared" ca="1" si="8"/>
        <v>1</v>
      </c>
      <c r="H564">
        <f>COUNTIF(BRON!A:A,Tabel6[[#This Row],[Personeelsnummer]])</f>
        <v>1</v>
      </c>
    </row>
    <row r="565" spans="1:8" x14ac:dyDescent="0.25">
      <c r="A565" s="18" t="s">
        <v>2867</v>
      </c>
      <c r="B565" s="18" t="s">
        <v>2142</v>
      </c>
      <c r="C565" s="18" t="s">
        <v>2141</v>
      </c>
      <c r="D565">
        <v>41384</v>
      </c>
      <c r="E565" s="18" t="s">
        <v>2297</v>
      </c>
      <c r="F565" s="3">
        <v>45677.041666666701</v>
      </c>
      <c r="G565" s="20">
        <f t="shared" ca="1" si="8"/>
        <v>0</v>
      </c>
      <c r="H565">
        <f>COUNTIF(BRON!A:A,Tabel6[[#This Row],[Personeelsnummer]])</f>
        <v>4</v>
      </c>
    </row>
    <row r="566" spans="1:8" x14ac:dyDescent="0.25">
      <c r="A566" s="18" t="s">
        <v>2868</v>
      </c>
      <c r="B566" s="18" t="s">
        <v>1589</v>
      </c>
      <c r="C566" s="18" t="s">
        <v>2143</v>
      </c>
      <c r="D566">
        <v>41482</v>
      </c>
      <c r="E566" s="18" t="s">
        <v>2261</v>
      </c>
      <c r="F566" s="3">
        <v>45735.041666666701</v>
      </c>
      <c r="G566" s="20">
        <f t="shared" ca="1" si="8"/>
        <v>0</v>
      </c>
      <c r="H566">
        <f>COUNTIF(BRON!A:A,Tabel6[[#This Row],[Personeelsnummer]])</f>
        <v>3</v>
      </c>
    </row>
    <row r="567" spans="1:8" x14ac:dyDescent="0.25">
      <c r="A567" s="18" t="s">
        <v>2869</v>
      </c>
      <c r="B567" s="18" t="s">
        <v>2145</v>
      </c>
      <c r="C567" s="18" t="s">
        <v>2144</v>
      </c>
      <c r="D567">
        <v>41520</v>
      </c>
      <c r="E567" s="18" t="s">
        <v>2297</v>
      </c>
      <c r="F567" s="3">
        <v>45720.041666666701</v>
      </c>
      <c r="G567" s="20">
        <f t="shared" ca="1" si="8"/>
        <v>0</v>
      </c>
      <c r="H567">
        <f>COUNTIF(BRON!A:A,Tabel6[[#This Row],[Personeelsnummer]])</f>
        <v>3</v>
      </c>
    </row>
    <row r="568" spans="1:8" x14ac:dyDescent="0.25">
      <c r="A568" s="18" t="s">
        <v>2870</v>
      </c>
      <c r="B568" s="18" t="s">
        <v>2146</v>
      </c>
      <c r="C568" s="18" t="s">
        <v>2036</v>
      </c>
      <c r="D568">
        <v>41521</v>
      </c>
      <c r="E568" s="18" t="s">
        <v>2265</v>
      </c>
      <c r="F568" s="3">
        <v>45720.041666666701</v>
      </c>
      <c r="G568" s="20">
        <f t="shared" ca="1" si="8"/>
        <v>0</v>
      </c>
      <c r="H568">
        <f>COUNTIF(BRON!A:A,Tabel6[[#This Row],[Personeelsnummer]])</f>
        <v>0</v>
      </c>
    </row>
    <row r="569" spans="1:8" x14ac:dyDescent="0.25">
      <c r="A569" s="18" t="s">
        <v>2871</v>
      </c>
      <c r="B569" s="18" t="s">
        <v>1903</v>
      </c>
      <c r="C569" s="18" t="s">
        <v>2147</v>
      </c>
      <c r="D569">
        <v>41550</v>
      </c>
      <c r="E569" s="18" t="s">
        <v>2297</v>
      </c>
      <c r="F569" s="3">
        <v>45735.041666666701</v>
      </c>
      <c r="G569" s="20">
        <f t="shared" ca="1" si="8"/>
        <v>0</v>
      </c>
      <c r="H569">
        <f>COUNTIF(BRON!A:A,Tabel6[[#This Row],[Personeelsnummer]])</f>
        <v>0</v>
      </c>
    </row>
    <row r="570" spans="1:8" x14ac:dyDescent="0.25">
      <c r="A570" s="18" t="s">
        <v>2872</v>
      </c>
      <c r="B570" s="18" t="s">
        <v>1561</v>
      </c>
      <c r="C570" s="18" t="s">
        <v>2148</v>
      </c>
      <c r="D570">
        <v>41588</v>
      </c>
      <c r="E570" s="18" t="s">
        <v>2265</v>
      </c>
      <c r="F570" s="3">
        <v>45749.083333333299</v>
      </c>
      <c r="G570" s="20">
        <f t="shared" ca="1" si="8"/>
        <v>0</v>
      </c>
      <c r="H570">
        <f>COUNTIF(BRON!A:A,Tabel6[[#This Row],[Personeelsnummer]])</f>
        <v>3</v>
      </c>
    </row>
    <row r="571" spans="1:8" x14ac:dyDescent="0.25">
      <c r="A571" s="18" t="s">
        <v>2873</v>
      </c>
      <c r="B571" s="18" t="s">
        <v>2150</v>
      </c>
      <c r="C571" s="18" t="s">
        <v>2149</v>
      </c>
      <c r="D571">
        <v>41619</v>
      </c>
      <c r="E571" s="18" t="s">
        <v>2261</v>
      </c>
      <c r="F571" s="3">
        <v>45770.083333333299</v>
      </c>
      <c r="G571" s="20">
        <f t="shared" ca="1" si="8"/>
        <v>0</v>
      </c>
      <c r="H571">
        <f>COUNTIF(BRON!A:A,Tabel6[[#This Row],[Personeelsnummer]])</f>
        <v>4</v>
      </c>
    </row>
    <row r="572" spans="1:8" x14ac:dyDescent="0.25">
      <c r="A572" s="18" t="s">
        <v>2874</v>
      </c>
      <c r="B572" s="18" t="s">
        <v>2152</v>
      </c>
      <c r="C572" s="18" t="s">
        <v>2151</v>
      </c>
      <c r="D572">
        <v>41632</v>
      </c>
      <c r="E572" s="18" t="s">
        <v>2261</v>
      </c>
      <c r="F572" s="3">
        <v>45720.041666666701</v>
      </c>
      <c r="G572" s="20">
        <f t="shared" ca="1" si="8"/>
        <v>0</v>
      </c>
      <c r="H572">
        <f>COUNTIF(BRON!A:A,Tabel6[[#This Row],[Personeelsnummer]])</f>
        <v>0</v>
      </c>
    </row>
    <row r="573" spans="1:8" x14ac:dyDescent="0.25">
      <c r="A573" s="18" t="s">
        <v>2875</v>
      </c>
      <c r="B573" s="18" t="s">
        <v>2154</v>
      </c>
      <c r="C573" s="18" t="s">
        <v>2153</v>
      </c>
      <c r="D573">
        <v>41671</v>
      </c>
      <c r="E573" s="18" t="s">
        <v>2261</v>
      </c>
      <c r="F573" s="3">
        <v>45783.083333333299</v>
      </c>
      <c r="G573" s="20">
        <f t="shared" ca="1" si="8"/>
        <v>0</v>
      </c>
      <c r="H573">
        <f>COUNTIF(BRON!A:A,Tabel6[[#This Row],[Personeelsnummer]])</f>
        <v>1</v>
      </c>
    </row>
    <row r="574" spans="1:8" x14ac:dyDescent="0.25">
      <c r="A574" s="18" t="s">
        <v>2876</v>
      </c>
      <c r="B574" s="18" t="s">
        <v>2156</v>
      </c>
      <c r="C574" s="18" t="s">
        <v>2155</v>
      </c>
      <c r="D574">
        <v>41685</v>
      </c>
      <c r="E574" s="18" t="s">
        <v>2265</v>
      </c>
      <c r="F574" s="3">
        <v>45735.041666666701</v>
      </c>
      <c r="G574" s="20">
        <f t="shared" ca="1" si="8"/>
        <v>0</v>
      </c>
      <c r="H574">
        <f>COUNTIF(BRON!A:A,Tabel6[[#This Row],[Personeelsnummer]])</f>
        <v>2</v>
      </c>
    </row>
    <row r="575" spans="1:8" x14ac:dyDescent="0.25">
      <c r="A575" s="18" t="s">
        <v>2877</v>
      </c>
      <c r="B575" s="18" t="s">
        <v>1981</v>
      </c>
      <c r="C575" s="18" t="s">
        <v>2157</v>
      </c>
      <c r="D575">
        <v>41690</v>
      </c>
      <c r="E575" s="18" t="s">
        <v>2277</v>
      </c>
      <c r="F575" s="3">
        <v>45783.083333333299</v>
      </c>
      <c r="G575" s="20">
        <f t="shared" ca="1" si="8"/>
        <v>0</v>
      </c>
      <c r="H575">
        <f>COUNTIF(BRON!A:A,Tabel6[[#This Row],[Personeelsnummer]])</f>
        <v>1</v>
      </c>
    </row>
    <row r="576" spans="1:8" x14ac:dyDescent="0.25">
      <c r="A576" s="18" t="s">
        <v>2878</v>
      </c>
      <c r="B576" s="18" t="s">
        <v>2158</v>
      </c>
      <c r="C576" s="18" t="s">
        <v>1779</v>
      </c>
      <c r="D576">
        <v>41710</v>
      </c>
      <c r="E576" s="18" t="s">
        <v>2270</v>
      </c>
      <c r="F576" s="3">
        <v>45735.041666666701</v>
      </c>
      <c r="G576" s="20">
        <f t="shared" ca="1" si="8"/>
        <v>0</v>
      </c>
      <c r="H576">
        <f>COUNTIF(BRON!A:A,Tabel6[[#This Row],[Personeelsnummer]])</f>
        <v>1</v>
      </c>
    </row>
    <row r="577" spans="1:8" x14ac:dyDescent="0.25">
      <c r="A577" s="18" t="s">
        <v>2879</v>
      </c>
      <c r="B577" s="18" t="s">
        <v>2160</v>
      </c>
      <c r="C577" s="18" t="s">
        <v>2159</v>
      </c>
      <c r="D577">
        <v>41721</v>
      </c>
      <c r="E577" s="18" t="s">
        <v>2265</v>
      </c>
      <c r="F577" s="3">
        <v>45749.083333333299</v>
      </c>
      <c r="G577" s="20">
        <f t="shared" ca="1" si="8"/>
        <v>0</v>
      </c>
      <c r="H577">
        <f>COUNTIF(BRON!A:A,Tabel6[[#This Row],[Personeelsnummer]])</f>
        <v>1</v>
      </c>
    </row>
    <row r="578" spans="1:8" x14ac:dyDescent="0.25">
      <c r="A578" s="18" t="s">
        <v>2880</v>
      </c>
      <c r="B578" s="18" t="s">
        <v>1709</v>
      </c>
      <c r="C578" s="18" t="s">
        <v>2161</v>
      </c>
      <c r="D578">
        <v>41786</v>
      </c>
      <c r="E578" s="18" t="s">
        <v>2297</v>
      </c>
      <c r="F578" s="3">
        <v>45763.083333333299</v>
      </c>
      <c r="G578" s="20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18" t="s">
        <v>2881</v>
      </c>
      <c r="B579" s="18" t="s">
        <v>2163</v>
      </c>
      <c r="C579" s="18" t="s">
        <v>2162</v>
      </c>
      <c r="D579">
        <v>41821</v>
      </c>
      <c r="E579" s="18" t="s">
        <v>2297</v>
      </c>
      <c r="F579" s="3">
        <v>45783.083333333299</v>
      </c>
      <c r="G579" s="20">
        <f t="shared" ca="1" si="9"/>
        <v>0</v>
      </c>
      <c r="H579">
        <f>COUNTIF(BRON!A:A,Tabel6[[#This Row],[Personeelsnummer]])</f>
        <v>0</v>
      </c>
    </row>
    <row r="580" spans="1:8" x14ac:dyDescent="0.25">
      <c r="A580" s="18" t="s">
        <v>2882</v>
      </c>
      <c r="B580" s="18" t="s">
        <v>1070</v>
      </c>
      <c r="C580" s="18" t="s">
        <v>1069</v>
      </c>
      <c r="D580">
        <v>41859</v>
      </c>
      <c r="E580" s="18" t="s">
        <v>2376</v>
      </c>
      <c r="F580" s="3">
        <v>45783.083333333299</v>
      </c>
      <c r="G580" s="20">
        <f t="shared" ca="1" si="9"/>
        <v>0</v>
      </c>
      <c r="H580">
        <f>COUNTIF(BRON!A:A,Tabel6[[#This Row],[Personeelsnummer]])</f>
        <v>2</v>
      </c>
    </row>
    <row r="581" spans="1:8" x14ac:dyDescent="0.25">
      <c r="A581" s="18" t="s">
        <v>2883</v>
      </c>
      <c r="B581" s="18" t="s">
        <v>2164</v>
      </c>
      <c r="C581" s="18" t="s">
        <v>1545</v>
      </c>
      <c r="D581">
        <v>41870</v>
      </c>
      <c r="E581" s="18" t="s">
        <v>2286</v>
      </c>
      <c r="F581" s="3">
        <v>45798.083333333299</v>
      </c>
      <c r="G581" s="20">
        <f t="shared" ca="1" si="9"/>
        <v>0</v>
      </c>
      <c r="H581">
        <f>COUNTIF(BRON!A:A,Tabel6[[#This Row],[Personeelsnummer]])</f>
        <v>1</v>
      </c>
    </row>
    <row r="582" spans="1:8" x14ac:dyDescent="0.25">
      <c r="A582" s="18" t="s">
        <v>2884</v>
      </c>
      <c r="B582" s="18" t="s">
        <v>2166</v>
      </c>
      <c r="C582" s="18" t="s">
        <v>2165</v>
      </c>
      <c r="D582">
        <v>41871</v>
      </c>
      <c r="E582" s="18" t="s">
        <v>2300</v>
      </c>
      <c r="F582" s="3">
        <v>45798.083333333299</v>
      </c>
      <c r="G582" s="20">
        <f t="shared" ca="1" si="9"/>
        <v>0</v>
      </c>
      <c r="H582">
        <f>COUNTIF(BRON!A:A,Tabel6[[#This Row],[Personeelsnummer]])</f>
        <v>2</v>
      </c>
    </row>
    <row r="583" spans="1:8" x14ac:dyDescent="0.25">
      <c r="A583" s="18" t="s">
        <v>2885</v>
      </c>
      <c r="B583" s="18" t="s">
        <v>1591</v>
      </c>
      <c r="C583" s="18" t="s">
        <v>2167</v>
      </c>
      <c r="D583">
        <v>41874</v>
      </c>
      <c r="E583" s="18" t="s">
        <v>2300</v>
      </c>
      <c r="F583" s="3">
        <v>45814.083333333299</v>
      </c>
      <c r="G583" s="20">
        <f t="shared" ca="1" si="9"/>
        <v>0</v>
      </c>
      <c r="H583">
        <f>COUNTIF(BRON!A:A,Tabel6[[#This Row],[Personeelsnummer]])</f>
        <v>3</v>
      </c>
    </row>
    <row r="584" spans="1:8" x14ac:dyDescent="0.25">
      <c r="A584" s="18" t="s">
        <v>2886</v>
      </c>
      <c r="B584" s="18" t="s">
        <v>1453</v>
      </c>
      <c r="C584" s="18" t="s">
        <v>2168</v>
      </c>
      <c r="D584">
        <v>41882</v>
      </c>
      <c r="E584" s="18" t="s">
        <v>2270</v>
      </c>
      <c r="F584" s="3">
        <v>45831.083333333299</v>
      </c>
      <c r="G584" s="20">
        <f t="shared" ca="1" si="9"/>
        <v>0</v>
      </c>
      <c r="H584">
        <f>COUNTIF(BRON!A:A,Tabel6[[#This Row],[Personeelsnummer]])</f>
        <v>1</v>
      </c>
    </row>
    <row r="585" spans="1:8" x14ac:dyDescent="0.25">
      <c r="A585" s="18" t="s">
        <v>2887</v>
      </c>
      <c r="B585" s="18" t="s">
        <v>1903</v>
      </c>
      <c r="C585" s="18" t="s">
        <v>2169</v>
      </c>
      <c r="D585">
        <v>41888</v>
      </c>
      <c r="E585" s="18" t="s">
        <v>2265</v>
      </c>
      <c r="F585" s="3">
        <v>45831.083333333299</v>
      </c>
      <c r="G585" s="20">
        <f t="shared" ca="1" si="9"/>
        <v>0</v>
      </c>
      <c r="H585">
        <f>COUNTIF(BRON!A:A,Tabel6[[#This Row],[Personeelsnummer]])</f>
        <v>1</v>
      </c>
    </row>
    <row r="586" spans="1:8" x14ac:dyDescent="0.25">
      <c r="A586" s="18" t="s">
        <v>2888</v>
      </c>
      <c r="B586" s="18" t="s">
        <v>2171</v>
      </c>
      <c r="C586" s="18" t="s">
        <v>2170</v>
      </c>
      <c r="D586">
        <v>41918</v>
      </c>
      <c r="E586" s="18" t="s">
        <v>2297</v>
      </c>
      <c r="F586" s="3">
        <v>45831.083333333299</v>
      </c>
      <c r="G586" s="20">
        <f t="shared" ca="1" si="9"/>
        <v>0</v>
      </c>
      <c r="H586">
        <f>COUNTIF(BRON!A:A,Tabel6[[#This Row],[Personeelsnummer]])</f>
        <v>2</v>
      </c>
    </row>
    <row r="587" spans="1:8" x14ac:dyDescent="0.25">
      <c r="A587" s="18" t="s">
        <v>2889</v>
      </c>
      <c r="B587" s="18" t="s">
        <v>2173</v>
      </c>
      <c r="C587" s="18" t="s">
        <v>2172</v>
      </c>
      <c r="D587">
        <v>41944</v>
      </c>
      <c r="E587" s="18" t="s">
        <v>2300</v>
      </c>
      <c r="F587" s="3">
        <v>45798.083333333299</v>
      </c>
      <c r="G587" s="20">
        <f t="shared" ca="1" si="9"/>
        <v>0</v>
      </c>
      <c r="H587">
        <f>COUNTIF(BRON!A:A,Tabel6[[#This Row],[Personeelsnummer]])</f>
        <v>0</v>
      </c>
    </row>
    <row r="588" spans="1:8" x14ac:dyDescent="0.25">
      <c r="A588" s="18" t="s">
        <v>2890</v>
      </c>
      <c r="B588" s="18" t="s">
        <v>1329</v>
      </c>
      <c r="C588" s="18" t="s">
        <v>2174</v>
      </c>
      <c r="D588">
        <v>41948</v>
      </c>
      <c r="E588" s="18" t="s">
        <v>2277</v>
      </c>
      <c r="F588" s="3">
        <v>45831.083333333299</v>
      </c>
      <c r="G588" s="20">
        <f t="shared" ca="1" si="9"/>
        <v>0</v>
      </c>
      <c r="H588">
        <f>COUNTIF(BRON!A:A,Tabel6[[#This Row],[Personeelsnummer]])</f>
        <v>3</v>
      </c>
    </row>
    <row r="589" spans="1:8" x14ac:dyDescent="0.25">
      <c r="A589" s="18" t="s">
        <v>2891</v>
      </c>
      <c r="B589" s="18" t="s">
        <v>1503</v>
      </c>
      <c r="C589" s="18" t="s">
        <v>2175</v>
      </c>
      <c r="D589">
        <v>41949</v>
      </c>
      <c r="E589" s="18" t="s">
        <v>2297</v>
      </c>
      <c r="F589" s="3">
        <v>45845.083333333299</v>
      </c>
      <c r="G589" s="20">
        <f t="shared" ca="1" si="9"/>
        <v>0</v>
      </c>
      <c r="H589">
        <f>COUNTIF(BRON!A:A,Tabel6[[#This Row],[Personeelsnummer]])</f>
        <v>0</v>
      </c>
    </row>
    <row r="590" spans="1:8" x14ac:dyDescent="0.25">
      <c r="A590" s="18" t="s">
        <v>2892</v>
      </c>
      <c r="B590" s="18" t="s">
        <v>1696</v>
      </c>
      <c r="C590" s="18" t="s">
        <v>2176</v>
      </c>
      <c r="D590">
        <v>42002</v>
      </c>
      <c r="E590" s="18" t="s">
        <v>2270</v>
      </c>
      <c r="F590" s="3">
        <v>45814.083333333299</v>
      </c>
      <c r="G590" s="20">
        <f t="shared" ca="1" si="9"/>
        <v>0</v>
      </c>
      <c r="H590">
        <f>COUNTIF(BRON!A:A,Tabel6[[#This Row],[Personeelsnummer]])</f>
        <v>3</v>
      </c>
    </row>
    <row r="591" spans="1:8" x14ac:dyDescent="0.25">
      <c r="A591" s="18" t="s">
        <v>2893</v>
      </c>
      <c r="B591" s="18" t="s">
        <v>1932</v>
      </c>
      <c r="C591" s="18" t="s">
        <v>2177</v>
      </c>
      <c r="D591">
        <v>42015</v>
      </c>
      <c r="E591" s="18" t="s">
        <v>2270</v>
      </c>
      <c r="F591" s="3">
        <v>45831.083333333299</v>
      </c>
      <c r="G591" s="20">
        <f t="shared" ca="1" si="9"/>
        <v>0</v>
      </c>
      <c r="H591">
        <f>COUNTIF(BRON!A:A,Tabel6[[#This Row],[Personeelsnummer]])</f>
        <v>1</v>
      </c>
    </row>
    <row r="592" spans="1:8" x14ac:dyDescent="0.25">
      <c r="A592" s="18" t="s">
        <v>2894</v>
      </c>
      <c r="B592" s="18" t="s">
        <v>2179</v>
      </c>
      <c r="C592" s="18" t="s">
        <v>2178</v>
      </c>
      <c r="D592">
        <v>42022</v>
      </c>
      <c r="E592" s="18" t="s">
        <v>2270</v>
      </c>
      <c r="F592" s="3">
        <v>45840.083333333299</v>
      </c>
      <c r="G592" s="20">
        <f t="shared" ca="1" si="9"/>
        <v>0</v>
      </c>
      <c r="H592">
        <f>COUNTIF(BRON!A:A,Tabel6[[#This Row],[Personeelsnummer]])</f>
        <v>1</v>
      </c>
    </row>
    <row r="593" spans="1:8" x14ac:dyDescent="0.25">
      <c r="A593" s="18" t="s">
        <v>2895</v>
      </c>
      <c r="B593" s="18" t="s">
        <v>2181</v>
      </c>
      <c r="C593" s="18" t="s">
        <v>2180</v>
      </c>
      <c r="D593">
        <v>42044</v>
      </c>
      <c r="E593" s="18" t="s">
        <v>2300</v>
      </c>
      <c r="F593" s="3">
        <v>45854.083333333299</v>
      </c>
      <c r="G593" s="20">
        <f t="shared" ca="1" si="9"/>
        <v>0</v>
      </c>
      <c r="H593">
        <f>COUNTIF(BRON!A:A,Tabel6[[#This Row],[Personeelsnummer]])</f>
        <v>1</v>
      </c>
    </row>
    <row r="594" spans="1:8" x14ac:dyDescent="0.25">
      <c r="A594" s="18" t="s">
        <v>2896</v>
      </c>
      <c r="B594" s="18" t="s">
        <v>2182</v>
      </c>
      <c r="C594" s="18" t="s">
        <v>1949</v>
      </c>
      <c r="D594">
        <v>42082</v>
      </c>
      <c r="E594" s="18" t="s">
        <v>2300</v>
      </c>
      <c r="F594" s="3">
        <v>45853.083333333299</v>
      </c>
      <c r="G594" s="20">
        <f t="shared" ca="1" si="9"/>
        <v>0</v>
      </c>
      <c r="H594">
        <f>COUNTIF(BRON!A:A,Tabel6[[#This Row],[Personeelsnummer]])</f>
        <v>1</v>
      </c>
    </row>
    <row r="595" spans="1:8" x14ac:dyDescent="0.25">
      <c r="A595" s="18" t="s">
        <v>2897</v>
      </c>
      <c r="B595" s="18" t="s">
        <v>1706</v>
      </c>
      <c r="C595" s="18" t="s">
        <v>2183</v>
      </c>
      <c r="D595">
        <v>42120</v>
      </c>
      <c r="E595" s="18" t="s">
        <v>2265</v>
      </c>
      <c r="F595" s="3">
        <v>45860.083333333299</v>
      </c>
      <c r="G595" s="20">
        <f t="shared" ca="1" si="9"/>
        <v>0</v>
      </c>
      <c r="H595">
        <f>COUNTIF(BRON!A:A,Tabel6[[#This Row],[Personeelsnummer]])</f>
        <v>3</v>
      </c>
    </row>
    <row r="596" spans="1:8" x14ac:dyDescent="0.25">
      <c r="A596" s="18" t="s">
        <v>2898</v>
      </c>
      <c r="B596" s="18" t="s">
        <v>1503</v>
      </c>
      <c r="C596" s="18" t="s">
        <v>2184</v>
      </c>
      <c r="D596">
        <v>42141</v>
      </c>
      <c r="E596" s="18" t="s">
        <v>2297</v>
      </c>
      <c r="F596" s="3">
        <v>45868.083333333299</v>
      </c>
      <c r="G596" s="20">
        <f t="shared" ca="1" si="9"/>
        <v>0</v>
      </c>
      <c r="H596">
        <f>COUNTIF(BRON!A:A,Tabel6[[#This Row],[Personeelsnummer]])</f>
        <v>0</v>
      </c>
    </row>
    <row r="597" spans="1:8" x14ac:dyDescent="0.25">
      <c r="A597" s="18" t="s">
        <v>2899</v>
      </c>
      <c r="B597" s="18" t="s">
        <v>2186</v>
      </c>
      <c r="C597" s="18" t="s">
        <v>2185</v>
      </c>
      <c r="D597">
        <v>42143</v>
      </c>
      <c r="E597" s="18" t="s">
        <v>2261</v>
      </c>
      <c r="F597" s="3">
        <v>45889.083333333299</v>
      </c>
      <c r="G597" s="20">
        <f t="shared" ca="1" si="9"/>
        <v>0</v>
      </c>
      <c r="H597">
        <f>COUNTIF(BRON!A:A,Tabel6[[#This Row],[Personeelsnummer]])</f>
        <v>1</v>
      </c>
    </row>
    <row r="598" spans="1:8" x14ac:dyDescent="0.25">
      <c r="A598" s="18" t="s">
        <v>2900</v>
      </c>
      <c r="B598" s="18" t="s">
        <v>2188</v>
      </c>
      <c r="C598" s="18" t="s">
        <v>2187</v>
      </c>
      <c r="D598">
        <v>42144</v>
      </c>
      <c r="E598" s="18" t="s">
        <v>2270</v>
      </c>
      <c r="F598" s="3">
        <v>45889.083333333299</v>
      </c>
      <c r="G598" s="20">
        <f t="shared" ca="1" si="9"/>
        <v>0</v>
      </c>
      <c r="H598">
        <f>COUNTIF(BRON!A:A,Tabel6[[#This Row],[Personeelsnummer]])</f>
        <v>0</v>
      </c>
    </row>
    <row r="599" spans="1:8" x14ac:dyDescent="0.25">
      <c r="A599" s="18" t="s">
        <v>2901</v>
      </c>
      <c r="B599" s="18" t="s">
        <v>2190</v>
      </c>
      <c r="C599" s="18" t="s">
        <v>2189</v>
      </c>
      <c r="D599">
        <v>42145</v>
      </c>
      <c r="E599" s="18" t="s">
        <v>2286</v>
      </c>
      <c r="F599" s="3">
        <v>45874.083333333299</v>
      </c>
      <c r="G599" s="20">
        <f t="shared" ca="1" si="9"/>
        <v>0</v>
      </c>
      <c r="H599">
        <f>COUNTIF(BRON!A:A,Tabel6[[#This Row],[Personeelsnummer]])</f>
        <v>2</v>
      </c>
    </row>
    <row r="600" spans="1:8" x14ac:dyDescent="0.25">
      <c r="A600" s="18" t="s">
        <v>2902</v>
      </c>
      <c r="B600" s="18" t="s">
        <v>2192</v>
      </c>
      <c r="C600" s="18" t="s">
        <v>2191</v>
      </c>
      <c r="D600">
        <v>42146</v>
      </c>
      <c r="E600" s="18" t="s">
        <v>2286</v>
      </c>
      <c r="F600" s="3">
        <v>45874.083333333299</v>
      </c>
      <c r="G600" s="20">
        <f t="shared" ca="1" si="9"/>
        <v>0</v>
      </c>
      <c r="H600">
        <f>COUNTIF(BRON!A:A,Tabel6[[#This Row],[Personeelsnummer]])</f>
        <v>3</v>
      </c>
    </row>
    <row r="601" spans="1:8" x14ac:dyDescent="0.25">
      <c r="A601" s="18" t="s">
        <v>2903</v>
      </c>
      <c r="B601" s="18" t="s">
        <v>2194</v>
      </c>
      <c r="C601" s="18" t="s">
        <v>2193</v>
      </c>
      <c r="D601">
        <v>42164</v>
      </c>
      <c r="E601" s="18" t="s">
        <v>2300</v>
      </c>
      <c r="F601" s="3">
        <v>45870.083333333299</v>
      </c>
      <c r="G601" s="20">
        <f t="shared" ca="1" si="9"/>
        <v>0</v>
      </c>
      <c r="H601">
        <f>COUNTIF(BRON!A:A,Tabel6[[#This Row],[Personeelsnummer]])</f>
        <v>0</v>
      </c>
    </row>
    <row r="602" spans="1:8" x14ac:dyDescent="0.25">
      <c r="A602" s="18" t="s">
        <v>2904</v>
      </c>
      <c r="B602" s="18" t="s">
        <v>2196</v>
      </c>
      <c r="C602" s="18" t="s">
        <v>2195</v>
      </c>
      <c r="D602">
        <v>42195</v>
      </c>
      <c r="E602" s="18" t="s">
        <v>2277</v>
      </c>
      <c r="F602" s="3">
        <v>45889.083333333299</v>
      </c>
      <c r="G602" s="20">
        <f t="shared" ca="1" si="9"/>
        <v>0</v>
      </c>
      <c r="H602">
        <f>COUNTIF(BRON!A:A,Tabel6[[#This Row],[Personeelsnummer]])</f>
        <v>0</v>
      </c>
    </row>
    <row r="603" spans="1:8" x14ac:dyDescent="0.25">
      <c r="A603" s="18" t="s">
        <v>2905</v>
      </c>
      <c r="B603" s="18" t="s">
        <v>2198</v>
      </c>
      <c r="C603" s="18" t="s">
        <v>2197</v>
      </c>
      <c r="D603">
        <v>42196</v>
      </c>
      <c r="E603" s="18" t="s">
        <v>2261</v>
      </c>
      <c r="F603" s="3">
        <v>45903.083333333299</v>
      </c>
      <c r="G603" s="20">
        <f t="shared" ca="1" si="9"/>
        <v>0</v>
      </c>
      <c r="H603">
        <f>COUNTIF(BRON!A:A,Tabel6[[#This Row],[Personeelsnummer]])</f>
        <v>0</v>
      </c>
    </row>
    <row r="604" spans="1:8" x14ac:dyDescent="0.25">
      <c r="A604" s="18" t="s">
        <v>2906</v>
      </c>
      <c r="B604" s="18" t="s">
        <v>2200</v>
      </c>
      <c r="C604" s="18" t="s">
        <v>2199</v>
      </c>
      <c r="D604">
        <v>42211</v>
      </c>
      <c r="E604" s="18" t="s">
        <v>2265</v>
      </c>
      <c r="F604" s="3">
        <v>45889.083333333299</v>
      </c>
      <c r="G604" s="20">
        <f t="shared" ca="1" si="9"/>
        <v>0</v>
      </c>
      <c r="H604">
        <f>COUNTIF(BRON!A:A,Tabel6[[#This Row],[Personeelsnummer]])</f>
        <v>0</v>
      </c>
    </row>
    <row r="605" spans="1:8" x14ac:dyDescent="0.25">
      <c r="A605" s="18" t="s">
        <v>2907</v>
      </c>
      <c r="B605" s="18" t="s">
        <v>2201</v>
      </c>
      <c r="C605" s="18" t="s">
        <v>1669</v>
      </c>
      <c r="D605">
        <v>42218</v>
      </c>
      <c r="E605" s="18" t="s">
        <v>2277</v>
      </c>
      <c r="F605" s="3">
        <v>45903.083333333299</v>
      </c>
      <c r="G605" s="20">
        <f t="shared" ca="1" si="9"/>
        <v>0</v>
      </c>
      <c r="H605">
        <f>COUNTIF(BRON!A:A,Tabel6[[#This Row],[Personeelsnummer]])</f>
        <v>1</v>
      </c>
    </row>
    <row r="606" spans="1:8" x14ac:dyDescent="0.25">
      <c r="A606" s="18" t="s">
        <v>2908</v>
      </c>
      <c r="B606" s="18" t="s">
        <v>1900</v>
      </c>
      <c r="C606" s="18" t="s">
        <v>2202</v>
      </c>
      <c r="D606">
        <v>42249</v>
      </c>
      <c r="E606" s="18" t="s">
        <v>2265</v>
      </c>
      <c r="F606" s="3">
        <v>45903.083333333299</v>
      </c>
      <c r="G606" s="20">
        <f t="shared" ca="1" si="9"/>
        <v>0</v>
      </c>
      <c r="H606">
        <f>COUNTIF(BRON!A:A,Tabel6[[#This Row],[Personeelsnummer]])</f>
        <v>1</v>
      </c>
    </row>
    <row r="607" spans="1:8" x14ac:dyDescent="0.25">
      <c r="A607" s="18" t="s">
        <v>2909</v>
      </c>
      <c r="B607" s="18" t="s">
        <v>1583</v>
      </c>
      <c r="C607" s="18" t="s">
        <v>2203</v>
      </c>
      <c r="D607">
        <v>42252</v>
      </c>
      <c r="E607" s="18" t="s">
        <v>2297</v>
      </c>
      <c r="F607" s="3">
        <v>45903.083333333299</v>
      </c>
      <c r="G607" s="20">
        <f t="shared" ca="1" si="9"/>
        <v>0</v>
      </c>
      <c r="H607">
        <f>COUNTIF(BRON!A:A,Tabel6[[#This Row],[Personeelsnummer]])</f>
        <v>5</v>
      </c>
    </row>
    <row r="608" spans="1:8" x14ac:dyDescent="0.25">
      <c r="A608" s="18" t="s">
        <v>2910</v>
      </c>
      <c r="B608" s="18" t="s">
        <v>2204</v>
      </c>
      <c r="C608" s="18" t="s">
        <v>1470</v>
      </c>
      <c r="D608">
        <v>42269</v>
      </c>
      <c r="E608" s="18" t="s">
        <v>2297</v>
      </c>
      <c r="F608" s="3">
        <v>45903.083333333299</v>
      </c>
      <c r="G608" s="20">
        <f t="shared" ca="1" si="9"/>
        <v>0</v>
      </c>
      <c r="H608">
        <f>COUNTIF(BRON!A:A,Tabel6[[#This Row],[Personeelsnummer]])</f>
        <v>0</v>
      </c>
    </row>
    <row r="609" spans="1:8" x14ac:dyDescent="0.25">
      <c r="A609" s="18" t="s">
        <v>2911</v>
      </c>
      <c r="B609" s="18" t="s">
        <v>2206</v>
      </c>
      <c r="C609" s="18" t="s">
        <v>2205</v>
      </c>
      <c r="D609">
        <v>42277</v>
      </c>
      <c r="E609" s="18" t="s">
        <v>2300</v>
      </c>
      <c r="F609" s="3">
        <v>45918.083333333299</v>
      </c>
      <c r="G609" s="20">
        <f t="shared" ca="1" si="9"/>
        <v>0</v>
      </c>
      <c r="H609">
        <f>COUNTIF(BRON!A:A,Tabel6[[#This Row],[Personeelsnummer]])</f>
        <v>1</v>
      </c>
    </row>
    <row r="610" spans="1:8" x14ac:dyDescent="0.25">
      <c r="A610" s="18" t="s">
        <v>2912</v>
      </c>
      <c r="B610" s="18" t="s">
        <v>2208</v>
      </c>
      <c r="C610" s="18" t="s">
        <v>2207</v>
      </c>
      <c r="D610">
        <v>42336</v>
      </c>
      <c r="E610" s="18" t="s">
        <v>2263</v>
      </c>
      <c r="F610" s="3">
        <v>45918.083333333299</v>
      </c>
      <c r="G610" s="20">
        <f t="shared" ca="1" si="9"/>
        <v>0</v>
      </c>
      <c r="H610">
        <f>COUNTIF(BRON!A:A,Tabel6[[#This Row],[Personeelsnummer]])</f>
        <v>1</v>
      </c>
    </row>
    <row r="611" spans="1:8" x14ac:dyDescent="0.25">
      <c r="A611" s="18" t="s">
        <v>2913</v>
      </c>
      <c r="B611" s="18" t="s">
        <v>2210</v>
      </c>
      <c r="C611" s="18" t="s">
        <v>2209</v>
      </c>
      <c r="D611">
        <v>42358</v>
      </c>
      <c r="E611" s="18" t="s">
        <v>2286</v>
      </c>
      <c r="F611" s="3">
        <v>45932.083333333299</v>
      </c>
      <c r="G611" s="20">
        <f t="shared" ca="1" si="9"/>
        <v>0</v>
      </c>
      <c r="H611">
        <f>COUNTIF(BRON!A:A,Tabel6[[#This Row],[Personeelsnummer]])</f>
        <v>0</v>
      </c>
    </row>
    <row r="612" spans="1:8" x14ac:dyDescent="0.25">
      <c r="A612" s="18" t="s">
        <v>2914</v>
      </c>
      <c r="B612" s="18" t="s">
        <v>1389</v>
      </c>
      <c r="C612" s="18" t="s">
        <v>2211</v>
      </c>
      <c r="D612">
        <v>42391</v>
      </c>
      <c r="E612" s="18" t="s">
        <v>2297</v>
      </c>
      <c r="F612" s="3">
        <v>45930.083333333299</v>
      </c>
      <c r="G612" s="20">
        <f t="shared" ca="1" si="9"/>
        <v>0</v>
      </c>
      <c r="H612">
        <f>COUNTIF(BRON!A:A,Tabel6[[#This Row],[Personeelsnummer]])</f>
        <v>0</v>
      </c>
    </row>
    <row r="613" spans="1:8" x14ac:dyDescent="0.25">
      <c r="A613" s="18" t="s">
        <v>2915</v>
      </c>
      <c r="B613" s="18" t="s">
        <v>1861</v>
      </c>
      <c r="C613" s="18" t="s">
        <v>2212</v>
      </c>
      <c r="D613">
        <v>42393</v>
      </c>
      <c r="E613" s="18" t="s">
        <v>2286</v>
      </c>
      <c r="F613" s="3">
        <v>45930.083333333299</v>
      </c>
      <c r="G613" s="20">
        <f t="shared" ca="1" si="9"/>
        <v>0</v>
      </c>
      <c r="H613">
        <f>COUNTIF(BRON!A:A,Tabel6[[#This Row],[Personeelsnummer]])</f>
        <v>1</v>
      </c>
    </row>
    <row r="614" spans="1:8" x14ac:dyDescent="0.25">
      <c r="A614" s="18" t="s">
        <v>2916</v>
      </c>
      <c r="B614" s="18" t="s">
        <v>2214</v>
      </c>
      <c r="C614" s="18" t="s">
        <v>2213</v>
      </c>
      <c r="D614">
        <v>42558</v>
      </c>
      <c r="E614" s="18" t="s">
        <v>2261</v>
      </c>
      <c r="F614" s="3">
        <v>45980.041666666701</v>
      </c>
      <c r="G614" s="20">
        <f t="shared" ca="1" si="9"/>
        <v>0</v>
      </c>
      <c r="H614">
        <f>COUNTIF(BRON!A:A,Tabel6[[#This Row],[Personeelsnummer]])</f>
        <v>0</v>
      </c>
    </row>
    <row r="615" spans="1:8" x14ac:dyDescent="0.25">
      <c r="A615" s="18" t="s">
        <v>2917</v>
      </c>
      <c r="B615" s="18" t="s">
        <v>2918</v>
      </c>
      <c r="C615" s="18" t="s">
        <v>2919</v>
      </c>
      <c r="D615">
        <v>42567</v>
      </c>
      <c r="E615" s="18" t="s">
        <v>2376</v>
      </c>
      <c r="F615" s="3">
        <v>45980.041666666701</v>
      </c>
      <c r="G615" s="20">
        <f t="shared" ca="1" si="9"/>
        <v>0</v>
      </c>
      <c r="H615">
        <f>COUNTIF(BRON!A:A,Tabel6[[#This Row],[Personeelsnummer]])</f>
        <v>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activeCell="C11" sqref="C11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2921</v>
      </c>
    </row>
    <row r="2" spans="1:6" x14ac:dyDescent="0.25">
      <c r="A2">
        <v>39929</v>
      </c>
      <c r="B2" t="e">
        <f>_xlfn.CONCAT(bron[[#This Row],[personeelsnr]]," ",C2," ",D2)</f>
        <v>#REF!</v>
      </c>
      <c r="C2" t="e">
        <f>VLOOKUP(bron[[#This Row],[personeelsnr]],#REF!,2,0)</f>
        <v>#REF!</v>
      </c>
      <c r="D2" t="e">
        <f>VLOOKUP(bron[[#This Row],[personeelsnr]],#REF!,3,0)</f>
        <v>#REF!</v>
      </c>
      <c r="E2" t="e">
        <f>VLOOKUP(bron[[#This Row],[personeelsnr]],#REF!,11,FALSE)</f>
        <v>#REF!</v>
      </c>
      <c r="F2">
        <v>8</v>
      </c>
    </row>
    <row r="3" spans="1:6" x14ac:dyDescent="0.25">
      <c r="A3">
        <v>36626</v>
      </c>
      <c r="B3" t="e">
        <f>_xlfn.CONCAT(bron[[#This Row],[personeelsnr]]," ",C3," ",D3)</f>
        <v>#REF!</v>
      </c>
      <c r="C3" t="e">
        <f>VLOOKUP(bron[[#This Row],[personeelsnr]],#REF!,2,0)</f>
        <v>#REF!</v>
      </c>
      <c r="D3" t="e">
        <f>VLOOKUP(bron[[#This Row],[personeelsnr]],#REF!,3,0)</f>
        <v>#REF!</v>
      </c>
      <c r="E3" t="e">
        <f>VLOOKUP(bron[[#This Row],[personeelsnr]],#REF!,11,FALSE)</f>
        <v>#REF!</v>
      </c>
      <c r="F3">
        <v>7</v>
      </c>
    </row>
    <row r="4" spans="1:6" x14ac:dyDescent="0.25">
      <c r="A4">
        <v>99999</v>
      </c>
      <c r="B4" t="s">
        <v>2922</v>
      </c>
      <c r="C4" t="s">
        <v>2923</v>
      </c>
      <c r="D4" t="s">
        <v>2923</v>
      </c>
      <c r="E4" t="s">
        <v>221</v>
      </c>
      <c r="F4">
        <v>7</v>
      </c>
    </row>
    <row r="5" spans="1:6" x14ac:dyDescent="0.25">
      <c r="A5">
        <v>38931</v>
      </c>
      <c r="B5" t="e">
        <f>_xlfn.CONCAT(bron[[#This Row],[personeelsnr]]," ",C5," ",D5)</f>
        <v>#REF!</v>
      </c>
      <c r="C5" t="e">
        <f>VLOOKUP(bron[[#This Row],[personeelsnr]],#REF!,2,0)</f>
        <v>#REF!</v>
      </c>
      <c r="D5" t="e">
        <f>VLOOKUP(bron[[#This Row],[personeelsnr]],#REF!,3,0)</f>
        <v>#REF!</v>
      </c>
      <c r="E5" t="e">
        <f>VLOOKUP(bron[[#This Row],[personeelsnr]],#REF!,11,FALSE)</f>
        <v>#REF!</v>
      </c>
      <c r="F5">
        <v>6</v>
      </c>
    </row>
    <row r="6" spans="1:6" x14ac:dyDescent="0.25">
      <c r="A6">
        <v>19917</v>
      </c>
      <c r="B6" t="e">
        <f>_xlfn.CONCAT(bron[[#This Row],[personeelsnr]]," ",C6," ",D6)</f>
        <v>#REF!</v>
      </c>
      <c r="C6" t="e">
        <f>VLOOKUP(bron[[#This Row],[personeelsnr]],#REF!,2,0)</f>
        <v>#REF!</v>
      </c>
      <c r="D6" t="e">
        <f>VLOOKUP(bron[[#This Row],[personeelsnr]],#REF!,3,0)</f>
        <v>#REF!</v>
      </c>
      <c r="E6" t="e">
        <f>VLOOKUP(bron[[#This Row],[personeelsnr]],#REF!,11,FALSE)</f>
        <v>#REF!</v>
      </c>
      <c r="F6">
        <v>6</v>
      </c>
    </row>
    <row r="7" spans="1:6" x14ac:dyDescent="0.25">
      <c r="A7">
        <v>39779</v>
      </c>
      <c r="B7" t="e">
        <f>_xlfn.CONCAT(bron[[#This Row],[personeelsnr]]," ",C7," ",D7)</f>
        <v>#REF!</v>
      </c>
      <c r="C7" t="e">
        <f>VLOOKUP(bron[[#This Row],[personeelsnr]],#REF!,2,0)</f>
        <v>#REF!</v>
      </c>
      <c r="D7" t="e">
        <f>VLOOKUP(bron[[#This Row],[personeelsnr]],#REF!,3,0)</f>
        <v>#REF!</v>
      </c>
      <c r="E7" t="e">
        <f>VLOOKUP(bron[[#This Row],[personeelsnr]],#REF!,11,FALSE)</f>
        <v>#REF!</v>
      </c>
      <c r="F7">
        <v>6</v>
      </c>
    </row>
    <row r="8" spans="1:6" x14ac:dyDescent="0.25">
      <c r="A8">
        <v>39859</v>
      </c>
      <c r="B8" t="e">
        <f>_xlfn.CONCAT(bron[[#This Row],[personeelsnr]]," ",C8," ",D8)</f>
        <v>#REF!</v>
      </c>
      <c r="C8" t="e">
        <f>VLOOKUP(bron[[#This Row],[personeelsnr]],#REF!,2,0)</f>
        <v>#REF!</v>
      </c>
      <c r="D8" t="e">
        <f>VLOOKUP(bron[[#This Row],[personeelsnr]],#REF!,3,0)</f>
        <v>#REF!</v>
      </c>
      <c r="E8" t="e">
        <f>VLOOKUP(bron[[#This Row],[personeelsnr]],#REF!,11,FALSE)</f>
        <v>#REF!</v>
      </c>
      <c r="F8">
        <v>6</v>
      </c>
    </row>
    <row r="9" spans="1:6" x14ac:dyDescent="0.25">
      <c r="A9">
        <v>38938</v>
      </c>
      <c r="B9" t="e">
        <f>_xlfn.CONCAT(bron[[#This Row],[personeelsnr]]," ",C9," ",D9)</f>
        <v>#REF!</v>
      </c>
      <c r="C9" t="e">
        <f>VLOOKUP(bron[[#This Row],[personeelsnr]],#REF!,2,0)</f>
        <v>#REF!</v>
      </c>
      <c r="D9" t="e">
        <f>VLOOKUP(bron[[#This Row],[personeelsnr]],#REF!,3,0)</f>
        <v>#REF!</v>
      </c>
      <c r="E9" t="e">
        <f>VLOOKUP(bron[[#This Row],[personeelsnr]],#REF!,11,FALSE)</f>
        <v>#REF!</v>
      </c>
      <c r="F9">
        <v>5</v>
      </c>
    </row>
    <row r="10" spans="1:6" x14ac:dyDescent="0.25">
      <c r="A10">
        <v>32951</v>
      </c>
      <c r="B10" t="e">
        <f>_xlfn.CONCAT(bron[[#This Row],[personeelsnr]]," ",C10," ",D10)</f>
        <v>#REF!</v>
      </c>
      <c r="C10" t="e">
        <f>VLOOKUP(bron[[#This Row],[personeelsnr]],#REF!,2,0)</f>
        <v>#REF!</v>
      </c>
      <c r="D10" t="e">
        <f>VLOOKUP(bron[[#This Row],[personeelsnr]],#REF!,3,0)</f>
        <v>#REF!</v>
      </c>
      <c r="E10" t="e">
        <f>VLOOKUP(bron[[#This Row],[personeelsnr]],#REF!,11,FALSE)</f>
        <v>#REF!</v>
      </c>
      <c r="F10">
        <v>5</v>
      </c>
    </row>
    <row r="11" spans="1:6" x14ac:dyDescent="0.25">
      <c r="A11">
        <v>39532</v>
      </c>
      <c r="B11" t="e">
        <f>_xlfn.CONCAT(bron[[#This Row],[personeelsnr]]," ",C11," ",D11)</f>
        <v>#REF!</v>
      </c>
      <c r="C11" t="e">
        <f>VLOOKUP(bron[[#This Row],[personeelsnr]],#REF!,2,0)</f>
        <v>#REF!</v>
      </c>
      <c r="D11" t="e">
        <f>VLOOKUP(bron[[#This Row],[personeelsnr]],#REF!,3,0)</f>
        <v>#REF!</v>
      </c>
      <c r="E11" t="e">
        <f>VLOOKUP(bron[[#This Row],[personeelsnr]],#REF!,11,FALSE)</f>
        <v>#REF!</v>
      </c>
      <c r="F11">
        <v>5</v>
      </c>
    </row>
    <row r="12" spans="1:6" x14ac:dyDescent="0.25">
      <c r="A12">
        <v>40110</v>
      </c>
      <c r="B12" t="e">
        <f>_xlfn.CONCAT(bron[[#This Row],[personeelsnr]]," ",C12," ",D12)</f>
        <v>#REF!</v>
      </c>
      <c r="C12" t="e">
        <f>VLOOKUP(bron[[#This Row],[personeelsnr]],#REF!,2,0)</f>
        <v>#REF!</v>
      </c>
      <c r="D12" t="e">
        <f>VLOOKUP(bron[[#This Row],[personeelsnr]],#REF!,3,0)</f>
        <v>#REF!</v>
      </c>
      <c r="E12" t="e">
        <f>VLOOKUP(bron[[#This Row],[personeelsnr]],#REF!,11,FALSE)</f>
        <v>#REF!</v>
      </c>
      <c r="F12">
        <v>5</v>
      </c>
    </row>
    <row r="13" spans="1:6" x14ac:dyDescent="0.25">
      <c r="A13">
        <v>39184</v>
      </c>
      <c r="B13" t="e">
        <f>_xlfn.CONCAT(bron[[#This Row],[personeelsnr]]," ",C13," ",D13)</f>
        <v>#REF!</v>
      </c>
      <c r="C13" t="e">
        <f>VLOOKUP(bron[[#This Row],[personeelsnr]],#REF!,2,0)</f>
        <v>#REF!</v>
      </c>
      <c r="D13" t="e">
        <f>VLOOKUP(bron[[#This Row],[personeelsnr]],#REF!,3,0)</f>
        <v>#REF!</v>
      </c>
      <c r="E13" t="e">
        <f>VLOOKUP(bron[[#This Row],[personeelsnr]],#REF!,11,FALSE)</f>
        <v>#REF!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#REF!</v>
      </c>
      <c r="C14" t="e">
        <f>VLOOKUP(bron[[#This Row],[personeelsnr]],#REF!,2,0)</f>
        <v>#REF!</v>
      </c>
      <c r="D14" t="e">
        <f>VLOOKUP(bron[[#This Row],[personeelsnr]],#REF!,3,0)</f>
        <v>#REF!</v>
      </c>
      <c r="E14" t="e">
        <f>VLOOKUP(bron[[#This Row],[personeelsnr]],#REF!,11,FALSE)</f>
        <v>#REF!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#REF!</v>
      </c>
      <c r="C15" t="e">
        <f>VLOOKUP(bron[[#This Row],[personeelsnr]],#REF!,2,0)</f>
        <v>#REF!</v>
      </c>
      <c r="D15" t="e">
        <f>VLOOKUP(bron[[#This Row],[personeelsnr]],#REF!,3,0)</f>
        <v>#REF!</v>
      </c>
      <c r="E15" t="e">
        <f>VLOOKUP(bron[[#This Row],[personeelsnr]],#REF!,11,FALSE)</f>
        <v>#REF!</v>
      </c>
      <c r="F15">
        <v>4</v>
      </c>
    </row>
    <row r="16" spans="1:6" x14ac:dyDescent="0.25">
      <c r="A16">
        <v>39358</v>
      </c>
      <c r="B16" t="e">
        <f>_xlfn.CONCAT(bron[[#This Row],[personeelsnr]]," ",C16," ",D16)</f>
        <v>#REF!</v>
      </c>
      <c r="C16" t="e">
        <f>VLOOKUP(bron[[#This Row],[personeelsnr]],#REF!,2,0)</f>
        <v>#REF!</v>
      </c>
      <c r="D16" t="e">
        <f>VLOOKUP(bron[[#This Row],[personeelsnr]],#REF!,3,0)</f>
        <v>#REF!</v>
      </c>
      <c r="E16" t="e">
        <f>VLOOKUP(bron[[#This Row],[personeelsnr]],#REF!,11,FALSE)</f>
        <v>#REF!</v>
      </c>
      <c r="F16">
        <v>4</v>
      </c>
    </row>
    <row r="17" spans="1:6" x14ac:dyDescent="0.25">
      <c r="A17">
        <v>40652</v>
      </c>
      <c r="B17" t="e">
        <f>_xlfn.CONCAT(bron[[#This Row],[personeelsnr]]," ",C17," ",D17)</f>
        <v>#REF!</v>
      </c>
      <c r="C17" t="e">
        <f>VLOOKUP(bron[[#This Row],[personeelsnr]],#REF!,2,0)</f>
        <v>#REF!</v>
      </c>
      <c r="D17" t="e">
        <f>VLOOKUP(bron[[#This Row],[personeelsnr]],#REF!,3,0)</f>
        <v>#REF!</v>
      </c>
      <c r="E17" t="e">
        <f>VLOOKUP(bron[[#This Row],[personeelsnr]],#REF!,11,FALSE)</f>
        <v>#REF!</v>
      </c>
      <c r="F17">
        <v>4</v>
      </c>
    </row>
    <row r="18" spans="1:6" x14ac:dyDescent="0.25">
      <c r="A18">
        <v>27186</v>
      </c>
      <c r="B18" t="e">
        <f>_xlfn.CONCAT(bron[[#This Row],[personeelsnr]]," ",C18," ",D18)</f>
        <v>#REF!</v>
      </c>
      <c r="C18" t="e">
        <f>VLOOKUP(bron[[#This Row],[personeelsnr]],#REF!,2,0)</f>
        <v>#REF!</v>
      </c>
      <c r="D18" t="e">
        <f>VLOOKUP(bron[[#This Row],[personeelsnr]],#REF!,3,0)</f>
        <v>#REF!</v>
      </c>
      <c r="E18" t="e">
        <f>VLOOKUP(bron[[#This Row],[personeelsnr]],#REF!,11,FALSE)</f>
        <v>#REF!</v>
      </c>
      <c r="F18">
        <v>4</v>
      </c>
    </row>
    <row r="19" spans="1:6" x14ac:dyDescent="0.25">
      <c r="A19">
        <v>38633</v>
      </c>
      <c r="B19" t="e">
        <f>_xlfn.CONCAT(bron[[#This Row],[personeelsnr]]," ",C19," ",D19)</f>
        <v>#REF!</v>
      </c>
      <c r="C19" t="e">
        <f>VLOOKUP(bron[[#This Row],[personeelsnr]],#REF!,2,0)</f>
        <v>#REF!</v>
      </c>
      <c r="D19" t="e">
        <f>VLOOKUP(bron[[#This Row],[personeelsnr]],#REF!,3,0)</f>
        <v>#REF!</v>
      </c>
      <c r="E19" t="e">
        <f>VLOOKUP(bron[[#This Row],[personeelsnr]],#REF!,11,FALSE)</f>
        <v>#REF!</v>
      </c>
      <c r="F19">
        <v>4</v>
      </c>
    </row>
    <row r="20" spans="1:6" x14ac:dyDescent="0.25">
      <c r="A20">
        <v>25679</v>
      </c>
      <c r="B20" t="e">
        <f>_xlfn.CONCAT(bron[[#This Row],[personeelsnr]]," ",C20," ",D20)</f>
        <v>#REF!</v>
      </c>
      <c r="C20" t="e">
        <f>VLOOKUP(bron[[#This Row],[personeelsnr]],#REF!,2,0)</f>
        <v>#REF!</v>
      </c>
      <c r="D20" t="e">
        <f>VLOOKUP(bron[[#This Row],[personeelsnr]],#REF!,3,0)</f>
        <v>#REF!</v>
      </c>
      <c r="E20" t="e">
        <f>VLOOKUP(bron[[#This Row],[personeelsnr]],#REF!,11,FALSE)</f>
        <v>#REF!</v>
      </c>
      <c r="F20">
        <v>3</v>
      </c>
    </row>
    <row r="21" spans="1:6" x14ac:dyDescent="0.25">
      <c r="A21">
        <v>32387</v>
      </c>
      <c r="B21" t="e">
        <f>_xlfn.CONCAT(bron[[#This Row],[personeelsnr]]," ",C21," ",D21)</f>
        <v>#REF!</v>
      </c>
      <c r="C21" t="e">
        <f>VLOOKUP(bron[[#This Row],[personeelsnr]],#REF!,2,0)</f>
        <v>#REF!</v>
      </c>
      <c r="D21" t="e">
        <f>VLOOKUP(bron[[#This Row],[personeelsnr]],#REF!,3,0)</f>
        <v>#REF!</v>
      </c>
      <c r="E21" t="e">
        <f>VLOOKUP(bron[[#This Row],[personeelsnr]],#REF!,11,FALSE)</f>
        <v>#REF!</v>
      </c>
      <c r="F21">
        <v>3</v>
      </c>
    </row>
    <row r="22" spans="1:6" x14ac:dyDescent="0.25">
      <c r="A22">
        <v>33965</v>
      </c>
      <c r="B22" t="e">
        <f>_xlfn.CONCAT(bron[[#This Row],[personeelsnr]]," ",C22," ",D22)</f>
        <v>#REF!</v>
      </c>
      <c r="C22" t="e">
        <f>VLOOKUP(bron[[#This Row],[personeelsnr]],#REF!,2,0)</f>
        <v>#REF!</v>
      </c>
      <c r="D22" t="e">
        <f>VLOOKUP(bron[[#This Row],[personeelsnr]],#REF!,3,0)</f>
        <v>#REF!</v>
      </c>
      <c r="E22" t="e">
        <f>VLOOKUP(bron[[#This Row],[personeelsnr]],#REF!,11,FALSE)</f>
        <v>#REF!</v>
      </c>
      <c r="F22">
        <v>3</v>
      </c>
    </row>
    <row r="23" spans="1:6" x14ac:dyDescent="0.25">
      <c r="A23">
        <v>35450</v>
      </c>
      <c r="B23" t="e">
        <f>_xlfn.CONCAT(bron[[#This Row],[personeelsnr]]," ",C23," ",D23)</f>
        <v>#REF!</v>
      </c>
      <c r="C23" t="e">
        <f>VLOOKUP(bron[[#This Row],[personeelsnr]],#REF!,2,0)</f>
        <v>#REF!</v>
      </c>
      <c r="D23" t="e">
        <f>VLOOKUP(bron[[#This Row],[personeelsnr]],#REF!,3,0)</f>
        <v>#REF!</v>
      </c>
      <c r="E23" t="e">
        <f>VLOOKUP(bron[[#This Row],[personeelsnr]],#REF!,11,FALSE)</f>
        <v>#REF!</v>
      </c>
      <c r="F23">
        <v>3</v>
      </c>
    </row>
    <row r="24" spans="1:6" x14ac:dyDescent="0.25">
      <c r="A24">
        <v>39660</v>
      </c>
      <c r="B24" t="e">
        <f>_xlfn.CONCAT(bron[[#This Row],[personeelsnr]]," ",C24," ",D24)</f>
        <v>#REF!</v>
      </c>
      <c r="C24" t="e">
        <f>VLOOKUP(bron[[#This Row],[personeelsnr]],#REF!,2,0)</f>
        <v>#REF!</v>
      </c>
      <c r="D24" t="e">
        <f>VLOOKUP(bron[[#This Row],[personeelsnr]],#REF!,3,0)</f>
        <v>#REF!</v>
      </c>
      <c r="E24" t="e">
        <f>VLOOKUP(bron[[#This Row],[personeelsnr]],#REF!,11,FALSE)</f>
        <v>#REF!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#REF!</v>
      </c>
      <c r="C25" t="e">
        <f>VLOOKUP(bron[[#This Row],[personeelsnr]],#REF!,2,0)</f>
        <v>#REF!</v>
      </c>
      <c r="D25" t="e">
        <f>VLOOKUP(bron[[#This Row],[personeelsnr]],#REF!,3,0)</f>
        <v>#REF!</v>
      </c>
      <c r="E25" t="e">
        <f>VLOOKUP(bron[[#This Row],[personeelsnr]],#REF!,11,FALSE)</f>
        <v>#REF!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#REF!</v>
      </c>
      <c r="C26" t="e">
        <f>VLOOKUP(bron[[#This Row],[personeelsnr]],#REF!,2,0)</f>
        <v>#REF!</v>
      </c>
      <c r="D26" t="e">
        <f>VLOOKUP(bron[[#This Row],[personeelsnr]],#REF!,3,0)</f>
        <v>#REF!</v>
      </c>
      <c r="E26" t="e">
        <f>VLOOKUP(bron[[#This Row],[personeelsnr]],#REF!,11,FALSE)</f>
        <v>#REF!</v>
      </c>
      <c r="F26">
        <v>3</v>
      </c>
    </row>
    <row r="27" spans="1:6" x14ac:dyDescent="0.25">
      <c r="A27">
        <v>40266</v>
      </c>
      <c r="B27" t="e">
        <f>_xlfn.CONCAT(bron[[#This Row],[personeelsnr]]," ",C27," ",D27)</f>
        <v>#REF!</v>
      </c>
      <c r="C27" t="e">
        <f>VLOOKUP(bron[[#This Row],[personeelsnr]],#REF!,2,0)</f>
        <v>#REF!</v>
      </c>
      <c r="D27" t="e">
        <f>VLOOKUP(bron[[#This Row],[personeelsnr]],#REF!,3,0)</f>
        <v>#REF!</v>
      </c>
      <c r="E27" t="e">
        <f>VLOOKUP(bron[[#This Row],[personeelsnr]],#REF!,11,FALSE)</f>
        <v>#REF!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#REF!</v>
      </c>
      <c r="C28" t="e">
        <f>VLOOKUP(bron[[#This Row],[personeelsnr]],#REF!,2,0)</f>
        <v>#REF!</v>
      </c>
      <c r="D28" t="e">
        <f>VLOOKUP(bron[[#This Row],[personeelsnr]],#REF!,3,0)</f>
        <v>#REF!</v>
      </c>
      <c r="E28" t="e">
        <f>VLOOKUP(bron[[#This Row],[personeelsnr]],#REF!,11,FALSE)</f>
        <v>#REF!</v>
      </c>
      <c r="F28">
        <v>2</v>
      </c>
    </row>
    <row r="29" spans="1:6" x14ac:dyDescent="0.25">
      <c r="A29">
        <v>37439</v>
      </c>
      <c r="B29" t="e">
        <f>_xlfn.CONCAT(bron[[#This Row],[personeelsnr]]," ",C29," ",D29)</f>
        <v>#REF!</v>
      </c>
      <c r="C29" t="e">
        <f>VLOOKUP(bron[[#This Row],[personeelsnr]],#REF!,2,0)</f>
        <v>#REF!</v>
      </c>
      <c r="D29" t="e">
        <f>VLOOKUP(bron[[#This Row],[personeelsnr]],#REF!,3,0)</f>
        <v>#REF!</v>
      </c>
      <c r="E29" t="e">
        <f>VLOOKUP(bron[[#This Row],[personeelsnr]],#REF!,11,FALSE)</f>
        <v>#REF!</v>
      </c>
      <c r="F29">
        <v>3</v>
      </c>
    </row>
    <row r="30" spans="1:6" x14ac:dyDescent="0.25">
      <c r="A30">
        <v>25487</v>
      </c>
      <c r="B30" t="e">
        <f>_xlfn.CONCAT(bron[[#This Row],[personeelsnr]]," ",C30," ",D30)</f>
        <v>#REF!</v>
      </c>
      <c r="C30" t="e">
        <f>VLOOKUP(bron[[#This Row],[personeelsnr]],#REF!,2,0)</f>
        <v>#REF!</v>
      </c>
      <c r="D30" t="e">
        <f>VLOOKUP(bron[[#This Row],[personeelsnr]],#REF!,3,0)</f>
        <v>#REF!</v>
      </c>
      <c r="E30" t="e">
        <f>VLOOKUP(bron[[#This Row],[personeelsnr]],#REF!,11,FALSE)</f>
        <v>#REF!</v>
      </c>
      <c r="F30">
        <v>2</v>
      </c>
    </row>
    <row r="31" spans="1:6" x14ac:dyDescent="0.25">
      <c r="A31">
        <v>25993</v>
      </c>
      <c r="B31" t="e">
        <f>_xlfn.CONCAT(bron[[#This Row],[personeelsnr]]," ",C31," ",D31)</f>
        <v>#REF!</v>
      </c>
      <c r="C31" t="e">
        <f>VLOOKUP(bron[[#This Row],[personeelsnr]],#REF!,2,0)</f>
        <v>#REF!</v>
      </c>
      <c r="D31" t="e">
        <f>VLOOKUP(bron[[#This Row],[personeelsnr]],#REF!,3,0)</f>
        <v>#REF!</v>
      </c>
      <c r="E31" t="e">
        <f>VLOOKUP(bron[[#This Row],[personeelsnr]],#REF!,11,FALSE)</f>
        <v>#REF!</v>
      </c>
      <c r="F31">
        <v>3</v>
      </c>
    </row>
    <row r="32" spans="1:6" x14ac:dyDescent="0.25">
      <c r="A32">
        <v>34044</v>
      </c>
      <c r="B32" t="e">
        <f>_xlfn.CONCAT(bron[[#This Row],[personeelsnr]]," ",C32," ",D32)</f>
        <v>#REF!</v>
      </c>
      <c r="C32" t="e">
        <f>VLOOKUP(bron[[#This Row],[personeelsnr]],#REF!,2,0)</f>
        <v>#REF!</v>
      </c>
      <c r="D32" t="e">
        <f>VLOOKUP(bron[[#This Row],[personeelsnr]],#REF!,3,0)</f>
        <v>#REF!</v>
      </c>
      <c r="E32" t="e">
        <f>VLOOKUP(bron[[#This Row],[personeelsnr]],#REF!,11,FALSE)</f>
        <v>#REF!</v>
      </c>
      <c r="F32">
        <v>3</v>
      </c>
    </row>
    <row r="33" spans="1:6" x14ac:dyDescent="0.25">
      <c r="A33">
        <v>39183</v>
      </c>
      <c r="B33" t="e">
        <f>_xlfn.CONCAT(bron[[#This Row],[personeelsnr]]," ",C33," ",D33)</f>
        <v>#REF!</v>
      </c>
      <c r="C33" t="e">
        <f>VLOOKUP(bron[[#This Row],[personeelsnr]],#REF!,2,0)</f>
        <v>#REF!</v>
      </c>
      <c r="D33" t="e">
        <f>VLOOKUP(bron[[#This Row],[personeelsnr]],#REF!,3,0)</f>
        <v>#REF!</v>
      </c>
      <c r="E33" t="e">
        <f>VLOOKUP(bron[[#This Row],[personeelsnr]],#REF!,11,FALSE)</f>
        <v>#REF!</v>
      </c>
      <c r="F33">
        <v>3</v>
      </c>
    </row>
    <row r="34" spans="1:6" x14ac:dyDescent="0.25">
      <c r="A34">
        <v>39927</v>
      </c>
      <c r="B34" t="e">
        <f>_xlfn.CONCAT(bron[[#This Row],[personeelsnr]]," ",C34," ",D34)</f>
        <v>#REF!</v>
      </c>
      <c r="C34" t="e">
        <f>VLOOKUP(bron[[#This Row],[personeelsnr]],#REF!,2,0)</f>
        <v>#REF!</v>
      </c>
      <c r="D34" t="e">
        <f>VLOOKUP(bron[[#This Row],[personeelsnr]],#REF!,3,0)</f>
        <v>#REF!</v>
      </c>
      <c r="E34" t="e">
        <f>VLOOKUP(bron[[#This Row],[personeelsnr]],#REF!,11,FALSE)</f>
        <v>#REF!</v>
      </c>
      <c r="F34">
        <v>3</v>
      </c>
    </row>
    <row r="35" spans="1:6" x14ac:dyDescent="0.25">
      <c r="A35">
        <v>26960</v>
      </c>
      <c r="B35" t="e">
        <f>_xlfn.CONCAT(bron[[#This Row],[personeelsnr]]," ",C35," ",D35)</f>
        <v>#REF!</v>
      </c>
      <c r="C35" t="e">
        <f>VLOOKUP(bron[[#This Row],[personeelsnr]],#REF!,2,0)</f>
        <v>#REF!</v>
      </c>
      <c r="D35" t="e">
        <f>VLOOKUP(bron[[#This Row],[personeelsnr]],#REF!,3,0)</f>
        <v>#REF!</v>
      </c>
      <c r="E35" t="e">
        <f>VLOOKUP(bron[[#This Row],[personeelsnr]],#REF!,11,FALSE)</f>
        <v>#REF!</v>
      </c>
      <c r="F35">
        <v>2</v>
      </c>
    </row>
    <row r="36" spans="1:6" x14ac:dyDescent="0.25">
      <c r="A36">
        <v>37542</v>
      </c>
      <c r="B36" t="e">
        <f>_xlfn.CONCAT(bron[[#This Row],[personeelsnr]]," ",C36," ",D36)</f>
        <v>#REF!</v>
      </c>
      <c r="C36" t="e">
        <f>VLOOKUP(bron[[#This Row],[personeelsnr]],#REF!,2,0)</f>
        <v>#REF!</v>
      </c>
      <c r="D36" t="e">
        <f>VLOOKUP(bron[[#This Row],[personeelsnr]],#REF!,3,0)</f>
        <v>#REF!</v>
      </c>
      <c r="E36" t="e">
        <f>VLOOKUP(bron[[#This Row],[personeelsnr]],#REF!,11,FALSE)</f>
        <v>#REF!</v>
      </c>
      <c r="F36">
        <v>3</v>
      </c>
    </row>
    <row r="37" spans="1:6" x14ac:dyDescent="0.25">
      <c r="A37">
        <v>39610</v>
      </c>
      <c r="B37" t="e">
        <f>_xlfn.CONCAT(bron[[#This Row],[personeelsnr]]," ",C37," ",D37)</f>
        <v>#REF!</v>
      </c>
      <c r="C37" t="e">
        <f>VLOOKUP(bron[[#This Row],[personeelsnr]],#REF!,2,0)</f>
        <v>#REF!</v>
      </c>
      <c r="D37" t="e">
        <f>VLOOKUP(bron[[#This Row],[personeelsnr]],#REF!,3,0)</f>
        <v>#REF!</v>
      </c>
      <c r="E37" t="e">
        <f>VLOOKUP(bron[[#This Row],[personeelsnr]],#REF!,11,FALSE)</f>
        <v>#REF!</v>
      </c>
      <c r="F37">
        <v>3</v>
      </c>
    </row>
    <row r="38" spans="1:6" x14ac:dyDescent="0.25">
      <c r="A38">
        <v>31092</v>
      </c>
      <c r="B38" t="e">
        <f>_xlfn.CONCAT(bron[[#This Row],[personeelsnr]]," ",C38," ",D38)</f>
        <v>#REF!</v>
      </c>
      <c r="C38" t="e">
        <f>VLOOKUP(bron[[#This Row],[personeelsnr]],#REF!,2,0)</f>
        <v>#REF!</v>
      </c>
      <c r="D38" t="e">
        <f>VLOOKUP(bron[[#This Row],[personeelsnr]],#REF!,3,0)</f>
        <v>#REF!</v>
      </c>
      <c r="E38" t="e">
        <f>VLOOKUP(bron[[#This Row],[personeelsnr]],#REF!,11,FALSE)</f>
        <v>#REF!</v>
      </c>
      <c r="F38">
        <v>3</v>
      </c>
    </row>
    <row r="39" spans="1:6" x14ac:dyDescent="0.25">
      <c r="A39">
        <v>23790</v>
      </c>
      <c r="B39" t="e">
        <f>_xlfn.CONCAT(bron[[#This Row],[personeelsnr]]," ",C39," ",D39)</f>
        <v>#REF!</v>
      </c>
      <c r="C39" t="e">
        <f>VLOOKUP(bron[[#This Row],[personeelsnr]],#REF!,2,0)</f>
        <v>#REF!</v>
      </c>
      <c r="D39" t="e">
        <f>VLOOKUP(bron[[#This Row],[personeelsnr]],#REF!,3,0)</f>
        <v>#REF!</v>
      </c>
      <c r="E39" t="e">
        <f>VLOOKUP(bron[[#This Row],[personeelsnr]],#REF!,11,FALSE)</f>
        <v>#REF!</v>
      </c>
      <c r="F39">
        <v>3</v>
      </c>
    </row>
    <row r="40" spans="1:6" x14ac:dyDescent="0.25">
      <c r="A40">
        <v>35463</v>
      </c>
      <c r="B40" t="e">
        <f>_xlfn.CONCAT(bron[[#This Row],[personeelsnr]]," ",C40," ",D40)</f>
        <v>#REF!</v>
      </c>
      <c r="C40" t="e">
        <f>VLOOKUP(bron[[#This Row],[personeelsnr]],#REF!,2,0)</f>
        <v>#REF!</v>
      </c>
      <c r="D40" t="e">
        <f>VLOOKUP(bron[[#This Row],[personeelsnr]],#REF!,3,0)</f>
        <v>#REF!</v>
      </c>
      <c r="E40" t="e">
        <f>VLOOKUP(bron[[#This Row],[personeelsnr]],#REF!,11,FALSE)</f>
        <v>#REF!</v>
      </c>
      <c r="F40">
        <v>3</v>
      </c>
    </row>
    <row r="41" spans="1:6" x14ac:dyDescent="0.25">
      <c r="A41">
        <v>40222</v>
      </c>
      <c r="B41" t="e">
        <f>_xlfn.CONCAT(bron[[#This Row],[personeelsnr]]," ",C41," ",D41)</f>
        <v>#REF!</v>
      </c>
      <c r="C41" t="e">
        <f>VLOOKUP(bron[[#This Row],[personeelsnr]],#REF!,2,0)</f>
        <v>#REF!</v>
      </c>
      <c r="D41" t="e">
        <f>VLOOKUP(bron[[#This Row],[personeelsnr]],#REF!,3,0)</f>
        <v>#REF!</v>
      </c>
      <c r="E41" t="e">
        <f>VLOOKUP(bron[[#This Row],[personeelsnr]],#REF!,11,FALSE)</f>
        <v>#REF!</v>
      </c>
      <c r="F41">
        <v>3</v>
      </c>
    </row>
    <row r="42" spans="1:6" x14ac:dyDescent="0.25">
      <c r="A42">
        <v>30967</v>
      </c>
      <c r="B42" t="e">
        <f>_xlfn.CONCAT(bron[[#This Row],[personeelsnr]]," ",C42," ",D42)</f>
        <v>#REF!</v>
      </c>
      <c r="C42" t="e">
        <f>VLOOKUP(bron[[#This Row],[personeelsnr]],#REF!,2,0)</f>
        <v>#REF!</v>
      </c>
      <c r="D42" t="e">
        <f>VLOOKUP(bron[[#This Row],[personeelsnr]],#REF!,3,0)</f>
        <v>#REF!</v>
      </c>
      <c r="E42" t="e">
        <f>VLOOKUP(bron[[#This Row],[personeelsnr]],#REF!,11,FALSE)</f>
        <v>#REF!</v>
      </c>
      <c r="F42">
        <v>2</v>
      </c>
    </row>
    <row r="43" spans="1:6" x14ac:dyDescent="0.25">
      <c r="A43">
        <v>22296</v>
      </c>
      <c r="B43" t="e">
        <f>_xlfn.CONCAT(bron[[#This Row],[personeelsnr]]," ",C43," ",D43)</f>
        <v>#REF!</v>
      </c>
      <c r="C43" t="e">
        <f>VLOOKUP(bron[[#This Row],[personeelsnr]],#REF!,2,0)</f>
        <v>#REF!</v>
      </c>
      <c r="D43" t="e">
        <f>VLOOKUP(bron[[#This Row],[personeelsnr]],#REF!,3,0)</f>
        <v>#REF!</v>
      </c>
      <c r="E43" t="e">
        <f>VLOOKUP(bron[[#This Row],[personeelsnr]],#REF!,11,FALSE)</f>
        <v>#REF!</v>
      </c>
      <c r="F43">
        <v>3</v>
      </c>
    </row>
    <row r="44" spans="1:6" x14ac:dyDescent="0.25">
      <c r="A44">
        <v>38688</v>
      </c>
      <c r="B44" t="e">
        <f>_xlfn.CONCAT(bron[[#This Row],[personeelsnr]]," ",C44," ",D44)</f>
        <v>#REF!</v>
      </c>
      <c r="C44" t="e">
        <f>VLOOKUP(bron[[#This Row],[personeelsnr]],#REF!,2,0)</f>
        <v>#REF!</v>
      </c>
      <c r="D44" t="e">
        <f>VLOOKUP(bron[[#This Row],[personeelsnr]],#REF!,3,0)</f>
        <v>#REF!</v>
      </c>
      <c r="E44" t="e">
        <f>VLOOKUP(bron[[#This Row],[personeelsnr]],#REF!,11,FALSE)</f>
        <v>#REF!</v>
      </c>
      <c r="F44">
        <v>3</v>
      </c>
    </row>
    <row r="45" spans="1:6" x14ac:dyDescent="0.25">
      <c r="A45">
        <v>6310</v>
      </c>
      <c r="B45" t="e">
        <f>_xlfn.CONCAT(bron[[#This Row],[personeelsnr]]," ",C45," ",D45)</f>
        <v>#REF!</v>
      </c>
      <c r="C45" t="e">
        <f>VLOOKUP(bron[[#This Row],[personeelsnr]],#REF!,2,0)</f>
        <v>#REF!</v>
      </c>
      <c r="D45" t="e">
        <f>VLOOKUP(bron[[#This Row],[personeelsnr]],#REF!,3,0)</f>
        <v>#REF!</v>
      </c>
      <c r="E45" t="e">
        <f>VLOOKUP(bron[[#This Row],[personeelsnr]],#REF!,11,FALSE)</f>
        <v>#REF!</v>
      </c>
      <c r="F45">
        <v>3</v>
      </c>
    </row>
    <row r="46" spans="1:6" x14ac:dyDescent="0.25">
      <c r="A46">
        <v>31231</v>
      </c>
      <c r="B46" t="e">
        <f>_xlfn.CONCAT(bron[[#This Row],[personeelsnr]]," ",C46," ",D46)</f>
        <v>#REF!</v>
      </c>
      <c r="C46" t="e">
        <f>VLOOKUP(bron[[#This Row],[personeelsnr]],#REF!,2,0)</f>
        <v>#REF!</v>
      </c>
      <c r="D46" t="e">
        <f>VLOOKUP(bron[[#This Row],[personeelsnr]],#REF!,3,0)</f>
        <v>#REF!</v>
      </c>
      <c r="E46" t="e">
        <f>VLOOKUP(bron[[#This Row],[personeelsnr]],#REF!,11,FALSE)</f>
        <v>#REF!</v>
      </c>
      <c r="F46">
        <v>2</v>
      </c>
    </row>
    <row r="47" spans="1:6" x14ac:dyDescent="0.25">
      <c r="A47">
        <v>31668</v>
      </c>
      <c r="B47" t="e">
        <f>_xlfn.CONCAT(bron[[#This Row],[personeelsnr]]," ",C47," ",D47)</f>
        <v>#REF!</v>
      </c>
      <c r="C47" t="e">
        <f>VLOOKUP(bron[[#This Row],[personeelsnr]],#REF!,2,0)</f>
        <v>#REF!</v>
      </c>
      <c r="D47" t="e">
        <f>VLOOKUP(bron[[#This Row],[personeelsnr]],#REF!,3,0)</f>
        <v>#REF!</v>
      </c>
      <c r="E47" t="e">
        <f>VLOOKUP(bron[[#This Row],[personeelsnr]],#REF!,11,FALSE)</f>
        <v>#REF!</v>
      </c>
      <c r="F47">
        <v>2</v>
      </c>
    </row>
    <row r="48" spans="1:6" x14ac:dyDescent="0.25">
      <c r="A48">
        <v>39677</v>
      </c>
      <c r="B48" t="e">
        <f>_xlfn.CONCAT(bron[[#This Row],[personeelsnr]]," ",C48," ",D48)</f>
        <v>#REF!</v>
      </c>
      <c r="C48" t="e">
        <f>VLOOKUP(bron[[#This Row],[personeelsnr]],#REF!,2,0)</f>
        <v>#REF!</v>
      </c>
      <c r="D48" t="e">
        <f>VLOOKUP(bron[[#This Row],[personeelsnr]],#REF!,3,0)</f>
        <v>#REF!</v>
      </c>
      <c r="E48" t="e">
        <f>VLOOKUP(bron[[#This Row],[personeelsnr]],#REF!,11,FALSE)</f>
        <v>#REF!</v>
      </c>
      <c r="F48">
        <v>2</v>
      </c>
    </row>
    <row r="49" spans="1:6" x14ac:dyDescent="0.25">
      <c r="A49">
        <v>39633</v>
      </c>
      <c r="B49" t="e">
        <f>_xlfn.CONCAT(bron[[#This Row],[personeelsnr]]," ",C49," ",D49)</f>
        <v>#REF!</v>
      </c>
      <c r="C49" t="e">
        <f>VLOOKUP(bron[[#This Row],[personeelsnr]],#REF!,2,0)</f>
        <v>#REF!</v>
      </c>
      <c r="D49" t="e">
        <f>VLOOKUP(bron[[#This Row],[personeelsnr]],#REF!,3,0)</f>
        <v>#REF!</v>
      </c>
      <c r="E49" t="e">
        <f>VLOOKUP(bron[[#This Row],[personeelsnr]],#REF!,11,FALSE)</f>
        <v>#REF!</v>
      </c>
      <c r="F49">
        <v>2</v>
      </c>
    </row>
    <row r="50" spans="1:6" x14ac:dyDescent="0.25">
      <c r="A50">
        <v>40134</v>
      </c>
      <c r="B50" t="e">
        <f>_xlfn.CONCAT(bron[[#This Row],[personeelsnr]]," ",C50," ",D50)</f>
        <v>#REF!</v>
      </c>
      <c r="C50" t="e">
        <f>VLOOKUP(bron[[#This Row],[personeelsnr]],#REF!,2,0)</f>
        <v>#REF!</v>
      </c>
      <c r="D50" t="e">
        <f>VLOOKUP(bron[[#This Row],[personeelsnr]],#REF!,3,0)</f>
        <v>#REF!</v>
      </c>
      <c r="E50" t="e">
        <f>VLOOKUP(bron[[#This Row],[personeelsnr]],#REF!,11,FALSE)</f>
        <v>#REF!</v>
      </c>
      <c r="F50">
        <v>2</v>
      </c>
    </row>
    <row r="51" spans="1:6" x14ac:dyDescent="0.25">
      <c r="A51">
        <v>35588</v>
      </c>
      <c r="B51" t="e">
        <f>_xlfn.CONCAT(bron[[#This Row],[personeelsnr]]," ",C51," ",D51)</f>
        <v>#REF!</v>
      </c>
      <c r="C51" t="e">
        <f>VLOOKUP(bron[[#This Row],[personeelsnr]],#REF!,2,0)</f>
        <v>#REF!</v>
      </c>
      <c r="D51" t="e">
        <f>VLOOKUP(bron[[#This Row],[personeelsnr]],#REF!,3,0)</f>
        <v>#REF!</v>
      </c>
      <c r="E51" t="e">
        <f>VLOOKUP(bron[[#This Row],[personeelsnr]],#REF!,11,FALSE)</f>
        <v>#REF!</v>
      </c>
      <c r="F51">
        <v>2</v>
      </c>
    </row>
    <row r="52" spans="1:6" x14ac:dyDescent="0.25">
      <c r="A52">
        <v>36428</v>
      </c>
      <c r="B52" t="e">
        <f>_xlfn.CONCAT(bron[[#This Row],[personeelsnr]]," ",C52," ",D52)</f>
        <v>#REF!</v>
      </c>
      <c r="C52" t="e">
        <f>VLOOKUP(bron[[#This Row],[personeelsnr]],#REF!,2,0)</f>
        <v>#REF!</v>
      </c>
      <c r="D52" t="e">
        <f>VLOOKUP(bron[[#This Row],[personeelsnr]],#REF!,3,0)</f>
        <v>#REF!</v>
      </c>
      <c r="E52" t="e">
        <f>VLOOKUP(bron[[#This Row],[personeelsnr]],#REF!,11,FALSE)</f>
        <v>#REF!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#REF!</v>
      </c>
      <c r="C53" t="e">
        <f>VLOOKUP(bron[[#This Row],[personeelsnr]],#REF!,2,0)</f>
        <v>#REF!</v>
      </c>
      <c r="D53" t="e">
        <f>VLOOKUP(bron[[#This Row],[personeelsnr]],#REF!,3,0)</f>
        <v>#REF!</v>
      </c>
      <c r="E53" t="e">
        <f>VLOOKUP(bron[[#This Row],[personeelsnr]],#REF!,11,FALSE)</f>
        <v>#REF!</v>
      </c>
      <c r="F53">
        <v>2</v>
      </c>
    </row>
    <row r="54" spans="1:6" x14ac:dyDescent="0.25">
      <c r="A54">
        <v>37179</v>
      </c>
      <c r="B54" t="e">
        <f>_xlfn.CONCAT(bron[[#This Row],[personeelsnr]]," ",C54," ",D54)</f>
        <v>#REF!</v>
      </c>
      <c r="C54" t="e">
        <f>VLOOKUP(bron[[#This Row],[personeelsnr]],#REF!,2,0)</f>
        <v>#REF!</v>
      </c>
      <c r="D54" t="e">
        <f>VLOOKUP(bron[[#This Row],[personeelsnr]],#REF!,3,0)</f>
        <v>#REF!</v>
      </c>
      <c r="E54" t="e">
        <f>VLOOKUP(bron[[#This Row],[personeelsnr]],#REF!,11,FALSE)</f>
        <v>#REF!</v>
      </c>
      <c r="F54">
        <v>2</v>
      </c>
    </row>
    <row r="55" spans="1:6" x14ac:dyDescent="0.25">
      <c r="A55">
        <v>37496</v>
      </c>
      <c r="B55" t="e">
        <f>_xlfn.CONCAT(bron[[#This Row],[personeelsnr]]," ",C55," ",D55)</f>
        <v>#REF!</v>
      </c>
      <c r="C55" t="e">
        <f>VLOOKUP(bron[[#This Row],[personeelsnr]],#REF!,2,0)</f>
        <v>#REF!</v>
      </c>
      <c r="D55" t="e">
        <f>VLOOKUP(bron[[#This Row],[personeelsnr]],#REF!,3,0)</f>
        <v>#REF!</v>
      </c>
      <c r="E55" t="e">
        <f>VLOOKUP(bron[[#This Row],[personeelsnr]],#REF!,11,FALSE)</f>
        <v>#REF!</v>
      </c>
      <c r="F55">
        <v>2</v>
      </c>
    </row>
    <row r="56" spans="1:6" x14ac:dyDescent="0.25">
      <c r="A56">
        <v>37809</v>
      </c>
      <c r="B56" t="e">
        <f>_xlfn.CONCAT(bron[[#This Row],[personeelsnr]]," ",C56," ",D56)</f>
        <v>#REF!</v>
      </c>
      <c r="C56" t="e">
        <f>VLOOKUP(bron[[#This Row],[personeelsnr]],#REF!,2,0)</f>
        <v>#REF!</v>
      </c>
      <c r="D56" t="e">
        <f>VLOOKUP(bron[[#This Row],[personeelsnr]],#REF!,3,0)</f>
        <v>#REF!</v>
      </c>
      <c r="E56" t="e">
        <f>VLOOKUP(bron[[#This Row],[personeelsnr]],#REF!,11,FALSE)</f>
        <v>#REF!</v>
      </c>
      <c r="F56">
        <v>2</v>
      </c>
    </row>
    <row r="57" spans="1:6" x14ac:dyDescent="0.25">
      <c r="A57">
        <v>39581</v>
      </c>
      <c r="B57" t="e">
        <f>_xlfn.CONCAT(bron[[#This Row],[personeelsnr]]," ",C57," ",D57)</f>
        <v>#REF!</v>
      </c>
      <c r="C57" t="e">
        <f>VLOOKUP(bron[[#This Row],[personeelsnr]],#REF!,2,0)</f>
        <v>#REF!</v>
      </c>
      <c r="D57" t="e">
        <f>VLOOKUP(bron[[#This Row],[personeelsnr]],#REF!,3,0)</f>
        <v>#REF!</v>
      </c>
      <c r="E57" t="e">
        <f>VLOOKUP(bron[[#This Row],[personeelsnr]],#REF!,11,FALSE)</f>
        <v>#REF!</v>
      </c>
      <c r="F57">
        <v>2</v>
      </c>
    </row>
    <row r="58" spans="1:6" x14ac:dyDescent="0.25">
      <c r="A58">
        <v>39673</v>
      </c>
      <c r="B58" t="e">
        <f>_xlfn.CONCAT(bron[[#This Row],[personeelsnr]]," ",C58," ",D58)</f>
        <v>#REF!</v>
      </c>
      <c r="C58" t="e">
        <f>VLOOKUP(bron[[#This Row],[personeelsnr]],#REF!,2,0)</f>
        <v>#REF!</v>
      </c>
      <c r="D58" t="e">
        <f>VLOOKUP(bron[[#This Row],[personeelsnr]],#REF!,3,0)</f>
        <v>#REF!</v>
      </c>
      <c r="E58" t="e">
        <f>VLOOKUP(bron[[#This Row],[personeelsnr]],#REF!,11,FALSE)</f>
        <v>#REF!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#REF!</v>
      </c>
      <c r="C59" t="e">
        <f>VLOOKUP(bron[[#This Row],[personeelsnr]],#REF!,2,0)</f>
        <v>#REF!</v>
      </c>
      <c r="D59" t="e">
        <f>VLOOKUP(bron[[#This Row],[personeelsnr]],#REF!,3,0)</f>
        <v>#REF!</v>
      </c>
      <c r="E59" t="e">
        <f>VLOOKUP(bron[[#This Row],[personeelsnr]],#REF!,11,FALSE)</f>
        <v>#REF!</v>
      </c>
      <c r="F59">
        <v>2</v>
      </c>
    </row>
    <row r="60" spans="1:6" x14ac:dyDescent="0.25">
      <c r="A60">
        <v>40005</v>
      </c>
      <c r="B60" t="e">
        <f>_xlfn.CONCAT(bron[[#This Row],[personeelsnr]]," ",C60," ",D60)</f>
        <v>#REF!</v>
      </c>
      <c r="C60" t="e">
        <f>VLOOKUP(bron[[#This Row],[personeelsnr]],#REF!,2,0)</f>
        <v>#REF!</v>
      </c>
      <c r="D60" t="e">
        <f>VLOOKUP(bron[[#This Row],[personeelsnr]],#REF!,3,0)</f>
        <v>#REF!</v>
      </c>
      <c r="E60" t="e">
        <f>VLOOKUP(bron[[#This Row],[personeelsnr]],#REF!,11,FALSE)</f>
        <v>#REF!</v>
      </c>
      <c r="F60">
        <v>2</v>
      </c>
    </row>
    <row r="61" spans="1:6" x14ac:dyDescent="0.25">
      <c r="A61">
        <v>40058</v>
      </c>
      <c r="B61" t="e">
        <f>_xlfn.CONCAT(bron[[#This Row],[personeelsnr]]," ",C61," ",D61)</f>
        <v>#REF!</v>
      </c>
      <c r="C61" t="e">
        <f>VLOOKUP(bron[[#This Row],[personeelsnr]],#REF!,2,0)</f>
        <v>#REF!</v>
      </c>
      <c r="D61" t="e">
        <f>VLOOKUP(bron[[#This Row],[personeelsnr]],#REF!,3,0)</f>
        <v>#REF!</v>
      </c>
      <c r="E61" t="e">
        <f>VLOOKUP(bron[[#This Row],[personeelsnr]],#REF!,11,FALSE)</f>
        <v>#REF!</v>
      </c>
      <c r="F61">
        <v>3</v>
      </c>
    </row>
    <row r="62" spans="1:6" x14ac:dyDescent="0.25">
      <c r="A62">
        <v>21582</v>
      </c>
      <c r="B62" t="e">
        <f>_xlfn.CONCAT(bron[[#This Row],[personeelsnr]]," ",C62," ",D62)</f>
        <v>#REF!</v>
      </c>
      <c r="C62" t="e">
        <f>VLOOKUP(bron[[#This Row],[personeelsnr]],#REF!,2,0)</f>
        <v>#REF!</v>
      </c>
      <c r="D62" t="e">
        <f>VLOOKUP(bron[[#This Row],[personeelsnr]],#REF!,3,0)</f>
        <v>#REF!</v>
      </c>
      <c r="E62" t="e">
        <f>VLOOKUP(bron[[#This Row],[personeelsnr]],#REF!,11,FALSE)</f>
        <v>#REF!</v>
      </c>
      <c r="F62">
        <v>2</v>
      </c>
    </row>
    <row r="63" spans="1:6" x14ac:dyDescent="0.25">
      <c r="A63">
        <v>38475</v>
      </c>
      <c r="B63" t="e">
        <f>_xlfn.CONCAT(bron[[#This Row],[personeelsnr]]," ",C63," ",D63)</f>
        <v>#REF!</v>
      </c>
      <c r="C63" t="e">
        <f>VLOOKUP(bron[[#This Row],[personeelsnr]],#REF!,2,0)</f>
        <v>#REF!</v>
      </c>
      <c r="D63" t="e">
        <f>VLOOKUP(bron[[#This Row],[personeelsnr]],#REF!,3,0)</f>
        <v>#REF!</v>
      </c>
      <c r="E63" t="e">
        <f>VLOOKUP(bron[[#This Row],[personeelsnr]],#REF!,11,FALSE)</f>
        <v>#REF!</v>
      </c>
      <c r="F63">
        <v>2</v>
      </c>
    </row>
    <row r="64" spans="1:6" x14ac:dyDescent="0.25">
      <c r="A64">
        <v>11236</v>
      </c>
      <c r="B64" t="e">
        <f>_xlfn.CONCAT(bron[[#This Row],[personeelsnr]]," ",C64," ",D64)</f>
        <v>#REF!</v>
      </c>
      <c r="C64" t="e">
        <f>VLOOKUP(bron[[#This Row],[personeelsnr]],#REF!,2,0)</f>
        <v>#REF!</v>
      </c>
      <c r="D64" t="e">
        <f>VLOOKUP(bron[[#This Row],[personeelsnr]],#REF!,3,0)</f>
        <v>#REF!</v>
      </c>
      <c r="E64" t="e">
        <f>VLOOKUP(bron[[#This Row],[personeelsnr]],#REF!,11,FALSE)</f>
        <v>#REF!</v>
      </c>
      <c r="F64">
        <v>1</v>
      </c>
    </row>
    <row r="65" spans="1:6" x14ac:dyDescent="0.25">
      <c r="A65">
        <v>16545</v>
      </c>
      <c r="B65" t="e">
        <f>_xlfn.CONCAT(bron[[#This Row],[personeelsnr]]," ",C65," ",D65)</f>
        <v>#REF!</v>
      </c>
      <c r="C65" t="e">
        <f>VLOOKUP(bron[[#This Row],[personeelsnr]],#REF!,2,0)</f>
        <v>#REF!</v>
      </c>
      <c r="D65" t="e">
        <f>VLOOKUP(bron[[#This Row],[personeelsnr]],#REF!,3,0)</f>
        <v>#REF!</v>
      </c>
      <c r="E65" t="e">
        <f>VLOOKUP(bron[[#This Row],[personeelsnr]],#REF!,11,FALSE)</f>
        <v>#REF!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#REF!</v>
      </c>
      <c r="C66" t="e">
        <f>VLOOKUP(bron[[#This Row],[personeelsnr]],#REF!,2,0)</f>
        <v>#REF!</v>
      </c>
      <c r="D66" t="e">
        <f>VLOOKUP(bron[[#This Row],[personeelsnr]],#REF!,3,0)</f>
        <v>#REF!</v>
      </c>
      <c r="E66" t="e">
        <f>VLOOKUP(bron[[#This Row],[personeelsnr]],#REF!,11,FALSE)</f>
        <v>#REF!</v>
      </c>
      <c r="F66">
        <v>1</v>
      </c>
    </row>
    <row r="67" spans="1:6" x14ac:dyDescent="0.25">
      <c r="A67">
        <v>17566</v>
      </c>
      <c r="B67" t="e">
        <f>_xlfn.CONCAT(bron[[#This Row],[personeelsnr]]," ",C67," ",D67)</f>
        <v>#REF!</v>
      </c>
      <c r="C67" t="e">
        <f>VLOOKUP(bron[[#This Row],[personeelsnr]],#REF!,2,0)</f>
        <v>#REF!</v>
      </c>
      <c r="D67" t="e">
        <f>VLOOKUP(bron[[#This Row],[personeelsnr]],#REF!,3,0)</f>
        <v>#REF!</v>
      </c>
      <c r="E67" t="e">
        <f>VLOOKUP(bron[[#This Row],[personeelsnr]],#REF!,11,FALSE)</f>
        <v>#REF!</v>
      </c>
      <c r="F67">
        <v>1</v>
      </c>
    </row>
    <row r="68" spans="1:6" x14ac:dyDescent="0.25">
      <c r="A68">
        <v>19249</v>
      </c>
      <c r="B68" t="e">
        <f>_xlfn.CONCAT(bron[[#This Row],[personeelsnr]]," ",C68," ",D68)</f>
        <v>#REF!</v>
      </c>
      <c r="C68" t="e">
        <f>VLOOKUP(bron[[#This Row],[personeelsnr]],#REF!,2,0)</f>
        <v>#REF!</v>
      </c>
      <c r="D68" t="e">
        <f>VLOOKUP(bron[[#This Row],[personeelsnr]],#REF!,3,0)</f>
        <v>#REF!</v>
      </c>
      <c r="E68" t="e">
        <f>VLOOKUP(bron[[#This Row],[personeelsnr]],#REF!,11,FALSE)</f>
        <v>#REF!</v>
      </c>
      <c r="F68">
        <v>1</v>
      </c>
    </row>
    <row r="69" spans="1:6" x14ac:dyDescent="0.25">
      <c r="A69">
        <v>8016</v>
      </c>
      <c r="B69" t="e">
        <f>_xlfn.CONCAT(bron[[#This Row],[personeelsnr]]," ",C69," ",D69)</f>
        <v>#REF!</v>
      </c>
      <c r="C69" t="e">
        <f>VLOOKUP(bron[[#This Row],[personeelsnr]],#REF!,2,0)</f>
        <v>#REF!</v>
      </c>
      <c r="D69" t="e">
        <f>VLOOKUP(bron[[#This Row],[personeelsnr]],#REF!,3,0)</f>
        <v>#REF!</v>
      </c>
      <c r="E69" t="e">
        <f>VLOOKUP(bron[[#This Row],[personeelsnr]],#REF!,11,FALSE)</f>
        <v>#REF!</v>
      </c>
      <c r="F69">
        <v>2</v>
      </c>
    </row>
    <row r="70" spans="1:6" x14ac:dyDescent="0.25">
      <c r="A70">
        <v>35434</v>
      </c>
      <c r="B70" t="e">
        <f>_xlfn.CONCAT(bron[[#This Row],[personeelsnr]]," ",C70," ",D70)</f>
        <v>#REF!</v>
      </c>
      <c r="C70" t="e">
        <f>VLOOKUP(bron[[#This Row],[personeelsnr]],#REF!,2,0)</f>
        <v>#REF!</v>
      </c>
      <c r="D70" t="e">
        <f>VLOOKUP(bron[[#This Row],[personeelsnr]],#REF!,3,0)</f>
        <v>#REF!</v>
      </c>
      <c r="E70" t="e">
        <f>VLOOKUP(bron[[#This Row],[personeelsnr]],#REF!,11,FALSE)</f>
        <v>#REF!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#REF!</v>
      </c>
      <c r="C71" t="e">
        <f>VLOOKUP(bron[[#This Row],[personeelsnr]],#REF!,2,0)</f>
        <v>#REF!</v>
      </c>
      <c r="D71" t="e">
        <f>VLOOKUP(bron[[#This Row],[personeelsnr]],#REF!,3,0)</f>
        <v>#REF!</v>
      </c>
      <c r="E71" t="e">
        <f>VLOOKUP(bron[[#This Row],[personeelsnr]],#REF!,11,FALSE)</f>
        <v>#REF!</v>
      </c>
      <c r="F71">
        <v>2</v>
      </c>
    </row>
    <row r="72" spans="1:6" x14ac:dyDescent="0.25">
      <c r="A72">
        <v>12124</v>
      </c>
      <c r="B72" t="e">
        <f>_xlfn.CONCAT(bron[[#This Row],[personeelsnr]]," ",C72," ",D72)</f>
        <v>#REF!</v>
      </c>
      <c r="C72" t="e">
        <f>VLOOKUP(bron[[#This Row],[personeelsnr]],#REF!,2,0)</f>
        <v>#REF!</v>
      </c>
      <c r="D72" t="e">
        <f>VLOOKUP(bron[[#This Row],[personeelsnr]],#REF!,3,0)</f>
        <v>#REF!</v>
      </c>
      <c r="E72" t="e">
        <f>VLOOKUP(bron[[#This Row],[personeelsnr]],#REF!,11,FALSE)</f>
        <v>#REF!</v>
      </c>
      <c r="F72">
        <v>2</v>
      </c>
    </row>
    <row r="73" spans="1:6" x14ac:dyDescent="0.25">
      <c r="A73">
        <v>31360</v>
      </c>
      <c r="B73" t="e">
        <f>_xlfn.CONCAT(bron[[#This Row],[personeelsnr]]," ",C73," ",D73)</f>
        <v>#REF!</v>
      </c>
      <c r="C73" t="e">
        <f>VLOOKUP(bron[[#This Row],[personeelsnr]],#REF!,2,0)</f>
        <v>#REF!</v>
      </c>
      <c r="D73" t="e">
        <f>VLOOKUP(bron[[#This Row],[personeelsnr]],#REF!,3,0)</f>
        <v>#REF!</v>
      </c>
      <c r="E73" t="e">
        <f>VLOOKUP(bron[[#This Row],[personeelsnr]],#REF!,11,FALSE)</f>
        <v>#REF!</v>
      </c>
      <c r="F73">
        <v>1</v>
      </c>
    </row>
    <row r="74" spans="1:6" x14ac:dyDescent="0.25">
      <c r="A74">
        <v>31600</v>
      </c>
      <c r="B74" t="e">
        <f>_xlfn.CONCAT(bron[[#This Row],[personeelsnr]]," ",C74," ",D74)</f>
        <v>#REF!</v>
      </c>
      <c r="C74" t="e">
        <f>VLOOKUP(bron[[#This Row],[personeelsnr]],#REF!,2,0)</f>
        <v>#REF!</v>
      </c>
      <c r="D74" t="e">
        <f>VLOOKUP(bron[[#This Row],[personeelsnr]],#REF!,3,0)</f>
        <v>#REF!</v>
      </c>
      <c r="E74" t="e">
        <f>VLOOKUP(bron[[#This Row],[personeelsnr]],#REF!,11,FALSE)</f>
        <v>#REF!</v>
      </c>
      <c r="F74">
        <v>1</v>
      </c>
    </row>
    <row r="75" spans="1:6" x14ac:dyDescent="0.25">
      <c r="A75">
        <v>37936</v>
      </c>
      <c r="B75" t="e">
        <f>_xlfn.CONCAT(bron[[#This Row],[personeelsnr]]," ",C75," ",D75)</f>
        <v>#REF!</v>
      </c>
      <c r="C75" t="e">
        <f>VLOOKUP(bron[[#This Row],[personeelsnr]],#REF!,2,0)</f>
        <v>#REF!</v>
      </c>
      <c r="D75" t="e">
        <f>VLOOKUP(bron[[#This Row],[personeelsnr]],#REF!,3,0)</f>
        <v>#REF!</v>
      </c>
      <c r="E75" t="e">
        <f>VLOOKUP(bron[[#This Row],[personeelsnr]],#REF!,11,FALSE)</f>
        <v>#REF!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#REF!</v>
      </c>
      <c r="C76" t="e">
        <f>VLOOKUP(bron[[#This Row],[personeelsnr]],#REF!,2,0)</f>
        <v>#REF!</v>
      </c>
      <c r="D76" t="e">
        <f>VLOOKUP(bron[[#This Row],[personeelsnr]],#REF!,3,0)</f>
        <v>#REF!</v>
      </c>
      <c r="E76" t="e">
        <f>VLOOKUP(bron[[#This Row],[personeelsnr]],#REF!,11,FALSE)</f>
        <v>#REF!</v>
      </c>
      <c r="F76">
        <v>2</v>
      </c>
    </row>
    <row r="77" spans="1:6" x14ac:dyDescent="0.25">
      <c r="A77">
        <v>26198</v>
      </c>
      <c r="B77" t="e">
        <f>_xlfn.CONCAT(bron[[#This Row],[personeelsnr]]," ",C77," ",D77)</f>
        <v>#REF!</v>
      </c>
      <c r="C77" t="e">
        <f>VLOOKUP(bron[[#This Row],[personeelsnr]],#REF!,2,0)</f>
        <v>#REF!</v>
      </c>
      <c r="D77" t="e">
        <f>VLOOKUP(bron[[#This Row],[personeelsnr]],#REF!,3,0)</f>
        <v>#REF!</v>
      </c>
      <c r="E77" t="e">
        <f>VLOOKUP(bron[[#This Row],[personeelsnr]],#REF!,11,FALSE)</f>
        <v>#REF!</v>
      </c>
      <c r="F77">
        <v>2</v>
      </c>
    </row>
    <row r="78" spans="1:6" x14ac:dyDescent="0.25">
      <c r="A78">
        <v>27635</v>
      </c>
      <c r="B78" t="e">
        <f>_xlfn.CONCAT(bron[[#This Row],[personeelsnr]]," ",C78," ",D78)</f>
        <v>#REF!</v>
      </c>
      <c r="C78" t="e">
        <f>VLOOKUP(bron[[#This Row],[personeelsnr]],#REF!,2,0)</f>
        <v>#REF!</v>
      </c>
      <c r="D78" t="e">
        <f>VLOOKUP(bron[[#This Row],[personeelsnr]],#REF!,3,0)</f>
        <v>#REF!</v>
      </c>
      <c r="E78" t="e">
        <f>VLOOKUP(bron[[#This Row],[personeelsnr]],#REF!,11,FALSE)</f>
        <v>#REF!</v>
      </c>
      <c r="F78">
        <v>2</v>
      </c>
    </row>
    <row r="79" spans="1:6" x14ac:dyDescent="0.25">
      <c r="A79">
        <v>36513</v>
      </c>
      <c r="B79" t="e">
        <f>_xlfn.CONCAT(bron[[#This Row],[personeelsnr]]," ",C79," ",D79)</f>
        <v>#REF!</v>
      </c>
      <c r="C79" t="e">
        <f>VLOOKUP(bron[[#This Row],[personeelsnr]],#REF!,2,0)</f>
        <v>#REF!</v>
      </c>
      <c r="D79" t="e">
        <f>VLOOKUP(bron[[#This Row],[personeelsnr]],#REF!,3,0)</f>
        <v>#REF!</v>
      </c>
      <c r="E79" t="e">
        <f>VLOOKUP(bron[[#This Row],[personeelsnr]],#REF!,11,FALSE)</f>
        <v>#REF!</v>
      </c>
      <c r="F79">
        <v>2</v>
      </c>
    </row>
    <row r="80" spans="1:6" x14ac:dyDescent="0.25">
      <c r="A80">
        <v>37131</v>
      </c>
      <c r="B80" t="e">
        <f>_xlfn.CONCAT(bron[[#This Row],[personeelsnr]]," ",C80," ",D80)</f>
        <v>#REF!</v>
      </c>
      <c r="C80" t="e">
        <f>VLOOKUP(bron[[#This Row],[personeelsnr]],#REF!,2,0)</f>
        <v>#REF!</v>
      </c>
      <c r="D80" t="e">
        <f>VLOOKUP(bron[[#This Row],[personeelsnr]],#REF!,3,0)</f>
        <v>#REF!</v>
      </c>
      <c r="E80" t="e">
        <f>VLOOKUP(bron[[#This Row],[personeelsnr]],#REF!,11,FALSE)</f>
        <v>#REF!</v>
      </c>
      <c r="F80">
        <v>2</v>
      </c>
    </row>
    <row r="81" spans="1:6" x14ac:dyDescent="0.25">
      <c r="A81">
        <v>38205</v>
      </c>
      <c r="B81" t="e">
        <f>_xlfn.CONCAT(bron[[#This Row],[personeelsnr]]," ",C81," ",D81)</f>
        <v>#REF!</v>
      </c>
      <c r="C81" t="e">
        <f>VLOOKUP(bron[[#This Row],[personeelsnr]],#REF!,2,0)</f>
        <v>#REF!</v>
      </c>
      <c r="D81" t="e">
        <f>VLOOKUP(bron[[#This Row],[personeelsnr]],#REF!,3,0)</f>
        <v>#REF!</v>
      </c>
      <c r="E81" t="e">
        <f>VLOOKUP(bron[[#This Row],[personeelsnr]],#REF!,11,FALSE)</f>
        <v>#REF!</v>
      </c>
      <c r="F81">
        <v>2</v>
      </c>
    </row>
    <row r="82" spans="1:6" x14ac:dyDescent="0.25">
      <c r="A82">
        <v>38481</v>
      </c>
      <c r="B82" t="e">
        <f>_xlfn.CONCAT(bron[[#This Row],[personeelsnr]]," ",C82," ",D82)</f>
        <v>#REF!</v>
      </c>
      <c r="C82" t="e">
        <f>VLOOKUP(bron[[#This Row],[personeelsnr]],#REF!,2,0)</f>
        <v>#REF!</v>
      </c>
      <c r="D82" t="e">
        <f>VLOOKUP(bron[[#This Row],[personeelsnr]],#REF!,3,0)</f>
        <v>#REF!</v>
      </c>
      <c r="E82" t="e">
        <f>VLOOKUP(bron[[#This Row],[personeelsnr]],#REF!,11,FALSE)</f>
        <v>#REF!</v>
      </c>
      <c r="F82">
        <v>2</v>
      </c>
    </row>
    <row r="83" spans="1:6" x14ac:dyDescent="0.25">
      <c r="A83">
        <v>5718</v>
      </c>
      <c r="B83" t="e">
        <f>_xlfn.CONCAT(bron[[#This Row],[personeelsnr]]," ",C83," ",D83)</f>
        <v>#REF!</v>
      </c>
      <c r="C83" t="e">
        <f>VLOOKUP(bron[[#This Row],[personeelsnr]],#REF!,2,0)</f>
        <v>#REF!</v>
      </c>
      <c r="D83" t="e">
        <f>VLOOKUP(bron[[#This Row],[personeelsnr]],#REF!,3,0)</f>
        <v>#REF!</v>
      </c>
      <c r="E83" t="e">
        <f>VLOOKUP(bron[[#This Row],[personeelsnr]],#REF!,11,FALSE)</f>
        <v>#REF!</v>
      </c>
      <c r="F83">
        <v>2</v>
      </c>
    </row>
    <row r="84" spans="1:6" x14ac:dyDescent="0.25">
      <c r="A84">
        <v>33400</v>
      </c>
      <c r="B84" t="e">
        <f>_xlfn.CONCAT(bron[[#This Row],[personeelsnr]]," ",C84," ",D84)</f>
        <v>#REF!</v>
      </c>
      <c r="C84" t="e">
        <f>VLOOKUP(bron[[#This Row],[personeelsnr]],#REF!,2,0)</f>
        <v>#REF!</v>
      </c>
      <c r="D84" t="e">
        <f>VLOOKUP(bron[[#This Row],[personeelsnr]],#REF!,3,0)</f>
        <v>#REF!</v>
      </c>
      <c r="E84" t="e">
        <f>VLOOKUP(bron[[#This Row],[personeelsnr]],#REF!,11,FALSE)</f>
        <v>#REF!</v>
      </c>
      <c r="F84">
        <v>2</v>
      </c>
    </row>
    <row r="85" spans="1:6" x14ac:dyDescent="0.25">
      <c r="A85">
        <v>39528</v>
      </c>
      <c r="B85" t="e">
        <f>_xlfn.CONCAT(bron[[#This Row],[personeelsnr]]," ",C85," ",D85)</f>
        <v>#REF!</v>
      </c>
      <c r="C85" t="e">
        <f>VLOOKUP(bron[[#This Row],[personeelsnr]],#REF!,2,0)</f>
        <v>#REF!</v>
      </c>
      <c r="D85" t="e">
        <f>VLOOKUP(bron[[#This Row],[personeelsnr]],#REF!,3,0)</f>
        <v>#REF!</v>
      </c>
      <c r="E85" t="e">
        <f>VLOOKUP(bron[[#This Row],[personeelsnr]],#REF!,11,FALSE)</f>
        <v>#REF!</v>
      </c>
      <c r="F85">
        <v>2</v>
      </c>
    </row>
    <row r="86" spans="1:6" x14ac:dyDescent="0.25">
      <c r="A86">
        <v>39529</v>
      </c>
      <c r="B86" t="e">
        <f>_xlfn.CONCAT(bron[[#This Row],[personeelsnr]]," ",C86," ",D86)</f>
        <v>#REF!</v>
      </c>
      <c r="C86" t="e">
        <f>VLOOKUP(bron[[#This Row],[personeelsnr]],#REF!,2,0)</f>
        <v>#REF!</v>
      </c>
      <c r="D86" t="e">
        <f>VLOOKUP(bron[[#This Row],[personeelsnr]],#REF!,3,0)</f>
        <v>#REF!</v>
      </c>
      <c r="E86" t="e">
        <f>VLOOKUP(bron[[#This Row],[personeelsnr]],#REF!,11,FALSE)</f>
        <v>#REF!</v>
      </c>
      <c r="F86">
        <v>2</v>
      </c>
    </row>
    <row r="87" spans="1:6" x14ac:dyDescent="0.25">
      <c r="A87">
        <v>39899</v>
      </c>
      <c r="B87" t="e">
        <f>_xlfn.CONCAT(bron[[#This Row],[personeelsnr]]," ",C87," ",D87)</f>
        <v>#REF!</v>
      </c>
      <c r="C87" t="e">
        <f>VLOOKUP(bron[[#This Row],[personeelsnr]],#REF!,2,0)</f>
        <v>#REF!</v>
      </c>
      <c r="D87" t="e">
        <f>VLOOKUP(bron[[#This Row],[personeelsnr]],#REF!,3,0)</f>
        <v>#REF!</v>
      </c>
      <c r="E87" t="e">
        <f>VLOOKUP(bron[[#This Row],[personeelsnr]],#REF!,11,FALSE)</f>
        <v>#REF!</v>
      </c>
      <c r="F87">
        <v>2</v>
      </c>
    </row>
    <row r="88" spans="1:6" x14ac:dyDescent="0.25">
      <c r="A88">
        <v>39930</v>
      </c>
      <c r="B88" t="e">
        <f>_xlfn.CONCAT(bron[[#This Row],[personeelsnr]]," ",C88," ",D88)</f>
        <v>#REF!</v>
      </c>
      <c r="C88" t="e">
        <f>VLOOKUP(bron[[#This Row],[personeelsnr]],#REF!,2,0)</f>
        <v>#REF!</v>
      </c>
      <c r="D88" t="e">
        <f>VLOOKUP(bron[[#This Row],[personeelsnr]],#REF!,3,0)</f>
        <v>#REF!</v>
      </c>
      <c r="E88" t="e">
        <f>VLOOKUP(bron[[#This Row],[personeelsnr]],#REF!,11,FALSE)</f>
        <v>#REF!</v>
      </c>
      <c r="F88">
        <v>2</v>
      </c>
    </row>
    <row r="89" spans="1:6" x14ac:dyDescent="0.25">
      <c r="A89">
        <v>22625</v>
      </c>
      <c r="B89" t="e">
        <f>_xlfn.CONCAT(bron[[#This Row],[personeelsnr]]," ",C89," ",D89)</f>
        <v>#REF!</v>
      </c>
      <c r="C89" t="e">
        <f>VLOOKUP(bron[[#This Row],[personeelsnr]],#REF!,2,0)</f>
        <v>#REF!</v>
      </c>
      <c r="D89" t="e">
        <f>VLOOKUP(bron[[#This Row],[personeelsnr]],#REF!,3,0)</f>
        <v>#REF!</v>
      </c>
      <c r="E89" t="e">
        <f>VLOOKUP(bron[[#This Row],[personeelsnr]],#REF!,11,FALSE)</f>
        <v>#REF!</v>
      </c>
      <c r="F89">
        <v>2</v>
      </c>
    </row>
    <row r="90" spans="1:6" x14ac:dyDescent="0.25">
      <c r="A90">
        <v>26847</v>
      </c>
      <c r="B90" t="e">
        <f>_xlfn.CONCAT(bron[[#This Row],[personeelsnr]]," ",C90," ",D90)</f>
        <v>#REF!</v>
      </c>
      <c r="C90" t="e">
        <f>VLOOKUP(bron[[#This Row],[personeelsnr]],#REF!,2,0)</f>
        <v>#REF!</v>
      </c>
      <c r="D90" t="e">
        <f>VLOOKUP(bron[[#This Row],[personeelsnr]],#REF!,3,0)</f>
        <v>#REF!</v>
      </c>
      <c r="E90" t="e">
        <f>VLOOKUP(bron[[#This Row],[personeelsnr]],#REF!,11,FALSE)</f>
        <v>#REF!</v>
      </c>
      <c r="F90">
        <v>2</v>
      </c>
    </row>
    <row r="91" spans="1:6" x14ac:dyDescent="0.25">
      <c r="A91">
        <v>35107</v>
      </c>
      <c r="B91" t="e">
        <f>_xlfn.CONCAT(bron[[#This Row],[personeelsnr]]," ",C91," ",D91)</f>
        <v>#REF!</v>
      </c>
      <c r="C91" t="e">
        <f>VLOOKUP(bron[[#This Row],[personeelsnr]],#REF!,2,0)</f>
        <v>#REF!</v>
      </c>
      <c r="D91" t="e">
        <f>VLOOKUP(bron[[#This Row],[personeelsnr]],#REF!,3,0)</f>
        <v>#REF!</v>
      </c>
      <c r="E91" t="e">
        <f>VLOOKUP(bron[[#This Row],[personeelsnr]],#REF!,11,FALSE)</f>
        <v>#REF!</v>
      </c>
      <c r="F91">
        <v>2</v>
      </c>
    </row>
    <row r="92" spans="1:6" x14ac:dyDescent="0.25">
      <c r="A92">
        <v>36438</v>
      </c>
      <c r="B92" t="e">
        <f>_xlfn.CONCAT(bron[[#This Row],[personeelsnr]]," ",C92," ",D92)</f>
        <v>#REF!</v>
      </c>
      <c r="C92" t="e">
        <f>VLOOKUP(bron[[#This Row],[personeelsnr]],#REF!,2,0)</f>
        <v>#REF!</v>
      </c>
      <c r="D92" t="e">
        <f>VLOOKUP(bron[[#This Row],[personeelsnr]],#REF!,3,0)</f>
        <v>#REF!</v>
      </c>
      <c r="E92" t="e">
        <f>VLOOKUP(bron[[#This Row],[personeelsnr]],#REF!,11,FALSE)</f>
        <v>#REF!</v>
      </c>
      <c r="F92">
        <v>2</v>
      </c>
    </row>
    <row r="93" spans="1:6" x14ac:dyDescent="0.25">
      <c r="A93">
        <v>32620</v>
      </c>
      <c r="B93" t="e">
        <f>_xlfn.CONCAT(bron[[#This Row],[personeelsnr]]," ",C93," ",D93)</f>
        <v>#REF!</v>
      </c>
      <c r="C93" t="e">
        <f>VLOOKUP(bron[[#This Row],[personeelsnr]],#REF!,2,0)</f>
        <v>#REF!</v>
      </c>
      <c r="D93" t="e">
        <f>VLOOKUP(bron[[#This Row],[personeelsnr]],#REF!,3,0)</f>
        <v>#REF!</v>
      </c>
      <c r="E93" t="e">
        <f>VLOOKUP(bron[[#This Row],[personeelsnr]],#REF!,11,FALSE)</f>
        <v>#REF!</v>
      </c>
      <c r="F93">
        <v>1</v>
      </c>
    </row>
    <row r="94" spans="1:6" x14ac:dyDescent="0.25">
      <c r="A94">
        <v>38634</v>
      </c>
      <c r="B94" t="e">
        <f>_xlfn.CONCAT(bron[[#This Row],[personeelsnr]]," ",C94," ",D94)</f>
        <v>#REF!</v>
      </c>
      <c r="C94" t="e">
        <f>VLOOKUP(bron[[#This Row],[personeelsnr]],#REF!,2,0)</f>
        <v>#REF!</v>
      </c>
      <c r="D94" t="e">
        <f>VLOOKUP(bron[[#This Row],[personeelsnr]],#REF!,3,0)</f>
        <v>#REF!</v>
      </c>
      <c r="E94" t="e">
        <f>VLOOKUP(bron[[#This Row],[personeelsnr]],#REF!,11,FALSE)</f>
        <v>#REF!</v>
      </c>
      <c r="F94">
        <v>2</v>
      </c>
    </row>
    <row r="95" spans="1:6" x14ac:dyDescent="0.25">
      <c r="A95">
        <v>39106</v>
      </c>
      <c r="B95" t="e">
        <f>_xlfn.CONCAT(bron[[#This Row],[personeelsnr]]," ",C95," ",D95)</f>
        <v>#REF!</v>
      </c>
      <c r="C95" t="e">
        <f>VLOOKUP(bron[[#This Row],[personeelsnr]],#REF!,2,0)</f>
        <v>#REF!</v>
      </c>
      <c r="D95" t="e">
        <f>VLOOKUP(bron[[#This Row],[personeelsnr]],#REF!,3,0)</f>
        <v>#REF!</v>
      </c>
      <c r="E95" t="e">
        <f>VLOOKUP(bron[[#This Row],[personeelsnr]],#REF!,11,FALSE)</f>
        <v>#REF!</v>
      </c>
      <c r="F95">
        <v>2</v>
      </c>
    </row>
    <row r="96" spans="1:6" x14ac:dyDescent="0.25">
      <c r="A96">
        <v>40478</v>
      </c>
      <c r="B96" t="e">
        <f>_xlfn.CONCAT(bron[[#This Row],[personeelsnr]]," ",C96," ",D96)</f>
        <v>#REF!</v>
      </c>
      <c r="C96" t="e">
        <f>VLOOKUP(bron[[#This Row],[personeelsnr]],#REF!,2,0)</f>
        <v>#REF!</v>
      </c>
      <c r="D96" t="e">
        <f>VLOOKUP(bron[[#This Row],[personeelsnr]],#REF!,3,0)</f>
        <v>#REF!</v>
      </c>
      <c r="E96" t="e">
        <f>VLOOKUP(bron[[#This Row],[personeelsnr]],#REF!,11,FALSE)</f>
        <v>#REF!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#REF!</v>
      </c>
      <c r="C97" t="e">
        <f>VLOOKUP(bron[[#This Row],[personeelsnr]],#REF!,2,0)</f>
        <v>#REF!</v>
      </c>
      <c r="D97" t="e">
        <f>VLOOKUP(bron[[#This Row],[personeelsnr]],#REF!,3,0)</f>
        <v>#REF!</v>
      </c>
      <c r="E97" t="e">
        <f>VLOOKUP(bron[[#This Row],[personeelsnr]],#REF!,11,FALSE)</f>
        <v>#REF!</v>
      </c>
      <c r="F97">
        <v>2</v>
      </c>
    </row>
    <row r="98" spans="1:6" x14ac:dyDescent="0.25">
      <c r="A98">
        <v>39019</v>
      </c>
      <c r="B98" t="e">
        <f>_xlfn.CONCAT(bron[[#This Row],[personeelsnr]]," ",C98," ",D98)</f>
        <v>#REF!</v>
      </c>
      <c r="C98" t="e">
        <f>VLOOKUP(bron[[#This Row],[personeelsnr]],#REF!,2,0)</f>
        <v>#REF!</v>
      </c>
      <c r="D98" t="e">
        <f>VLOOKUP(bron[[#This Row],[personeelsnr]],#REF!,3,0)</f>
        <v>#REF!</v>
      </c>
      <c r="E98" t="e">
        <f>VLOOKUP(bron[[#This Row],[personeelsnr]],#REF!,11,FALSE)</f>
        <v>#REF!</v>
      </c>
      <c r="F98">
        <v>2</v>
      </c>
    </row>
    <row r="99" spans="1:6" x14ac:dyDescent="0.25">
      <c r="A99">
        <v>39728</v>
      </c>
      <c r="B99" t="e">
        <f>_xlfn.CONCAT(bron[[#This Row],[personeelsnr]]," ",C99," ",D99)</f>
        <v>#REF!</v>
      </c>
      <c r="C99" t="e">
        <f>VLOOKUP(bron[[#This Row],[personeelsnr]],#REF!,2,0)</f>
        <v>#REF!</v>
      </c>
      <c r="D99" t="e">
        <f>VLOOKUP(bron[[#This Row],[personeelsnr]],#REF!,3,0)</f>
        <v>#REF!</v>
      </c>
      <c r="E99" t="e">
        <f>VLOOKUP(bron[[#This Row],[personeelsnr]],#REF!,11,FALSE)</f>
        <v>#REF!</v>
      </c>
      <c r="F99">
        <v>2</v>
      </c>
    </row>
    <row r="100" spans="1:6" x14ac:dyDescent="0.25">
      <c r="A100">
        <v>33986</v>
      </c>
      <c r="B100" t="e">
        <f>_xlfn.CONCAT(bron[[#This Row],[personeelsnr]]," ",C100," ",D100)</f>
        <v>#REF!</v>
      </c>
      <c r="C100" t="e">
        <f>VLOOKUP(bron[[#This Row],[personeelsnr]],#REF!,2,0)</f>
        <v>#REF!</v>
      </c>
      <c r="D100" t="e">
        <f>VLOOKUP(bron[[#This Row],[personeelsnr]],#REF!,3,0)</f>
        <v>#REF!</v>
      </c>
      <c r="E100" t="e">
        <f>VLOOKUP(bron[[#This Row],[personeelsnr]],#REF!,11,FALSE)</f>
        <v>#REF!</v>
      </c>
      <c r="F100">
        <v>2</v>
      </c>
    </row>
    <row r="101" spans="1:6" x14ac:dyDescent="0.25">
      <c r="A101">
        <v>40521</v>
      </c>
      <c r="B101" t="e">
        <f>_xlfn.CONCAT(bron[[#This Row],[personeelsnr]]," ",C101," ",D101)</f>
        <v>#REF!</v>
      </c>
      <c r="C101" t="e">
        <f>VLOOKUP(bron[[#This Row],[personeelsnr]],#REF!,2,0)</f>
        <v>#REF!</v>
      </c>
      <c r="D101" t="e">
        <f>VLOOKUP(bron[[#This Row],[personeelsnr]],#REF!,3,0)</f>
        <v>#REF!</v>
      </c>
      <c r="E101" t="e">
        <f>VLOOKUP(bron[[#This Row],[personeelsnr]],#REF!,11,FALSE)</f>
        <v>#REF!</v>
      </c>
      <c r="F101">
        <v>2</v>
      </c>
    </row>
    <row r="102" spans="1:6" x14ac:dyDescent="0.25">
      <c r="A102">
        <v>14261</v>
      </c>
      <c r="B102" t="e">
        <f>_xlfn.CONCAT(bron[[#This Row],[personeelsnr]]," ",C102," ",D102)</f>
        <v>#REF!</v>
      </c>
      <c r="C102" t="e">
        <f>VLOOKUP(bron[[#This Row],[personeelsnr]],#REF!,2,0)</f>
        <v>#REF!</v>
      </c>
      <c r="D102" t="e">
        <f>VLOOKUP(bron[[#This Row],[personeelsnr]],#REF!,3,0)</f>
        <v>#REF!</v>
      </c>
      <c r="E102" t="e">
        <f>VLOOKUP(bron[[#This Row],[personeelsnr]],#REF!,11,FALSE)</f>
        <v>#REF!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#REF!</v>
      </c>
      <c r="C103" t="e">
        <f>VLOOKUP(bron[[#This Row],[personeelsnr]],#REF!,2,0)</f>
        <v>#REF!</v>
      </c>
      <c r="D103" t="e">
        <f>VLOOKUP(bron[[#This Row],[personeelsnr]],#REF!,3,0)</f>
        <v>#REF!</v>
      </c>
      <c r="E103" t="e">
        <f>VLOOKUP(bron[[#This Row],[personeelsnr]],#REF!,11,FALSE)</f>
        <v>#REF!</v>
      </c>
      <c r="F103">
        <v>2</v>
      </c>
    </row>
    <row r="104" spans="1:6" x14ac:dyDescent="0.25">
      <c r="A104">
        <v>34351</v>
      </c>
      <c r="B104" t="e">
        <f>_xlfn.CONCAT(bron[[#This Row],[personeelsnr]]," ",C104," ",D104)</f>
        <v>#REF!</v>
      </c>
      <c r="C104" t="e">
        <f>VLOOKUP(bron[[#This Row],[personeelsnr]],#REF!,2,0)</f>
        <v>#REF!</v>
      </c>
      <c r="D104" t="e">
        <f>VLOOKUP(bron[[#This Row],[personeelsnr]],#REF!,3,0)</f>
        <v>#REF!</v>
      </c>
      <c r="E104" t="e">
        <f>VLOOKUP(bron[[#This Row],[personeelsnr]],#REF!,11,FALSE)</f>
        <v>#REF!</v>
      </c>
      <c r="F104">
        <v>1</v>
      </c>
    </row>
    <row r="105" spans="1:6" x14ac:dyDescent="0.25">
      <c r="A105">
        <v>35055</v>
      </c>
      <c r="B105" t="e">
        <f>_xlfn.CONCAT(bron[[#This Row],[personeelsnr]]," ",C105," ",D105)</f>
        <v>#REF!</v>
      </c>
      <c r="C105" t="e">
        <f>VLOOKUP(bron[[#This Row],[personeelsnr]],#REF!,2,0)</f>
        <v>#REF!</v>
      </c>
      <c r="D105" t="e">
        <f>VLOOKUP(bron[[#This Row],[personeelsnr]],#REF!,3,0)</f>
        <v>#REF!</v>
      </c>
      <c r="E105" t="e">
        <f>VLOOKUP(bron[[#This Row],[personeelsnr]],#REF!,11,FALSE)</f>
        <v>#REF!</v>
      </c>
      <c r="F105">
        <v>2</v>
      </c>
    </row>
    <row r="106" spans="1:6" x14ac:dyDescent="0.25">
      <c r="A106">
        <v>36425</v>
      </c>
      <c r="B106" t="e">
        <f>_xlfn.CONCAT(bron[[#This Row],[personeelsnr]]," ",C106," ",D106)</f>
        <v>#REF!</v>
      </c>
      <c r="C106" t="e">
        <f>VLOOKUP(bron[[#This Row],[personeelsnr]],#REF!,2,0)</f>
        <v>#REF!</v>
      </c>
      <c r="D106" t="e">
        <f>VLOOKUP(bron[[#This Row],[personeelsnr]],#REF!,3,0)</f>
        <v>#REF!</v>
      </c>
      <c r="E106" t="e">
        <f>VLOOKUP(bron[[#This Row],[personeelsnr]],#REF!,11,FALSE)</f>
        <v>#REF!</v>
      </c>
      <c r="F106">
        <v>2</v>
      </c>
    </row>
    <row r="107" spans="1:6" x14ac:dyDescent="0.25">
      <c r="A107">
        <v>34445</v>
      </c>
      <c r="B107" t="e">
        <f>_xlfn.CONCAT(bron[[#This Row],[personeelsnr]]," ",C107," ",D107)</f>
        <v>#REF!</v>
      </c>
      <c r="C107" t="e">
        <f>VLOOKUP(bron[[#This Row],[personeelsnr]],#REF!,2,0)</f>
        <v>#REF!</v>
      </c>
      <c r="D107" t="e">
        <f>VLOOKUP(bron[[#This Row],[personeelsnr]],#REF!,3,0)</f>
        <v>#REF!</v>
      </c>
      <c r="E107" t="e">
        <f>VLOOKUP(bron[[#This Row],[personeelsnr]],#REF!,11,FALSE)</f>
        <v>#REF!</v>
      </c>
      <c r="F107">
        <v>2</v>
      </c>
    </row>
    <row r="108" spans="1:6" x14ac:dyDescent="0.25">
      <c r="A108">
        <v>36624</v>
      </c>
      <c r="B108" t="e">
        <f>_xlfn.CONCAT(bron[[#This Row],[personeelsnr]]," ",C108," ",D108)</f>
        <v>#REF!</v>
      </c>
      <c r="C108" t="e">
        <f>VLOOKUP(bron[[#This Row],[personeelsnr]],#REF!,2,0)</f>
        <v>#REF!</v>
      </c>
      <c r="D108" t="e">
        <f>VLOOKUP(bron[[#This Row],[personeelsnr]],#REF!,3,0)</f>
        <v>#REF!</v>
      </c>
      <c r="E108" t="e">
        <f>VLOOKUP(bron[[#This Row],[personeelsnr]],#REF!,11,FALSE)</f>
        <v>#REF!</v>
      </c>
      <c r="F108">
        <v>2</v>
      </c>
    </row>
    <row r="109" spans="1:6" x14ac:dyDescent="0.25">
      <c r="A109">
        <v>17931</v>
      </c>
      <c r="B109" t="e">
        <f>_xlfn.CONCAT(bron[[#This Row],[personeelsnr]]," ",C109," ",D109)</f>
        <v>#REF!</v>
      </c>
      <c r="C109" t="e">
        <f>VLOOKUP(bron[[#This Row],[personeelsnr]],#REF!,2,0)</f>
        <v>#REF!</v>
      </c>
      <c r="D109" t="e">
        <f>VLOOKUP(bron[[#This Row],[personeelsnr]],#REF!,3,0)</f>
        <v>#REF!</v>
      </c>
      <c r="E109" t="e">
        <f>VLOOKUP(bron[[#This Row],[personeelsnr]],#REF!,11,FALSE)</f>
        <v>#REF!</v>
      </c>
      <c r="F109">
        <v>2</v>
      </c>
    </row>
    <row r="110" spans="1:6" x14ac:dyDescent="0.25">
      <c r="A110">
        <v>30901</v>
      </c>
      <c r="B110" t="e">
        <f>_xlfn.CONCAT(bron[[#This Row],[personeelsnr]]," ",C110," ",D110)</f>
        <v>#REF!</v>
      </c>
      <c r="C110" t="e">
        <f>VLOOKUP(bron[[#This Row],[personeelsnr]],#REF!,2,0)</f>
        <v>#REF!</v>
      </c>
      <c r="D110" t="e">
        <f>VLOOKUP(bron[[#This Row],[personeelsnr]],#REF!,3,0)</f>
        <v>#REF!</v>
      </c>
      <c r="E110" t="e">
        <f>VLOOKUP(bron[[#This Row],[personeelsnr]],#REF!,11,FALSE)</f>
        <v>#REF!</v>
      </c>
      <c r="F110">
        <v>2</v>
      </c>
    </row>
    <row r="111" spans="1:6" x14ac:dyDescent="0.25">
      <c r="A111">
        <v>38808</v>
      </c>
      <c r="B111" t="e">
        <f>_xlfn.CONCAT(bron[[#This Row],[personeelsnr]]," ",C111," ",D111)</f>
        <v>#REF!</v>
      </c>
      <c r="C111" t="e">
        <f>VLOOKUP(bron[[#This Row],[personeelsnr]],#REF!,2,0)</f>
        <v>#REF!</v>
      </c>
      <c r="D111" t="e">
        <f>VLOOKUP(bron[[#This Row],[personeelsnr]],#REF!,3,0)</f>
        <v>#REF!</v>
      </c>
      <c r="E111" t="e">
        <f>VLOOKUP(bron[[#This Row],[personeelsnr]],#REF!,11,FALSE)</f>
        <v>#REF!</v>
      </c>
      <c r="F111">
        <v>2</v>
      </c>
    </row>
    <row r="112" spans="1:6" x14ac:dyDescent="0.25">
      <c r="A112">
        <v>39013</v>
      </c>
      <c r="B112" t="e">
        <f>_xlfn.CONCAT(bron[[#This Row],[personeelsnr]]," ",C112," ",D112)</f>
        <v>#REF!</v>
      </c>
      <c r="C112" t="e">
        <f>VLOOKUP(bron[[#This Row],[personeelsnr]],#REF!,2,0)</f>
        <v>#REF!</v>
      </c>
      <c r="D112" t="e">
        <f>VLOOKUP(bron[[#This Row],[personeelsnr]],#REF!,3,0)</f>
        <v>#REF!</v>
      </c>
      <c r="E112" t="e">
        <f>VLOOKUP(bron[[#This Row],[personeelsnr]],#REF!,11,FALSE)</f>
        <v>#REF!</v>
      </c>
      <c r="F112">
        <v>2</v>
      </c>
    </row>
    <row r="113" spans="1:6" x14ac:dyDescent="0.25">
      <c r="A113">
        <v>39575</v>
      </c>
      <c r="B113" t="e">
        <f>_xlfn.CONCAT(bron[[#This Row],[personeelsnr]]," ",C113," ",D113)</f>
        <v>#REF!</v>
      </c>
      <c r="C113" t="e">
        <f>VLOOKUP(bron[[#This Row],[personeelsnr]],#REF!,2,0)</f>
        <v>#REF!</v>
      </c>
      <c r="D113" t="e">
        <f>VLOOKUP(bron[[#This Row],[personeelsnr]],#REF!,3,0)</f>
        <v>#REF!</v>
      </c>
      <c r="E113" t="e">
        <f>VLOOKUP(bron[[#This Row],[personeelsnr]],#REF!,11,FALSE)</f>
        <v>#REF!</v>
      </c>
      <c r="F113">
        <v>2</v>
      </c>
    </row>
    <row r="114" spans="1:6" x14ac:dyDescent="0.25">
      <c r="A114">
        <v>35495</v>
      </c>
      <c r="B114" t="e">
        <f>_xlfn.CONCAT(bron[[#This Row],[personeelsnr]]," ",C114," ",D114)</f>
        <v>#REF!</v>
      </c>
      <c r="C114" t="e">
        <f>VLOOKUP(bron[[#This Row],[personeelsnr]],#REF!,2,0)</f>
        <v>#REF!</v>
      </c>
      <c r="D114" t="e">
        <f>VLOOKUP(bron[[#This Row],[personeelsnr]],#REF!,3,0)</f>
        <v>#REF!</v>
      </c>
      <c r="E114" t="e">
        <f>VLOOKUP(bron[[#This Row],[personeelsnr]],#REF!,11,FALSE)</f>
        <v>#REF!</v>
      </c>
      <c r="F114">
        <v>1</v>
      </c>
    </row>
    <row r="115" spans="1:6" x14ac:dyDescent="0.25">
      <c r="A115">
        <v>35645</v>
      </c>
      <c r="B115" t="e">
        <f>_xlfn.CONCAT(bron[[#This Row],[personeelsnr]]," ",C115," ",D115)</f>
        <v>#REF!</v>
      </c>
      <c r="C115" t="e">
        <f>VLOOKUP(bron[[#This Row],[personeelsnr]],#REF!,2,0)</f>
        <v>#REF!</v>
      </c>
      <c r="D115" t="e">
        <f>VLOOKUP(bron[[#This Row],[personeelsnr]],#REF!,3,0)</f>
        <v>#REF!</v>
      </c>
      <c r="E115" t="e">
        <f>VLOOKUP(bron[[#This Row],[personeelsnr]],#REF!,11,FALSE)</f>
        <v>#REF!</v>
      </c>
      <c r="F115">
        <v>1</v>
      </c>
    </row>
    <row r="116" spans="1:6" x14ac:dyDescent="0.25">
      <c r="A116">
        <v>36358</v>
      </c>
      <c r="B116" t="e">
        <f>_xlfn.CONCAT(bron[[#This Row],[personeelsnr]]," ",C116," ",D116)</f>
        <v>#REF!</v>
      </c>
      <c r="C116" t="e">
        <f>VLOOKUP(bron[[#This Row],[personeelsnr]],#REF!,2,0)</f>
        <v>#REF!</v>
      </c>
      <c r="D116" t="e">
        <f>VLOOKUP(bron[[#This Row],[personeelsnr]],#REF!,3,0)</f>
        <v>#REF!</v>
      </c>
      <c r="E116" t="e">
        <f>VLOOKUP(bron[[#This Row],[personeelsnr]],#REF!,11,FALSE)</f>
        <v>#REF!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#REF!</v>
      </c>
      <c r="C117" t="e">
        <f>VLOOKUP(bron[[#This Row],[personeelsnr]],#REF!,2,0)</f>
        <v>#REF!</v>
      </c>
      <c r="D117" t="e">
        <f>VLOOKUP(bron[[#This Row],[personeelsnr]],#REF!,3,0)</f>
        <v>#REF!</v>
      </c>
      <c r="E117" t="e">
        <f>VLOOKUP(bron[[#This Row],[personeelsnr]],#REF!,11,FALSE)</f>
        <v>#REF!</v>
      </c>
      <c r="F117">
        <v>1</v>
      </c>
    </row>
    <row r="118" spans="1:6" x14ac:dyDescent="0.25">
      <c r="A118">
        <v>36559</v>
      </c>
      <c r="B118" t="e">
        <f>_xlfn.CONCAT(bron[[#This Row],[personeelsnr]]," ",C118," ",D118)</f>
        <v>#REF!</v>
      </c>
      <c r="C118" t="e">
        <f>VLOOKUP(bron[[#This Row],[personeelsnr]],#REF!,2,0)</f>
        <v>#REF!</v>
      </c>
      <c r="D118" t="e">
        <f>VLOOKUP(bron[[#This Row],[personeelsnr]],#REF!,3,0)</f>
        <v>#REF!</v>
      </c>
      <c r="E118" t="e">
        <f>VLOOKUP(bron[[#This Row],[personeelsnr]],#REF!,11,FALSE)</f>
        <v>#REF!</v>
      </c>
      <c r="F118">
        <v>1</v>
      </c>
    </row>
    <row r="119" spans="1:6" x14ac:dyDescent="0.25">
      <c r="A119">
        <v>36569</v>
      </c>
      <c r="B119" t="e">
        <f>_xlfn.CONCAT(bron[[#This Row],[personeelsnr]]," ",C119," ",D119)</f>
        <v>#REF!</v>
      </c>
      <c r="C119" t="e">
        <f>VLOOKUP(bron[[#This Row],[personeelsnr]],#REF!,2,0)</f>
        <v>#REF!</v>
      </c>
      <c r="D119" t="e">
        <f>VLOOKUP(bron[[#This Row],[personeelsnr]],#REF!,3,0)</f>
        <v>#REF!</v>
      </c>
      <c r="E119" t="e">
        <f>VLOOKUP(bron[[#This Row],[personeelsnr]],#REF!,11,FALSE)</f>
        <v>#REF!</v>
      </c>
      <c r="F119">
        <v>1</v>
      </c>
    </row>
    <row r="120" spans="1:6" x14ac:dyDescent="0.25">
      <c r="A120">
        <v>37509</v>
      </c>
      <c r="B120" t="e">
        <f>_xlfn.CONCAT(bron[[#This Row],[personeelsnr]]," ",C120," ",D120)</f>
        <v>#REF!</v>
      </c>
      <c r="C120" t="e">
        <f>VLOOKUP(bron[[#This Row],[personeelsnr]],#REF!,2,0)</f>
        <v>#REF!</v>
      </c>
      <c r="D120" t="e">
        <f>VLOOKUP(bron[[#This Row],[personeelsnr]],#REF!,3,0)</f>
        <v>#REF!</v>
      </c>
      <c r="E120" t="e">
        <f>VLOOKUP(bron[[#This Row],[personeelsnr]],#REF!,11,FALSE)</f>
        <v>#REF!</v>
      </c>
      <c r="F120">
        <v>1</v>
      </c>
    </row>
    <row r="121" spans="1:6" x14ac:dyDescent="0.25">
      <c r="A121">
        <v>37543</v>
      </c>
      <c r="B121" t="e">
        <f>_xlfn.CONCAT(bron[[#This Row],[personeelsnr]]," ",C121," ",D121)</f>
        <v>#REF!</v>
      </c>
      <c r="C121" t="e">
        <f>VLOOKUP(bron[[#This Row],[personeelsnr]],#REF!,2,0)</f>
        <v>#REF!</v>
      </c>
      <c r="D121" t="e">
        <f>VLOOKUP(bron[[#This Row],[personeelsnr]],#REF!,3,0)</f>
        <v>#REF!</v>
      </c>
      <c r="E121" t="e">
        <f>VLOOKUP(bron[[#This Row],[personeelsnr]],#REF!,11,FALSE)</f>
        <v>#REF!</v>
      </c>
      <c r="F121">
        <v>1</v>
      </c>
    </row>
    <row r="122" spans="1:6" x14ac:dyDescent="0.25">
      <c r="A122">
        <v>37950</v>
      </c>
      <c r="B122" t="e">
        <f>_xlfn.CONCAT(bron[[#This Row],[personeelsnr]]," ",C122," ",D122)</f>
        <v>#REF!</v>
      </c>
      <c r="C122" t="e">
        <f>VLOOKUP(bron[[#This Row],[personeelsnr]],#REF!,2,0)</f>
        <v>#REF!</v>
      </c>
      <c r="D122" t="e">
        <f>VLOOKUP(bron[[#This Row],[personeelsnr]],#REF!,3,0)</f>
        <v>#REF!</v>
      </c>
      <c r="E122" t="e">
        <f>VLOOKUP(bron[[#This Row],[personeelsnr]],#REF!,11,FALSE)</f>
        <v>#REF!</v>
      </c>
      <c r="F122">
        <v>1</v>
      </c>
    </row>
    <row r="123" spans="1:6" x14ac:dyDescent="0.25">
      <c r="A123">
        <v>39014</v>
      </c>
      <c r="B123" t="e">
        <f>_xlfn.CONCAT(bron[[#This Row],[personeelsnr]]," ",C123," ",D123)</f>
        <v>#REF!</v>
      </c>
      <c r="C123" t="e">
        <f>VLOOKUP(bron[[#This Row],[personeelsnr]],#REF!,2,0)</f>
        <v>#REF!</v>
      </c>
      <c r="D123" t="e">
        <f>VLOOKUP(bron[[#This Row],[personeelsnr]],#REF!,3,0)</f>
        <v>#REF!</v>
      </c>
      <c r="E123" t="e">
        <f>VLOOKUP(bron[[#This Row],[personeelsnr]],#REF!,11,FALSE)</f>
        <v>#REF!</v>
      </c>
      <c r="F123">
        <v>1</v>
      </c>
    </row>
    <row r="124" spans="1:6" x14ac:dyDescent="0.25">
      <c r="A124">
        <v>39267</v>
      </c>
      <c r="B124" t="e">
        <f>_xlfn.CONCAT(bron[[#This Row],[personeelsnr]]," ",C124," ",D124)</f>
        <v>#REF!</v>
      </c>
      <c r="C124" t="e">
        <f>VLOOKUP(bron[[#This Row],[personeelsnr]],#REF!,2,0)</f>
        <v>#REF!</v>
      </c>
      <c r="D124" t="e">
        <f>VLOOKUP(bron[[#This Row],[personeelsnr]],#REF!,3,0)</f>
        <v>#REF!</v>
      </c>
      <c r="E124" t="e">
        <f>VLOOKUP(bron[[#This Row],[personeelsnr]],#REF!,11,FALSE)</f>
        <v>#REF!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#REF!</v>
      </c>
      <c r="C125" t="e">
        <f>VLOOKUP(bron[[#This Row],[personeelsnr]],#REF!,2,0)</f>
        <v>#REF!</v>
      </c>
      <c r="D125" t="e">
        <f>VLOOKUP(bron[[#This Row],[personeelsnr]],#REF!,3,0)</f>
        <v>#REF!</v>
      </c>
      <c r="E125" t="e">
        <f>VLOOKUP(bron[[#This Row],[personeelsnr]],#REF!,11,FALSE)</f>
        <v>#REF!</v>
      </c>
      <c r="F125">
        <v>1</v>
      </c>
    </row>
    <row r="126" spans="1:6" x14ac:dyDescent="0.25">
      <c r="A126">
        <v>39831</v>
      </c>
      <c r="B126" t="e">
        <f>_xlfn.CONCAT(bron[[#This Row],[personeelsnr]]," ",C126," ",D126)</f>
        <v>#REF!</v>
      </c>
      <c r="C126" t="e">
        <f>VLOOKUP(bron[[#This Row],[personeelsnr]],#REF!,2,0)</f>
        <v>#REF!</v>
      </c>
      <c r="D126" t="e">
        <f>VLOOKUP(bron[[#This Row],[personeelsnr]],#REF!,3,0)</f>
        <v>#REF!</v>
      </c>
      <c r="E126" t="e">
        <f>VLOOKUP(bron[[#This Row],[personeelsnr]],#REF!,11,FALSE)</f>
        <v>#REF!</v>
      </c>
      <c r="F126">
        <v>1</v>
      </c>
    </row>
    <row r="127" spans="1:6" x14ac:dyDescent="0.25">
      <c r="A127">
        <v>9158</v>
      </c>
      <c r="B127" t="e">
        <f>_xlfn.CONCAT(bron[[#This Row],[personeelsnr]]," ",C127," ",D127)</f>
        <v>#REF!</v>
      </c>
      <c r="C127" t="e">
        <f>VLOOKUP(bron[[#This Row],[personeelsnr]],#REF!,2,0)</f>
        <v>#REF!</v>
      </c>
      <c r="D127" t="e">
        <f>VLOOKUP(bron[[#This Row],[personeelsnr]],#REF!,3,0)</f>
        <v>#REF!</v>
      </c>
      <c r="E127" t="e">
        <f>VLOOKUP(bron[[#This Row],[personeelsnr]],#REF!,11,FALSE)</f>
        <v>#REF!</v>
      </c>
      <c r="F127">
        <v>1</v>
      </c>
    </row>
    <row r="128" spans="1:6" x14ac:dyDescent="0.25">
      <c r="A128">
        <v>25733</v>
      </c>
      <c r="B128" t="e">
        <f>_xlfn.CONCAT(bron[[#This Row],[personeelsnr]]," ",C128," ",D128)</f>
        <v>#REF!</v>
      </c>
      <c r="C128" t="e">
        <f>VLOOKUP(bron[[#This Row],[personeelsnr]],#REF!,2,0)</f>
        <v>#REF!</v>
      </c>
      <c r="D128" t="e">
        <f>VLOOKUP(bron[[#This Row],[personeelsnr]],#REF!,3,0)</f>
        <v>#REF!</v>
      </c>
      <c r="E128" t="e">
        <f>VLOOKUP(bron[[#This Row],[personeelsnr]],#REF!,11,FALSE)</f>
        <v>#REF!</v>
      </c>
      <c r="F128">
        <v>1</v>
      </c>
    </row>
    <row r="129" spans="1:6" x14ac:dyDescent="0.25">
      <c r="A129">
        <v>40969</v>
      </c>
      <c r="B129" t="e">
        <f>_xlfn.CONCAT(bron[[#This Row],[personeelsnr]]," ",C129," ",D129)</f>
        <v>#REF!</v>
      </c>
      <c r="C129" t="e">
        <f>VLOOKUP(bron[[#This Row],[personeelsnr]],#REF!,2,0)</f>
        <v>#REF!</v>
      </c>
      <c r="D129" t="e">
        <f>VLOOKUP(bron[[#This Row],[personeelsnr]],#REF!,3,0)</f>
        <v>#REF!</v>
      </c>
      <c r="E129" t="e">
        <f>VLOOKUP(bron[[#This Row],[personeelsnr]],#REF!,11,FALSE)</f>
        <v>#REF!</v>
      </c>
      <c r="F129">
        <v>1</v>
      </c>
    </row>
    <row r="130" spans="1:6" x14ac:dyDescent="0.25">
      <c r="A130">
        <v>41092</v>
      </c>
      <c r="B130" t="e">
        <f>_xlfn.CONCAT(bron[[#This Row],[personeelsnr]]," ",C130," ",D130)</f>
        <v>#REF!</v>
      </c>
      <c r="C130" t="e">
        <f>VLOOKUP(bron[[#This Row],[personeelsnr]],#REF!,2,0)</f>
        <v>#REF!</v>
      </c>
      <c r="D130" t="e">
        <f>VLOOKUP(bron[[#This Row],[personeelsnr]],#REF!,3,0)</f>
        <v>#REF!</v>
      </c>
      <c r="E130" t="e">
        <f>VLOOKUP(bron[[#This Row],[personeelsnr]],#REF!,11,FALSE)</f>
        <v>#REF!</v>
      </c>
      <c r="F130">
        <v>1</v>
      </c>
    </row>
    <row r="131" spans="1:6" x14ac:dyDescent="0.25">
      <c r="A131">
        <v>23700</v>
      </c>
      <c r="B131" t="e">
        <f>_xlfn.CONCAT(bron[[#This Row],[personeelsnr]]," ",C131," ",D131)</f>
        <v>#REF!</v>
      </c>
      <c r="C131" t="e">
        <f>VLOOKUP(bron[[#This Row],[personeelsnr]],#REF!,2,0)</f>
        <v>#REF!</v>
      </c>
      <c r="D131" t="e">
        <f>VLOOKUP(bron[[#This Row],[personeelsnr]],#REF!,3,0)</f>
        <v>#REF!</v>
      </c>
      <c r="E131" t="e">
        <f>VLOOKUP(bron[[#This Row],[personeelsnr]],#REF!,11,FALSE)</f>
        <v>#REF!</v>
      </c>
      <c r="F131">
        <v>1</v>
      </c>
    </row>
    <row r="132" spans="1:6" x14ac:dyDescent="0.25">
      <c r="A132">
        <v>38807</v>
      </c>
      <c r="B132" t="e">
        <f>_xlfn.CONCAT(bron[[#This Row],[personeelsnr]]," ",C132," ",D132)</f>
        <v>#REF!</v>
      </c>
      <c r="C132" t="e">
        <f>VLOOKUP(bron[[#This Row],[personeelsnr]],#REF!,2,0)</f>
        <v>#REF!</v>
      </c>
      <c r="D132" t="e">
        <f>VLOOKUP(bron[[#This Row],[personeelsnr]],#REF!,3,0)</f>
        <v>#REF!</v>
      </c>
      <c r="E132" t="e">
        <f>VLOOKUP(bron[[#This Row],[personeelsnr]],#REF!,11,FALSE)</f>
        <v>#REF!</v>
      </c>
      <c r="F132">
        <v>1</v>
      </c>
    </row>
    <row r="133" spans="1:6" x14ac:dyDescent="0.25">
      <c r="A133">
        <v>4419</v>
      </c>
      <c r="B133" t="e">
        <f>_xlfn.CONCAT(bron[[#This Row],[personeelsnr]]," ",C133," ",D133)</f>
        <v>#REF!</v>
      </c>
      <c r="C133" t="e">
        <f>VLOOKUP(bron[[#This Row],[personeelsnr]],#REF!,2,0)</f>
        <v>#REF!</v>
      </c>
      <c r="D133" t="e">
        <f>VLOOKUP(bron[[#This Row],[personeelsnr]],#REF!,3,0)</f>
        <v>#REF!</v>
      </c>
      <c r="E133" t="e">
        <f>VLOOKUP(bron[[#This Row],[personeelsnr]],#REF!,11,FALSE)</f>
        <v>#REF!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#REF!</v>
      </c>
      <c r="C134" t="e">
        <f>VLOOKUP(bron[[#This Row],[personeelsnr]],#REF!,2,0)</f>
        <v>#REF!</v>
      </c>
      <c r="D134" t="e">
        <f>VLOOKUP(bron[[#This Row],[personeelsnr]],#REF!,3,0)</f>
        <v>#REF!</v>
      </c>
      <c r="E134" t="e">
        <f>VLOOKUP(bron[[#This Row],[personeelsnr]],#REF!,11,FALSE)</f>
        <v>#REF!</v>
      </c>
      <c r="F134">
        <v>0</v>
      </c>
    </row>
    <row r="135" spans="1:6" x14ac:dyDescent="0.25">
      <c r="A135">
        <v>8394</v>
      </c>
      <c r="B135" t="e">
        <f>_xlfn.CONCAT(bron[[#This Row],[personeelsnr]]," ",C135," ",D135)</f>
        <v>#REF!</v>
      </c>
      <c r="C135" t="e">
        <f>VLOOKUP(bron[[#This Row],[personeelsnr]],#REF!,2,0)</f>
        <v>#REF!</v>
      </c>
      <c r="D135" t="e">
        <f>VLOOKUP(bron[[#This Row],[personeelsnr]],#REF!,3,0)</f>
        <v>#REF!</v>
      </c>
      <c r="E135" t="e">
        <f>VLOOKUP(bron[[#This Row],[personeelsnr]],#REF!,11,FALSE)</f>
        <v>#REF!</v>
      </c>
      <c r="F135">
        <v>0</v>
      </c>
    </row>
    <row r="136" spans="1:6" x14ac:dyDescent="0.25">
      <c r="A136">
        <v>9824</v>
      </c>
      <c r="B136" t="e">
        <f>_xlfn.CONCAT(bron[[#This Row],[personeelsnr]]," ",C136," ",D136)</f>
        <v>#REF!</v>
      </c>
      <c r="C136" t="e">
        <f>VLOOKUP(bron[[#This Row],[personeelsnr]],#REF!,2,0)</f>
        <v>#REF!</v>
      </c>
      <c r="D136" t="e">
        <f>VLOOKUP(bron[[#This Row],[personeelsnr]],#REF!,3,0)</f>
        <v>#REF!</v>
      </c>
      <c r="E136" t="e">
        <f>VLOOKUP(bron[[#This Row],[personeelsnr]],#REF!,11,FALSE)</f>
        <v>#REF!</v>
      </c>
      <c r="F136">
        <v>0</v>
      </c>
    </row>
    <row r="137" spans="1:6" x14ac:dyDescent="0.25">
      <c r="A137">
        <v>12514</v>
      </c>
      <c r="B137" t="e">
        <f>_xlfn.CONCAT(bron[[#This Row],[personeelsnr]]," ",C137," ",D137)</f>
        <v>#REF!</v>
      </c>
      <c r="C137" t="e">
        <f>VLOOKUP(bron[[#This Row],[personeelsnr]],#REF!,2,0)</f>
        <v>#REF!</v>
      </c>
      <c r="D137" t="e">
        <f>VLOOKUP(bron[[#This Row],[personeelsnr]],#REF!,3,0)</f>
        <v>#REF!</v>
      </c>
      <c r="E137" t="e">
        <f>VLOOKUP(bron[[#This Row],[personeelsnr]],#REF!,11,FALSE)</f>
        <v>#REF!</v>
      </c>
      <c r="F137">
        <v>0</v>
      </c>
    </row>
    <row r="138" spans="1:6" x14ac:dyDescent="0.25">
      <c r="A138">
        <v>13398</v>
      </c>
      <c r="B138" t="e">
        <f>_xlfn.CONCAT(bron[[#This Row],[personeelsnr]]," ",C138," ",D138)</f>
        <v>#REF!</v>
      </c>
      <c r="C138" t="e">
        <f>VLOOKUP(bron[[#This Row],[personeelsnr]],#REF!,2,0)</f>
        <v>#REF!</v>
      </c>
      <c r="D138" t="e">
        <f>VLOOKUP(bron[[#This Row],[personeelsnr]],#REF!,3,0)</f>
        <v>#REF!</v>
      </c>
      <c r="E138" t="e">
        <f>VLOOKUP(bron[[#This Row],[personeelsnr]],#REF!,11,FALSE)</f>
        <v>#REF!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2923</v>
      </c>
      <c r="D139" t="s">
        <v>2923</v>
      </c>
      <c r="E139" t="s">
        <v>221</v>
      </c>
      <c r="F139">
        <v>0</v>
      </c>
    </row>
    <row r="140" spans="1:6" x14ac:dyDescent="0.25">
      <c r="A140">
        <v>17951</v>
      </c>
      <c r="B140" t="e">
        <f>_xlfn.CONCAT(bron[[#This Row],[personeelsnr]]," ",C140," ",D140)</f>
        <v>#REF!</v>
      </c>
      <c r="C140" t="e">
        <f>VLOOKUP(bron[[#This Row],[personeelsnr]],#REF!,2,0)</f>
        <v>#REF!</v>
      </c>
      <c r="D140" t="e">
        <f>VLOOKUP(bron[[#This Row],[personeelsnr]],#REF!,3,0)</f>
        <v>#REF!</v>
      </c>
      <c r="E140" t="e">
        <f>VLOOKUP(bron[[#This Row],[personeelsnr]],#REF!,11,FALSE)</f>
        <v>#REF!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#REF!</v>
      </c>
      <c r="C141" t="e">
        <f>VLOOKUP(bron[[#This Row],[personeelsnr]],#REF!,2,0)</f>
        <v>#REF!</v>
      </c>
      <c r="D141" t="e">
        <f>VLOOKUP(bron[[#This Row],[personeelsnr]],#REF!,3,0)</f>
        <v>#REF!</v>
      </c>
      <c r="E141" t="e">
        <f>VLOOKUP(bron[[#This Row],[personeelsnr]],#REF!,11,FALSE)</f>
        <v>#REF!</v>
      </c>
    </row>
    <row r="142" spans="1:6" x14ac:dyDescent="0.25">
      <c r="A142">
        <v>19520</v>
      </c>
      <c r="B142" t="e">
        <f>_xlfn.CONCAT(bron[[#This Row],[personeelsnr]]," ",C142," ",D142)</f>
        <v>#REF!</v>
      </c>
      <c r="C142" t="e">
        <f>VLOOKUP(bron[[#This Row],[personeelsnr]],#REF!,2,0)</f>
        <v>#REF!</v>
      </c>
      <c r="D142" t="e">
        <f>VLOOKUP(bron[[#This Row],[personeelsnr]],#REF!,3,0)</f>
        <v>#REF!</v>
      </c>
      <c r="E142" t="e">
        <f>VLOOKUP(bron[[#This Row],[personeelsnr]],#REF!,11,FALSE)</f>
        <v>#REF!</v>
      </c>
      <c r="F142">
        <v>0</v>
      </c>
    </row>
    <row r="143" spans="1:6" x14ac:dyDescent="0.25">
      <c r="A143">
        <v>21424</v>
      </c>
      <c r="B143" t="e">
        <f>_xlfn.CONCAT(bron[[#This Row],[personeelsnr]]," ",C143," ",D143)</f>
        <v>#REF!</v>
      </c>
      <c r="C143" t="e">
        <f>VLOOKUP(bron[[#This Row],[personeelsnr]],#REF!,2,0)</f>
        <v>#REF!</v>
      </c>
      <c r="D143" t="e">
        <f>VLOOKUP(bron[[#This Row],[personeelsnr]],#REF!,3,0)</f>
        <v>#REF!</v>
      </c>
      <c r="E143" t="e">
        <f>VLOOKUP(bron[[#This Row],[personeelsnr]],#REF!,11,FALSE)</f>
        <v>#REF!</v>
      </c>
    </row>
    <row r="144" spans="1:6" x14ac:dyDescent="0.25">
      <c r="A144">
        <v>21424</v>
      </c>
      <c r="B144" t="e">
        <f>_xlfn.CONCAT(bron[[#This Row],[personeelsnr]]," ",C144," ",D144)</f>
        <v>#REF!</v>
      </c>
      <c r="C144" t="e">
        <f>VLOOKUP(bron[[#This Row],[personeelsnr]],#REF!,2,0)</f>
        <v>#REF!</v>
      </c>
      <c r="D144" t="e">
        <f>VLOOKUP(bron[[#This Row],[personeelsnr]],#REF!,3,0)</f>
        <v>#REF!</v>
      </c>
      <c r="E144" t="e">
        <f>VLOOKUP(bron[[#This Row],[personeelsnr]],#REF!,11,FALSE)</f>
        <v>#REF!</v>
      </c>
      <c r="F144">
        <v>0</v>
      </c>
    </row>
    <row r="145" spans="1:6" x14ac:dyDescent="0.25">
      <c r="A145">
        <v>21509</v>
      </c>
      <c r="B145" t="e">
        <f>_xlfn.CONCAT(bron[[#This Row],[personeelsnr]]," ",C145," ",D145)</f>
        <v>#REF!</v>
      </c>
      <c r="C145" t="e">
        <f>VLOOKUP(bron[[#This Row],[personeelsnr]],#REF!,2,0)</f>
        <v>#REF!</v>
      </c>
      <c r="D145" t="e">
        <f>VLOOKUP(bron[[#This Row],[personeelsnr]],#REF!,3,0)</f>
        <v>#REF!</v>
      </c>
      <c r="E145" t="e">
        <f>VLOOKUP(bron[[#This Row],[personeelsnr]],#REF!,11,FALSE)</f>
        <v>#REF!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#REF!</v>
      </c>
      <c r="C146" t="e">
        <f>VLOOKUP(bron[[#This Row],[personeelsnr]],#REF!,2,0)</f>
        <v>#REF!</v>
      </c>
      <c r="D146" t="e">
        <f>VLOOKUP(bron[[#This Row],[personeelsnr]],#REF!,3,0)</f>
        <v>#REF!</v>
      </c>
      <c r="E146" t="e">
        <f>VLOOKUP(bron[[#This Row],[personeelsnr]],#REF!,11,FALSE)</f>
        <v>#REF!</v>
      </c>
      <c r="F146">
        <v>0</v>
      </c>
    </row>
    <row r="147" spans="1:6" x14ac:dyDescent="0.25">
      <c r="A147">
        <v>22052</v>
      </c>
      <c r="B147" t="e">
        <f>_xlfn.CONCAT(bron[[#This Row],[personeelsnr]]," ",C147," ",D147)</f>
        <v>#REF!</v>
      </c>
      <c r="C147" t="e">
        <f>VLOOKUP(bron[[#This Row],[personeelsnr]],#REF!,2,0)</f>
        <v>#REF!</v>
      </c>
      <c r="D147" t="e">
        <f>VLOOKUP(bron[[#This Row],[personeelsnr]],#REF!,3,0)</f>
        <v>#REF!</v>
      </c>
      <c r="E147" t="e">
        <f>VLOOKUP(bron[[#This Row],[personeelsnr]],#REF!,11,FALSE)</f>
        <v>#REF!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#REF!</v>
      </c>
      <c r="C148" t="e">
        <f>VLOOKUP(bron[[#This Row],[personeelsnr]],#REF!,2,0)</f>
        <v>#REF!</v>
      </c>
      <c r="D148" t="e">
        <f>VLOOKUP(bron[[#This Row],[personeelsnr]],#REF!,3,0)</f>
        <v>#REF!</v>
      </c>
      <c r="E148" t="e">
        <f>VLOOKUP(bron[[#This Row],[personeelsnr]],#REF!,11,FALSE)</f>
        <v>#REF!</v>
      </c>
    </row>
    <row r="149" spans="1:6" x14ac:dyDescent="0.25">
      <c r="A149">
        <v>26137</v>
      </c>
      <c r="B149" t="e">
        <f>_xlfn.CONCAT(bron[[#This Row],[personeelsnr]]," ",C149," ",D149)</f>
        <v>#REF!</v>
      </c>
      <c r="C149" t="e">
        <f>VLOOKUP(bron[[#This Row],[personeelsnr]],#REF!,2,0)</f>
        <v>#REF!</v>
      </c>
      <c r="D149" t="e">
        <f>VLOOKUP(bron[[#This Row],[personeelsnr]],#REF!,3,0)</f>
        <v>#REF!</v>
      </c>
      <c r="E149" t="e">
        <f>VLOOKUP(bron[[#This Row],[personeelsnr]],#REF!,11,FALSE)</f>
        <v>#REF!</v>
      </c>
    </row>
    <row r="150" spans="1:6" x14ac:dyDescent="0.25">
      <c r="A150">
        <v>26199</v>
      </c>
      <c r="B150" t="e">
        <f>_xlfn.CONCAT(bron[[#This Row],[personeelsnr]]," ",C150," ",D150)</f>
        <v>#REF!</v>
      </c>
      <c r="C150" t="e">
        <f>VLOOKUP(bron[[#This Row],[personeelsnr]],#REF!,2,0)</f>
        <v>#REF!</v>
      </c>
      <c r="D150" t="e">
        <f>VLOOKUP(bron[[#This Row],[personeelsnr]],#REF!,3,0)</f>
        <v>#REF!</v>
      </c>
      <c r="E150" t="e">
        <f>VLOOKUP(bron[[#This Row],[personeelsnr]],#REF!,11,FALSE)</f>
        <v>#REF!</v>
      </c>
      <c r="F150">
        <v>0</v>
      </c>
    </row>
    <row r="151" spans="1:6" x14ac:dyDescent="0.25">
      <c r="A151">
        <v>28737</v>
      </c>
      <c r="B151" t="e">
        <f>_xlfn.CONCAT(bron[[#This Row],[personeelsnr]]," ",C151," ",D151)</f>
        <v>#REF!</v>
      </c>
      <c r="C151" t="e">
        <f>VLOOKUP(bron[[#This Row],[personeelsnr]],#REF!,2,0)</f>
        <v>#REF!</v>
      </c>
      <c r="D151" t="e">
        <f>VLOOKUP(bron[[#This Row],[personeelsnr]],#REF!,3,0)</f>
        <v>#REF!</v>
      </c>
      <c r="E151" t="e">
        <f>VLOOKUP(bron[[#This Row],[personeelsnr]],#REF!,11,FALSE)</f>
        <v>#REF!</v>
      </c>
    </row>
    <row r="152" spans="1:6" x14ac:dyDescent="0.25">
      <c r="A152">
        <v>28737</v>
      </c>
      <c r="B152" t="e">
        <f>_xlfn.CONCAT(bron[[#This Row],[personeelsnr]]," ",C152," ",D152)</f>
        <v>#REF!</v>
      </c>
      <c r="C152" t="e">
        <f>VLOOKUP(bron[[#This Row],[personeelsnr]],#REF!,2,0)</f>
        <v>#REF!</v>
      </c>
      <c r="D152" t="e">
        <f>VLOOKUP(bron[[#This Row],[personeelsnr]],#REF!,3,0)</f>
        <v>#REF!</v>
      </c>
      <c r="E152" t="e">
        <f>VLOOKUP(bron[[#This Row],[personeelsnr]],#REF!,11,FALSE)</f>
        <v>#REF!</v>
      </c>
      <c r="F152">
        <v>0</v>
      </c>
    </row>
    <row r="153" spans="1:6" x14ac:dyDescent="0.25">
      <c r="A153">
        <v>28910</v>
      </c>
      <c r="B153" t="e">
        <f>_xlfn.CONCAT(bron[[#This Row],[personeelsnr]]," ",C153," ",D153)</f>
        <v>#REF!</v>
      </c>
      <c r="C153" t="e">
        <f>VLOOKUP(bron[[#This Row],[personeelsnr]],#REF!,2,0)</f>
        <v>#REF!</v>
      </c>
      <c r="D153" t="e">
        <f>VLOOKUP(bron[[#This Row],[personeelsnr]],#REF!,3,0)</f>
        <v>#REF!</v>
      </c>
      <c r="E153" t="e">
        <f>VLOOKUP(bron[[#This Row],[personeelsnr]],#REF!,11,FALSE)</f>
        <v>#REF!</v>
      </c>
      <c r="F153">
        <v>0</v>
      </c>
    </row>
    <row r="154" spans="1:6" x14ac:dyDescent="0.25">
      <c r="A154">
        <v>29674</v>
      </c>
      <c r="B154" t="e">
        <f>_xlfn.CONCAT(bron[[#This Row],[personeelsnr]]," ",C154," ",D154)</f>
        <v>#REF!</v>
      </c>
      <c r="C154" t="e">
        <f>VLOOKUP(bron[[#This Row],[personeelsnr]],#REF!,2,0)</f>
        <v>#REF!</v>
      </c>
      <c r="D154" t="e">
        <f>VLOOKUP(bron[[#This Row],[personeelsnr]],#REF!,3,0)</f>
        <v>#REF!</v>
      </c>
      <c r="E154" t="e">
        <f>VLOOKUP(bron[[#This Row],[personeelsnr]],#REF!,11,FALSE)</f>
        <v>#REF!</v>
      </c>
      <c r="F154">
        <v>0</v>
      </c>
    </row>
    <row r="155" spans="1:6" x14ac:dyDescent="0.25">
      <c r="A155">
        <v>41230</v>
      </c>
      <c r="B155" t="e">
        <f>_xlfn.CONCAT(bron[[#This Row],[personeelsnr]]," ",C155," ",D155)</f>
        <v>#REF!</v>
      </c>
      <c r="C155" t="e">
        <f>VLOOKUP(bron[[#This Row],[personeelsnr]],#REF!,2,0)</f>
        <v>#REF!</v>
      </c>
      <c r="D155" t="e">
        <f>VLOOKUP(bron[[#This Row],[personeelsnr]],#REF!,3,0)</f>
        <v>#REF!</v>
      </c>
      <c r="E155" t="e">
        <f>VLOOKUP(bron[[#This Row],[personeelsnr]],#REF!,11,FALSE)</f>
        <v>#REF!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2923</v>
      </c>
      <c r="D156" t="s">
        <v>2923</v>
      </c>
      <c r="E156" t="s">
        <v>221</v>
      </c>
    </row>
    <row r="157" spans="1:6" x14ac:dyDescent="0.25">
      <c r="A157">
        <v>33965</v>
      </c>
      <c r="B157" t="e">
        <f>_xlfn.CONCAT(bron[[#This Row],[personeelsnr]]," ",C157," ",D157)</f>
        <v>#REF!</v>
      </c>
      <c r="C157" t="e">
        <f>VLOOKUP(bron[[#This Row],[personeelsnr]],#REF!,2,0)</f>
        <v>#REF!</v>
      </c>
      <c r="D157" t="e">
        <f>VLOOKUP(bron[[#This Row],[personeelsnr]],#REF!,3,0)</f>
        <v>#REF!</v>
      </c>
      <c r="E157" t="e">
        <f>VLOOKUP(bron[[#This Row],[personeelsnr]],#REF!,11,FALSE)</f>
        <v>#REF!</v>
      </c>
    </row>
    <row r="158" spans="1:6" x14ac:dyDescent="0.25">
      <c r="A158">
        <v>30121</v>
      </c>
      <c r="B158" t="e">
        <f>_xlfn.CONCAT(bron[[#This Row],[personeelsnr]]," ",C158," ",D158)</f>
        <v>#REF!</v>
      </c>
      <c r="C158" t="e">
        <f>VLOOKUP(bron[[#This Row],[personeelsnr]],#REF!,2,0)</f>
        <v>#REF!</v>
      </c>
      <c r="D158" t="e">
        <f>VLOOKUP(bron[[#This Row],[personeelsnr]],#REF!,3,0)</f>
        <v>#REF!</v>
      </c>
      <c r="E158" t="e">
        <f>VLOOKUP(bron[[#This Row],[personeelsnr]],#REF!,11,FALSE)</f>
        <v>#REF!</v>
      </c>
      <c r="F158">
        <v>0</v>
      </c>
    </row>
    <row r="159" spans="1:6" x14ac:dyDescent="0.25">
      <c r="A159">
        <v>31118</v>
      </c>
      <c r="B159" t="e">
        <f>_xlfn.CONCAT(bron[[#This Row],[personeelsnr]]," ",C159," ",D159)</f>
        <v>#REF!</v>
      </c>
      <c r="C159" t="e">
        <f>VLOOKUP(bron[[#This Row],[personeelsnr]],#REF!,2,0)</f>
        <v>#REF!</v>
      </c>
      <c r="D159" t="e">
        <f>VLOOKUP(bron[[#This Row],[personeelsnr]],#REF!,3,0)</f>
        <v>#REF!</v>
      </c>
      <c r="E159" t="e">
        <f>VLOOKUP(bron[[#This Row],[personeelsnr]],#REF!,11,FALSE)</f>
        <v>#REF!</v>
      </c>
      <c r="F159">
        <v>0</v>
      </c>
    </row>
    <row r="160" spans="1:6" x14ac:dyDescent="0.25">
      <c r="A160">
        <v>18987</v>
      </c>
      <c r="B160" t="e">
        <f>_xlfn.CONCAT(bron[[#This Row],[personeelsnr]]," ",C160," ",D160)</f>
        <v>#REF!</v>
      </c>
      <c r="C160" t="e">
        <f>VLOOKUP(bron[[#This Row],[personeelsnr]],#REF!,2,0)</f>
        <v>#REF!</v>
      </c>
      <c r="D160" t="e">
        <f>VLOOKUP(bron[[#This Row],[personeelsnr]],#REF!,3,0)</f>
        <v>#REF!</v>
      </c>
      <c r="E160" t="e">
        <f>VLOOKUP(bron[[#This Row],[personeelsnr]],#REF!,11,FALSE)</f>
        <v>#REF!</v>
      </c>
      <c r="F160">
        <v>1</v>
      </c>
    </row>
    <row r="161" spans="1:6" x14ac:dyDescent="0.25">
      <c r="A161">
        <v>18987</v>
      </c>
      <c r="B161" t="e">
        <f>_xlfn.CONCAT(bron[[#This Row],[personeelsnr]]," ",C161," ",D161)</f>
        <v>#REF!</v>
      </c>
      <c r="C161" t="e">
        <f>VLOOKUP(bron[[#This Row],[personeelsnr]],#REF!,2,0)</f>
        <v>#REF!</v>
      </c>
      <c r="D161" t="e">
        <f>VLOOKUP(bron[[#This Row],[personeelsnr]],#REF!,3,0)</f>
        <v>#REF!</v>
      </c>
      <c r="E161" t="e">
        <f>VLOOKUP(bron[[#This Row],[personeelsnr]],#REF!,11,FALSE)</f>
        <v>#REF!</v>
      </c>
      <c r="F161">
        <v>1</v>
      </c>
    </row>
    <row r="162" spans="1:6" x14ac:dyDescent="0.25">
      <c r="A162">
        <v>34286</v>
      </c>
      <c r="B162" t="e">
        <f>_xlfn.CONCAT(bron[[#This Row],[personeelsnr]]," ",C162," ",D162)</f>
        <v>#REF!</v>
      </c>
      <c r="C162" t="e">
        <f>VLOOKUP(bron[[#This Row],[personeelsnr]],#REF!,2,0)</f>
        <v>#REF!</v>
      </c>
      <c r="D162" t="e">
        <f>VLOOKUP(bron[[#This Row],[personeelsnr]],#REF!,3,0)</f>
        <v>#REF!</v>
      </c>
      <c r="E162" t="e">
        <f>VLOOKUP(bron[[#This Row],[personeelsnr]],#REF!,11,FALSE)</f>
        <v>#REF!</v>
      </c>
      <c r="F162">
        <v>1</v>
      </c>
    </row>
    <row r="163" spans="1:6" x14ac:dyDescent="0.25">
      <c r="A163">
        <v>34286</v>
      </c>
      <c r="B163" t="e">
        <f>_xlfn.CONCAT(bron[[#This Row],[personeelsnr]]," ",C163," ",D163)</f>
        <v>#REF!</v>
      </c>
      <c r="C163" t="e">
        <f>VLOOKUP(bron[[#This Row],[personeelsnr]],#REF!,2,0)</f>
        <v>#REF!</v>
      </c>
      <c r="D163" t="e">
        <f>VLOOKUP(bron[[#This Row],[personeelsnr]],#REF!,3,0)</f>
        <v>#REF!</v>
      </c>
      <c r="E163" t="e">
        <f>VLOOKUP(bron[[#This Row],[personeelsnr]],#REF!,11,FALSE)</f>
        <v>#REF!</v>
      </c>
      <c r="F163">
        <v>1</v>
      </c>
    </row>
    <row r="164" spans="1:6" x14ac:dyDescent="0.25">
      <c r="A164">
        <v>32091</v>
      </c>
      <c r="B164" t="e">
        <f>_xlfn.CONCAT(bron[[#This Row],[personeelsnr]]," ",C164," ",D164)</f>
        <v>#REF!</v>
      </c>
      <c r="C164" t="e">
        <f>VLOOKUP(bron[[#This Row],[personeelsnr]],#REF!,2,0)</f>
        <v>#REF!</v>
      </c>
      <c r="D164" t="e">
        <f>VLOOKUP(bron[[#This Row],[personeelsnr]],#REF!,3,0)</f>
        <v>#REF!</v>
      </c>
      <c r="E164" t="e">
        <f>VLOOKUP(bron[[#This Row],[personeelsnr]],#REF!,11,FALSE)</f>
        <v>#REF!</v>
      </c>
      <c r="F164">
        <v>0</v>
      </c>
    </row>
    <row r="165" spans="1:6" x14ac:dyDescent="0.25">
      <c r="A165">
        <v>32611</v>
      </c>
      <c r="B165" t="e">
        <f>_xlfn.CONCAT(bron[[#This Row],[personeelsnr]]," ",C165," ",D165)</f>
        <v>#REF!</v>
      </c>
      <c r="C165" t="e">
        <f>VLOOKUP(bron[[#This Row],[personeelsnr]],#REF!,2,0)</f>
        <v>#REF!</v>
      </c>
      <c r="D165" t="e">
        <f>VLOOKUP(bron[[#This Row],[personeelsnr]],#REF!,3,0)</f>
        <v>#REF!</v>
      </c>
      <c r="E165" t="e">
        <f>VLOOKUP(bron[[#This Row],[personeelsnr]],#REF!,11,FALSE)</f>
        <v>#REF!</v>
      </c>
      <c r="F165">
        <v>0</v>
      </c>
    </row>
    <row r="166" spans="1:6" x14ac:dyDescent="0.25">
      <c r="A166">
        <v>33640</v>
      </c>
      <c r="B166" t="e">
        <f>_xlfn.CONCAT(bron[[#This Row],[personeelsnr]]," ",C166," ",D166)</f>
        <v>#REF!</v>
      </c>
      <c r="C166" t="e">
        <f>VLOOKUP(bron[[#This Row],[personeelsnr]],#REF!,2,0)</f>
        <v>#REF!</v>
      </c>
      <c r="D166" t="e">
        <f>VLOOKUP(bron[[#This Row],[personeelsnr]],#REF!,3,0)</f>
        <v>#REF!</v>
      </c>
      <c r="E166" t="e">
        <f>VLOOKUP(bron[[#This Row],[personeelsnr]],#REF!,11,FALSE)</f>
        <v>#REF!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#REF!</v>
      </c>
      <c r="C167" t="e">
        <f>VLOOKUP(bron[[#This Row],[personeelsnr]],#REF!,2,0)</f>
        <v>#REF!</v>
      </c>
      <c r="D167" t="e">
        <f>VLOOKUP(bron[[#This Row],[personeelsnr]],#REF!,3,0)</f>
        <v>#REF!</v>
      </c>
      <c r="E167" t="e">
        <f>VLOOKUP(bron[[#This Row],[personeelsnr]],#REF!,11,FALSE)</f>
        <v>#REF!</v>
      </c>
      <c r="F167">
        <v>0</v>
      </c>
    </row>
    <row r="168" spans="1:6" x14ac:dyDescent="0.25">
      <c r="A168">
        <v>34325</v>
      </c>
      <c r="B168" t="e">
        <f>_xlfn.CONCAT(bron[[#This Row],[personeelsnr]]," ",C168," ",D168)</f>
        <v>#REF!</v>
      </c>
      <c r="C168" t="e">
        <f>VLOOKUP(bron[[#This Row],[personeelsnr]],#REF!,2,0)</f>
        <v>#REF!</v>
      </c>
      <c r="D168" t="e">
        <f>VLOOKUP(bron[[#This Row],[personeelsnr]],#REF!,3,0)</f>
        <v>#REF!</v>
      </c>
      <c r="E168" t="e">
        <f>VLOOKUP(bron[[#This Row],[personeelsnr]],#REF!,11,FALSE)</f>
        <v>#REF!</v>
      </c>
      <c r="F168">
        <v>1</v>
      </c>
    </row>
    <row r="169" spans="1:6" x14ac:dyDescent="0.25">
      <c r="A169">
        <v>35216</v>
      </c>
      <c r="B169" t="e">
        <f>_xlfn.CONCAT(bron[[#This Row],[personeelsnr]]," ",C169," ",D169)</f>
        <v>#REF!</v>
      </c>
      <c r="C169" t="e">
        <f>VLOOKUP(bron[[#This Row],[personeelsnr]],#REF!,2,0)</f>
        <v>#REF!</v>
      </c>
      <c r="D169" t="e">
        <f>VLOOKUP(bron[[#This Row],[personeelsnr]],#REF!,3,0)</f>
        <v>#REF!</v>
      </c>
      <c r="E169" t="e">
        <f>VLOOKUP(bron[[#This Row],[personeelsnr]],#REF!,11,FALSE)</f>
        <v>#REF!</v>
      </c>
      <c r="F169">
        <v>0</v>
      </c>
    </row>
    <row r="170" spans="1:6" x14ac:dyDescent="0.25">
      <c r="A170">
        <v>34445</v>
      </c>
      <c r="B170" t="e">
        <f>_xlfn.CONCAT(bron[[#This Row],[personeelsnr]]," ",C170," ",D170)</f>
        <v>#REF!</v>
      </c>
      <c r="C170" t="e">
        <f>VLOOKUP(bron[[#This Row],[personeelsnr]],#REF!,2,0)</f>
        <v>#REF!</v>
      </c>
      <c r="D170" t="e">
        <f>VLOOKUP(bron[[#This Row],[personeelsnr]],#REF!,3,0)</f>
        <v>#REF!</v>
      </c>
      <c r="E170" t="e">
        <f>VLOOKUP(bron[[#This Row],[personeelsnr]],#REF!,11,FALSE)</f>
        <v>#REF!</v>
      </c>
      <c r="F170">
        <v>0</v>
      </c>
    </row>
    <row r="171" spans="1:6" x14ac:dyDescent="0.25">
      <c r="A171">
        <v>35246</v>
      </c>
      <c r="B171" t="e">
        <f>_xlfn.CONCAT(bron[[#This Row],[personeelsnr]]," ",C171," ",D171)</f>
        <v>#REF!</v>
      </c>
      <c r="C171" t="e">
        <f>VLOOKUP(bron[[#This Row],[personeelsnr]],#REF!,2,0)</f>
        <v>#REF!</v>
      </c>
      <c r="D171" t="e">
        <f>VLOOKUP(bron[[#This Row],[personeelsnr]],#REF!,3,0)</f>
        <v>#REF!</v>
      </c>
      <c r="E171" t="e">
        <f>VLOOKUP(bron[[#This Row],[personeelsnr]],#REF!,11,FALSE)</f>
        <v>#REF!</v>
      </c>
      <c r="F171">
        <v>0</v>
      </c>
    </row>
    <row r="172" spans="1:6" x14ac:dyDescent="0.25">
      <c r="A172">
        <v>35379</v>
      </c>
      <c r="B172" t="e">
        <f>_xlfn.CONCAT(bron[[#This Row],[personeelsnr]]," ",C172," ",D172)</f>
        <v>#REF!</v>
      </c>
      <c r="C172" t="e">
        <f>VLOOKUP(bron[[#This Row],[personeelsnr]],#REF!,2,0)</f>
        <v>#REF!</v>
      </c>
      <c r="D172" t="e">
        <f>VLOOKUP(bron[[#This Row],[personeelsnr]],#REF!,3,0)</f>
        <v>#REF!</v>
      </c>
      <c r="E172" t="e">
        <f>VLOOKUP(bron[[#This Row],[personeelsnr]],#REF!,11,FALSE)</f>
        <v>#REF!</v>
      </c>
      <c r="F172">
        <v>0</v>
      </c>
    </row>
    <row r="173" spans="1:6" x14ac:dyDescent="0.25">
      <c r="A173">
        <v>35395</v>
      </c>
      <c r="B173" t="e">
        <f>_xlfn.CONCAT(bron[[#This Row],[personeelsnr]]," ",C173," ",D173)</f>
        <v>#REF!</v>
      </c>
      <c r="C173" t="e">
        <f>VLOOKUP(bron[[#This Row],[personeelsnr]],#REF!,2,0)</f>
        <v>#REF!</v>
      </c>
      <c r="D173" t="e">
        <f>VLOOKUP(bron[[#This Row],[personeelsnr]],#REF!,3,0)</f>
        <v>#REF!</v>
      </c>
      <c r="E173" t="e">
        <f>VLOOKUP(bron[[#This Row],[personeelsnr]],#REF!,11,FALSE)</f>
        <v>#REF!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#REF!</v>
      </c>
      <c r="C174" t="e">
        <f>VLOOKUP(bron[[#This Row],[personeelsnr]],#REF!,2,0)</f>
        <v>#REF!</v>
      </c>
      <c r="D174" t="e">
        <f>VLOOKUP(bron[[#This Row],[personeelsnr]],#REF!,3,0)</f>
        <v>#REF!</v>
      </c>
      <c r="E174" t="e">
        <f>VLOOKUP(bron[[#This Row],[personeelsnr]],#REF!,11,FALSE)</f>
        <v>#REF!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#REF!</v>
      </c>
      <c r="C175" t="e">
        <f>VLOOKUP(bron[[#This Row],[personeelsnr]],#REF!,2,0)</f>
        <v>#REF!</v>
      </c>
      <c r="D175" t="e">
        <f>VLOOKUP(bron[[#This Row],[personeelsnr]],#REF!,3,0)</f>
        <v>#REF!</v>
      </c>
      <c r="E175" t="e">
        <f>VLOOKUP(bron[[#This Row],[personeelsnr]],#REF!,11,FALSE)</f>
        <v>#REF!</v>
      </c>
      <c r="F175">
        <v>0</v>
      </c>
    </row>
    <row r="176" spans="1:6" x14ac:dyDescent="0.25">
      <c r="A176">
        <v>35491</v>
      </c>
      <c r="B176" t="e">
        <f>_xlfn.CONCAT(bron[[#This Row],[personeelsnr]]," ",C176," ",D176)</f>
        <v>#REF!</v>
      </c>
      <c r="C176" t="e">
        <f>VLOOKUP(bron[[#This Row],[personeelsnr]],#REF!,2,0)</f>
        <v>#REF!</v>
      </c>
      <c r="D176" t="e">
        <f>VLOOKUP(bron[[#This Row],[personeelsnr]],#REF!,3,0)</f>
        <v>#REF!</v>
      </c>
      <c r="E176" t="e">
        <f>VLOOKUP(bron[[#This Row],[personeelsnr]],#REF!,11,FALSE)</f>
        <v>#REF!</v>
      </c>
      <c r="F176">
        <v>0</v>
      </c>
    </row>
    <row r="177" spans="1:6" x14ac:dyDescent="0.25">
      <c r="A177">
        <v>18173</v>
      </c>
      <c r="B177" t="e">
        <f>_xlfn.CONCAT(bron[[#This Row],[personeelsnr]]," ",C177," ",D177)</f>
        <v>#REF!</v>
      </c>
      <c r="C177" t="e">
        <f>VLOOKUP(bron[[#This Row],[personeelsnr]],#REF!,2,0)</f>
        <v>#REF!</v>
      </c>
      <c r="D177" t="e">
        <f>VLOOKUP(bron[[#This Row],[personeelsnr]],#REF!,3,0)</f>
        <v>#REF!</v>
      </c>
      <c r="E177" t="e">
        <f>VLOOKUP(bron[[#This Row],[personeelsnr]],#REF!,11,FALSE)</f>
        <v>#REF!</v>
      </c>
      <c r="F177">
        <v>1</v>
      </c>
    </row>
    <row r="178" spans="1:6" x14ac:dyDescent="0.25">
      <c r="A178">
        <v>19088</v>
      </c>
      <c r="B178" t="e">
        <f>_xlfn.CONCAT(bron[[#This Row],[personeelsnr]]," ",C178," ",D178)</f>
        <v>#REF!</v>
      </c>
      <c r="C178" t="e">
        <f>VLOOKUP(bron[[#This Row],[personeelsnr]],#REF!,2,0)</f>
        <v>#REF!</v>
      </c>
      <c r="D178" t="e">
        <f>VLOOKUP(bron[[#This Row],[personeelsnr]],#REF!,3,0)</f>
        <v>#REF!</v>
      </c>
      <c r="E178" t="e">
        <f>VLOOKUP(bron[[#This Row],[personeelsnr]],#REF!,11,FALSE)</f>
        <v>#REF!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#REF!</v>
      </c>
      <c r="C179" t="e">
        <f>VLOOKUP(bron[[#This Row],[personeelsnr]],#REF!,2,0)</f>
        <v>#REF!</v>
      </c>
      <c r="D179" t="e">
        <f>VLOOKUP(bron[[#This Row],[personeelsnr]],#REF!,3,0)</f>
        <v>#REF!</v>
      </c>
      <c r="E179" t="e">
        <f>VLOOKUP(bron[[#This Row],[personeelsnr]],#REF!,11,FALSE)</f>
        <v>#REF!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#REF!</v>
      </c>
      <c r="C180" t="e">
        <f>VLOOKUP(bron[[#This Row],[personeelsnr]],#REF!,2,0)</f>
        <v>#REF!</v>
      </c>
      <c r="D180" t="e">
        <f>VLOOKUP(bron[[#This Row],[personeelsnr]],#REF!,3,0)</f>
        <v>#REF!</v>
      </c>
      <c r="E180" t="e">
        <f>VLOOKUP(bron[[#This Row],[personeelsnr]],#REF!,11,FALSE)</f>
        <v>#REF!</v>
      </c>
    </row>
    <row r="181" spans="1:6" x14ac:dyDescent="0.25">
      <c r="A181">
        <v>37216</v>
      </c>
      <c r="B181" t="e">
        <f>_xlfn.CONCAT(bron[[#This Row],[personeelsnr]]," ",C181," ",D181)</f>
        <v>#REF!</v>
      </c>
      <c r="C181" t="e">
        <f>VLOOKUP(bron[[#This Row],[personeelsnr]],#REF!,2,0)</f>
        <v>#REF!</v>
      </c>
      <c r="D181" t="e">
        <f>VLOOKUP(bron[[#This Row],[personeelsnr]],#REF!,3,0)</f>
        <v>#REF!</v>
      </c>
      <c r="E181" t="e">
        <f>VLOOKUP(bron[[#This Row],[personeelsnr]],#REF!,11,FALSE)</f>
        <v>#REF!</v>
      </c>
      <c r="F181">
        <v>1</v>
      </c>
    </row>
    <row r="182" spans="1:6" x14ac:dyDescent="0.25">
      <c r="A182">
        <v>39651</v>
      </c>
      <c r="B182" t="e">
        <f>_xlfn.CONCAT(bron[[#This Row],[personeelsnr]]," ",C182," ",D182)</f>
        <v>#REF!</v>
      </c>
      <c r="C182" t="e">
        <f>VLOOKUP(bron[[#This Row],[personeelsnr]],#REF!,2,0)</f>
        <v>#REF!</v>
      </c>
      <c r="D182" t="e">
        <f>VLOOKUP(bron[[#This Row],[personeelsnr]],#REF!,3,0)</f>
        <v>#REF!</v>
      </c>
      <c r="E182" t="e">
        <f>VLOOKUP(bron[[#This Row],[personeelsnr]],#REF!,11,FALSE)</f>
        <v>#REF!</v>
      </c>
      <c r="F182">
        <v>1</v>
      </c>
    </row>
    <row r="183" spans="1:6" x14ac:dyDescent="0.25">
      <c r="A183">
        <v>39654</v>
      </c>
      <c r="B183" t="e">
        <f>_xlfn.CONCAT(bron[[#This Row],[personeelsnr]]," ",C183," ",D183)</f>
        <v>#REF!</v>
      </c>
      <c r="C183" t="e">
        <f>VLOOKUP(bron[[#This Row],[personeelsnr]],#REF!,2,0)</f>
        <v>#REF!</v>
      </c>
      <c r="D183" t="e">
        <f>VLOOKUP(bron[[#This Row],[personeelsnr]],#REF!,3,0)</f>
        <v>#REF!</v>
      </c>
      <c r="E183" t="e">
        <f>VLOOKUP(bron[[#This Row],[personeelsnr]],#REF!,11,FALSE)</f>
        <v>#REF!</v>
      </c>
      <c r="F183">
        <v>1</v>
      </c>
    </row>
    <row r="184" spans="1:6" x14ac:dyDescent="0.25">
      <c r="A184">
        <v>6309</v>
      </c>
      <c r="B184" t="e">
        <f>_xlfn.CONCAT(bron[[#This Row],[personeelsnr]]," ",C184," ",D184)</f>
        <v>#REF!</v>
      </c>
      <c r="C184" t="e">
        <f>VLOOKUP(bron[[#This Row],[personeelsnr]],#REF!,2,0)</f>
        <v>#REF!</v>
      </c>
      <c r="D184" t="e">
        <f>VLOOKUP(bron[[#This Row],[personeelsnr]],#REF!,3,0)</f>
        <v>#REF!</v>
      </c>
      <c r="E184" t="e">
        <f>VLOOKUP(bron[[#This Row],[personeelsnr]],#REF!,11,FALSE)</f>
        <v>#REF!</v>
      </c>
      <c r="F184">
        <v>1</v>
      </c>
    </row>
    <row r="185" spans="1:6" x14ac:dyDescent="0.25">
      <c r="A185">
        <v>8918</v>
      </c>
      <c r="B185" t="e">
        <f>_xlfn.CONCAT(bron[[#This Row],[personeelsnr]]," ",C185," ",D185)</f>
        <v>#REF!</v>
      </c>
      <c r="C185" t="e">
        <f>VLOOKUP(bron[[#This Row],[personeelsnr]],#REF!,2,0)</f>
        <v>#REF!</v>
      </c>
      <c r="D185" t="e">
        <f>VLOOKUP(bron[[#This Row],[personeelsnr]],#REF!,3,0)</f>
        <v>#REF!</v>
      </c>
      <c r="E185" t="e">
        <f>VLOOKUP(bron[[#This Row],[personeelsnr]],#REF!,11,FALSE)</f>
        <v>#REF!</v>
      </c>
      <c r="F185">
        <v>1</v>
      </c>
    </row>
    <row r="186" spans="1:6" x14ac:dyDescent="0.25">
      <c r="A186">
        <v>16546</v>
      </c>
      <c r="B186" t="e">
        <f>_xlfn.CONCAT(bron[[#This Row],[personeelsnr]]," ",C186," ",D186)</f>
        <v>#REF!</v>
      </c>
      <c r="C186" t="e">
        <f>VLOOKUP(bron[[#This Row],[personeelsnr]],#REF!,2,0)</f>
        <v>#REF!</v>
      </c>
      <c r="D186" t="e">
        <f>VLOOKUP(bron[[#This Row],[personeelsnr]],#REF!,3,0)</f>
        <v>#REF!</v>
      </c>
      <c r="E186" t="e">
        <f>VLOOKUP(bron[[#This Row],[personeelsnr]],#REF!,11,FALSE)</f>
        <v>#REF!</v>
      </c>
      <c r="F186">
        <v>1</v>
      </c>
    </row>
    <row r="187" spans="1:6" x14ac:dyDescent="0.25">
      <c r="A187">
        <v>22244</v>
      </c>
      <c r="B187" t="e">
        <f>_xlfn.CONCAT(bron[[#This Row],[personeelsnr]]," ",C187," ",D187)</f>
        <v>#REF!</v>
      </c>
      <c r="C187" t="e">
        <f>VLOOKUP(bron[[#This Row],[personeelsnr]],#REF!,2,0)</f>
        <v>#REF!</v>
      </c>
      <c r="D187" t="e">
        <f>VLOOKUP(bron[[#This Row],[personeelsnr]],#REF!,3,0)</f>
        <v>#REF!</v>
      </c>
      <c r="E187" t="e">
        <f>VLOOKUP(bron[[#This Row],[personeelsnr]],#REF!,11,FALSE)</f>
        <v>#REF!</v>
      </c>
      <c r="F187">
        <v>1</v>
      </c>
    </row>
    <row r="188" spans="1:6" x14ac:dyDescent="0.25">
      <c r="A188">
        <v>27673</v>
      </c>
      <c r="B188" t="e">
        <f>_xlfn.CONCAT(bron[[#This Row],[personeelsnr]]," ",C188," ",D188)</f>
        <v>#REF!</v>
      </c>
      <c r="C188" t="e">
        <f>VLOOKUP(bron[[#This Row],[personeelsnr]],#REF!,2,0)</f>
        <v>#REF!</v>
      </c>
      <c r="D188" t="e">
        <f>VLOOKUP(bron[[#This Row],[personeelsnr]],#REF!,3,0)</f>
        <v>#REF!</v>
      </c>
      <c r="E188" t="e">
        <f>VLOOKUP(bron[[#This Row],[personeelsnr]],#REF!,11,FALSE)</f>
        <v>#REF!</v>
      </c>
      <c r="F188">
        <v>1</v>
      </c>
    </row>
    <row r="189" spans="1:6" x14ac:dyDescent="0.25">
      <c r="A189">
        <v>40486</v>
      </c>
      <c r="B189" t="e">
        <f>_xlfn.CONCAT(bron[[#This Row],[personeelsnr]]," ",C189," ",D189)</f>
        <v>#REF!</v>
      </c>
      <c r="C189" t="e">
        <f>VLOOKUP(bron[[#This Row],[personeelsnr]],#REF!,2,0)</f>
        <v>#REF!</v>
      </c>
      <c r="D189" t="e">
        <f>VLOOKUP(bron[[#This Row],[personeelsnr]],#REF!,3,0)</f>
        <v>#REF!</v>
      </c>
      <c r="E189" t="e">
        <f>VLOOKUP(bron[[#This Row],[personeelsnr]],#REF!,11,FALSE)</f>
        <v>#REF!</v>
      </c>
      <c r="F189">
        <v>1</v>
      </c>
    </row>
    <row r="190" spans="1:6" x14ac:dyDescent="0.25">
      <c r="A190">
        <v>14665</v>
      </c>
      <c r="B190" t="e">
        <f>_xlfn.CONCAT(bron[[#This Row],[personeelsnr]]," ",C190," ",D190)</f>
        <v>#REF!</v>
      </c>
      <c r="C190" t="e">
        <f>VLOOKUP(bron[[#This Row],[personeelsnr]],#REF!,2,0)</f>
        <v>#REF!</v>
      </c>
      <c r="D190" t="e">
        <f>VLOOKUP(bron[[#This Row],[personeelsnr]],#REF!,3,0)</f>
        <v>#REF!</v>
      </c>
      <c r="E190" t="e">
        <f>VLOOKUP(bron[[#This Row],[personeelsnr]],#REF!,11,FALSE)</f>
        <v>#REF!</v>
      </c>
      <c r="F190">
        <v>1</v>
      </c>
    </row>
    <row r="191" spans="1:6" x14ac:dyDescent="0.25">
      <c r="A191">
        <v>20653</v>
      </c>
      <c r="B191" t="e">
        <f>_xlfn.CONCAT(bron[[#This Row],[personeelsnr]]," ",C191," ",D191)</f>
        <v>#REF!</v>
      </c>
      <c r="C191" t="e">
        <f>VLOOKUP(bron[[#This Row],[personeelsnr]],#REF!,2,0)</f>
        <v>#REF!</v>
      </c>
      <c r="D191" t="e">
        <f>VLOOKUP(bron[[#This Row],[personeelsnr]],#REF!,3,0)</f>
        <v>#REF!</v>
      </c>
      <c r="E191" t="e">
        <f>VLOOKUP(bron[[#This Row],[personeelsnr]],#REF!,11,FALSE)</f>
        <v>#REF!</v>
      </c>
      <c r="F191">
        <v>1</v>
      </c>
    </row>
    <row r="192" spans="1:6" x14ac:dyDescent="0.25">
      <c r="A192">
        <v>37313</v>
      </c>
      <c r="B192" t="e">
        <f>_xlfn.CONCAT(bron[[#This Row],[personeelsnr]]," ",C192," ",D192)</f>
        <v>#REF!</v>
      </c>
      <c r="C192" t="e">
        <f>VLOOKUP(bron[[#This Row],[personeelsnr]],#REF!,2,0)</f>
        <v>#REF!</v>
      </c>
      <c r="D192" t="e">
        <f>VLOOKUP(bron[[#This Row],[personeelsnr]],#REF!,3,0)</f>
        <v>#REF!</v>
      </c>
      <c r="E192" t="e">
        <f>VLOOKUP(bron[[#This Row],[personeelsnr]],#REF!,11,FALSE)</f>
        <v>#REF!</v>
      </c>
      <c r="F192">
        <v>1</v>
      </c>
    </row>
    <row r="193" spans="1:6" x14ac:dyDescent="0.25">
      <c r="A193">
        <v>19219</v>
      </c>
      <c r="B193" t="e">
        <f>_xlfn.CONCAT(bron[[#This Row],[personeelsnr]]," ",C193," ",D193)</f>
        <v>#REF!</v>
      </c>
      <c r="C193" t="e">
        <f>VLOOKUP(bron[[#This Row],[personeelsnr]],#REF!,2,0)</f>
        <v>#REF!</v>
      </c>
      <c r="D193" t="e">
        <f>VLOOKUP(bron[[#This Row],[personeelsnr]],#REF!,3,0)</f>
        <v>#REF!</v>
      </c>
      <c r="E193" t="e">
        <f>VLOOKUP(bron[[#This Row],[personeelsnr]],#REF!,11,FALSE)</f>
        <v>#REF!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#REF!</v>
      </c>
      <c r="C194" t="e">
        <f>VLOOKUP(bron[[#This Row],[personeelsnr]],#REF!,2,0)</f>
        <v>#REF!</v>
      </c>
      <c r="D194" t="e">
        <f>VLOOKUP(bron[[#This Row],[personeelsnr]],#REF!,3,0)</f>
        <v>#REF!</v>
      </c>
      <c r="E194" t="e">
        <f>VLOOKUP(bron[[#This Row],[personeelsnr]],#REF!,11,FALSE)</f>
        <v>#REF!</v>
      </c>
      <c r="F194">
        <v>1</v>
      </c>
    </row>
    <row r="195" spans="1:6" x14ac:dyDescent="0.25">
      <c r="A195">
        <v>37951</v>
      </c>
      <c r="B195" t="e">
        <f>_xlfn.CONCAT(bron[[#This Row],[personeelsnr]]," ",C195," ",D195)</f>
        <v>#REF!</v>
      </c>
      <c r="C195" t="e">
        <f>VLOOKUP(bron[[#This Row],[personeelsnr]],#REF!,2,0)</f>
        <v>#REF!</v>
      </c>
      <c r="D195" t="e">
        <f>VLOOKUP(bron[[#This Row],[personeelsnr]],#REF!,3,0)</f>
        <v>#REF!</v>
      </c>
      <c r="E195" t="e">
        <f>VLOOKUP(bron[[#This Row],[personeelsnr]],#REF!,11,FALSE)</f>
        <v>#REF!</v>
      </c>
      <c r="F195">
        <v>1</v>
      </c>
    </row>
    <row r="196" spans="1:6" x14ac:dyDescent="0.25">
      <c r="A196">
        <v>38648</v>
      </c>
      <c r="B196" t="e">
        <f>_xlfn.CONCAT(bron[[#This Row],[personeelsnr]]," ",C196," ",D196)</f>
        <v>#REF!</v>
      </c>
      <c r="C196" t="e">
        <f>VLOOKUP(bron[[#This Row],[personeelsnr]],#REF!,2,0)</f>
        <v>#REF!</v>
      </c>
      <c r="D196" t="e">
        <f>VLOOKUP(bron[[#This Row],[personeelsnr]],#REF!,3,0)</f>
        <v>#REF!</v>
      </c>
      <c r="E196" t="e">
        <f>VLOOKUP(bron[[#This Row],[personeelsnr]],#REF!,11,FALSE)</f>
        <v>#REF!</v>
      </c>
      <c r="F196">
        <v>1</v>
      </c>
    </row>
    <row r="197" spans="1:6" x14ac:dyDescent="0.25">
      <c r="A197">
        <v>40608</v>
      </c>
      <c r="B197" t="e">
        <f>_xlfn.CONCAT(bron[[#This Row],[personeelsnr]]," ",C197," ",D197)</f>
        <v>#REF!</v>
      </c>
      <c r="C197" t="e">
        <f>VLOOKUP(bron[[#This Row],[personeelsnr]],#REF!,2,0)</f>
        <v>#REF!</v>
      </c>
      <c r="D197" t="e">
        <f>VLOOKUP(bron[[#This Row],[personeelsnr]],#REF!,3,0)</f>
        <v>#REF!</v>
      </c>
      <c r="E197" t="e">
        <f>VLOOKUP(bron[[#This Row],[personeelsnr]],#REF!,11,FALSE)</f>
        <v>#REF!</v>
      </c>
      <c r="F197">
        <v>1</v>
      </c>
    </row>
    <row r="198" spans="1:6" x14ac:dyDescent="0.25">
      <c r="A198">
        <v>26266</v>
      </c>
      <c r="B198" t="e">
        <f>_xlfn.CONCAT(bron[[#This Row],[personeelsnr]]," ",C198," ",D198)</f>
        <v>#REF!</v>
      </c>
      <c r="C198" t="e">
        <f>VLOOKUP(bron[[#This Row],[personeelsnr]],#REF!,2,0)</f>
        <v>#REF!</v>
      </c>
      <c r="D198" t="e">
        <f>VLOOKUP(bron[[#This Row],[personeelsnr]],#REF!,3,0)</f>
        <v>#REF!</v>
      </c>
      <c r="E198" t="e">
        <f>VLOOKUP(bron[[#This Row],[personeelsnr]],#REF!,11,FALSE)</f>
        <v>#REF!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#REF!</v>
      </c>
      <c r="C199" t="e">
        <f>VLOOKUP(bron[[#This Row],[personeelsnr]],#REF!,2,0)</f>
        <v>#REF!</v>
      </c>
      <c r="D199" t="e">
        <f>VLOOKUP(bron[[#This Row],[personeelsnr]],#REF!,3,0)</f>
        <v>#REF!</v>
      </c>
      <c r="E199" t="e">
        <f>VLOOKUP(bron[[#This Row],[personeelsnr]],#REF!,11,FALSE)</f>
        <v>#REF!</v>
      </c>
      <c r="F199">
        <v>1</v>
      </c>
    </row>
    <row r="200" spans="1:6" x14ac:dyDescent="0.25">
      <c r="A200">
        <v>32369</v>
      </c>
      <c r="B200" t="e">
        <f>_xlfn.CONCAT(bron[[#This Row],[personeelsnr]]," ",C200," ",D200)</f>
        <v>#REF!</v>
      </c>
      <c r="C200" t="e">
        <f>VLOOKUP(bron[[#This Row],[personeelsnr]],#REF!,2,0)</f>
        <v>#REF!</v>
      </c>
      <c r="D200" t="e">
        <f>VLOOKUP(bron[[#This Row],[personeelsnr]],#REF!,3,0)</f>
        <v>#REF!</v>
      </c>
      <c r="E200" t="e">
        <f>VLOOKUP(bron[[#This Row],[personeelsnr]],#REF!,11,FALSE)</f>
        <v>#REF!</v>
      </c>
      <c r="F200">
        <v>1</v>
      </c>
    </row>
    <row r="201" spans="1:6" x14ac:dyDescent="0.25">
      <c r="A201">
        <v>35709</v>
      </c>
      <c r="B201" t="e">
        <f>_xlfn.CONCAT(bron[[#This Row],[personeelsnr]]," ",C201," ",D201)</f>
        <v>#REF!</v>
      </c>
      <c r="C201" t="e">
        <f>VLOOKUP(bron[[#This Row],[personeelsnr]],#REF!,2,0)</f>
        <v>#REF!</v>
      </c>
      <c r="D201" t="e">
        <f>VLOOKUP(bron[[#This Row],[personeelsnr]],#REF!,3,0)</f>
        <v>#REF!</v>
      </c>
      <c r="E201" t="e">
        <f>VLOOKUP(bron[[#This Row],[personeelsnr]],#REF!,11,FALSE)</f>
        <v>#REF!</v>
      </c>
      <c r="F201">
        <v>1</v>
      </c>
    </row>
    <row r="202" spans="1:6" x14ac:dyDescent="0.25">
      <c r="A202">
        <v>13088</v>
      </c>
      <c r="B202" t="e">
        <f>_xlfn.CONCAT(bron[[#This Row],[personeelsnr]]," ",C202," ",D202)</f>
        <v>#REF!</v>
      </c>
      <c r="C202" t="e">
        <f>VLOOKUP(bron[[#This Row],[personeelsnr]],#REF!,2,0)</f>
        <v>#REF!</v>
      </c>
      <c r="D202" t="e">
        <f>VLOOKUP(bron[[#This Row],[personeelsnr]],#REF!,3,0)</f>
        <v>#REF!</v>
      </c>
      <c r="E202" t="e">
        <f>VLOOKUP(bron[[#This Row],[personeelsnr]],#REF!,11,FALSE)</f>
        <v>#REF!</v>
      </c>
      <c r="F202">
        <v>1</v>
      </c>
    </row>
    <row r="203" spans="1:6" x14ac:dyDescent="0.25">
      <c r="A203">
        <v>20375</v>
      </c>
      <c r="B203" t="e">
        <f>_xlfn.CONCAT(bron[[#This Row],[personeelsnr]]," ",C203," ",D203)</f>
        <v>#REF!</v>
      </c>
      <c r="C203" t="e">
        <f>VLOOKUP(bron[[#This Row],[personeelsnr]],#REF!,2,0)</f>
        <v>#REF!</v>
      </c>
      <c r="D203" t="e">
        <f>VLOOKUP(bron[[#This Row],[personeelsnr]],#REF!,3,0)</f>
        <v>#REF!</v>
      </c>
      <c r="E203" t="e">
        <f>VLOOKUP(bron[[#This Row],[personeelsnr]],#REF!,11,FALSE)</f>
        <v>#REF!</v>
      </c>
      <c r="F203">
        <v>1</v>
      </c>
    </row>
    <row r="204" spans="1:6" x14ac:dyDescent="0.25">
      <c r="A204">
        <v>22767</v>
      </c>
      <c r="B204" t="e">
        <f>_xlfn.CONCAT(bron[[#This Row],[personeelsnr]]," ",C204," ",D204)</f>
        <v>#REF!</v>
      </c>
      <c r="C204" t="e">
        <f>VLOOKUP(bron[[#This Row],[personeelsnr]],#REF!,2,0)</f>
        <v>#REF!</v>
      </c>
      <c r="D204" t="e">
        <f>VLOOKUP(bron[[#This Row],[personeelsnr]],#REF!,3,0)</f>
        <v>#REF!</v>
      </c>
      <c r="E204" t="e">
        <f>VLOOKUP(bron[[#This Row],[personeelsnr]],#REF!,11,FALSE)</f>
        <v>#REF!</v>
      </c>
      <c r="F204">
        <v>1</v>
      </c>
    </row>
    <row r="205" spans="1:6" x14ac:dyDescent="0.25">
      <c r="A205">
        <v>29821</v>
      </c>
      <c r="B205" t="e">
        <f>_xlfn.CONCAT(bron[[#This Row],[personeelsnr]]," ",C205," ",D205)</f>
        <v>#REF!</v>
      </c>
      <c r="C205" t="e">
        <f>VLOOKUP(bron[[#This Row],[personeelsnr]],#REF!,2,0)</f>
        <v>#REF!</v>
      </c>
      <c r="D205" t="e">
        <f>VLOOKUP(bron[[#This Row],[personeelsnr]],#REF!,3,0)</f>
        <v>#REF!</v>
      </c>
      <c r="E205" t="e">
        <f>VLOOKUP(bron[[#This Row],[personeelsnr]],#REF!,11,FALSE)</f>
        <v>#REF!</v>
      </c>
      <c r="F205">
        <v>1</v>
      </c>
    </row>
    <row r="206" spans="1:6" x14ac:dyDescent="0.25">
      <c r="A206">
        <v>30119</v>
      </c>
      <c r="B206" t="e">
        <f>_xlfn.CONCAT(bron[[#This Row],[personeelsnr]]," ",C206," ",D206)</f>
        <v>#REF!</v>
      </c>
      <c r="C206" t="e">
        <f>VLOOKUP(bron[[#This Row],[personeelsnr]],#REF!,2,0)</f>
        <v>#REF!</v>
      </c>
      <c r="D206" t="e">
        <f>VLOOKUP(bron[[#This Row],[personeelsnr]],#REF!,3,0)</f>
        <v>#REF!</v>
      </c>
      <c r="E206" t="e">
        <f>VLOOKUP(bron[[#This Row],[personeelsnr]],#REF!,11,FALSE)</f>
        <v>#REF!</v>
      </c>
      <c r="F206">
        <v>1</v>
      </c>
    </row>
    <row r="207" spans="1:6" x14ac:dyDescent="0.25">
      <c r="A207">
        <v>40036</v>
      </c>
      <c r="B207" t="e">
        <f>_xlfn.CONCAT(bron[[#This Row],[personeelsnr]]," ",C207," ",D207)</f>
        <v>#REF!</v>
      </c>
      <c r="C207" t="e">
        <f>VLOOKUP(bron[[#This Row],[personeelsnr]],#REF!,2,0)</f>
        <v>#REF!</v>
      </c>
      <c r="D207" t="e">
        <f>VLOOKUP(bron[[#This Row],[personeelsnr]],#REF!,3,0)</f>
        <v>#REF!</v>
      </c>
      <c r="E207" t="e">
        <f>VLOOKUP(bron[[#This Row],[personeelsnr]],#REF!,11,FALSE)</f>
        <v>#REF!</v>
      </c>
      <c r="F207">
        <v>1</v>
      </c>
    </row>
    <row r="208" spans="1:6" x14ac:dyDescent="0.25">
      <c r="A208">
        <v>40200</v>
      </c>
      <c r="B208" t="e">
        <f>_xlfn.CONCAT(bron[[#This Row],[personeelsnr]]," ",C208," ",D208)</f>
        <v>#REF!</v>
      </c>
      <c r="C208" t="e">
        <f>VLOOKUP(bron[[#This Row],[personeelsnr]],#REF!,2,0)</f>
        <v>#REF!</v>
      </c>
      <c r="D208" t="e">
        <f>VLOOKUP(bron[[#This Row],[personeelsnr]],#REF!,3,0)</f>
        <v>#REF!</v>
      </c>
      <c r="E208" t="e">
        <f>VLOOKUP(bron[[#This Row],[personeelsnr]],#REF!,11,FALSE)</f>
        <v>#REF!</v>
      </c>
      <c r="F208">
        <v>1</v>
      </c>
    </row>
    <row r="209" spans="1:6" x14ac:dyDescent="0.25">
      <c r="A209">
        <v>25994</v>
      </c>
      <c r="B209" t="e">
        <f>_xlfn.CONCAT(bron[[#This Row],[personeelsnr]]," ",C209," ",D209)</f>
        <v>#REF!</v>
      </c>
      <c r="C209" t="e">
        <f>VLOOKUP(bron[[#This Row],[personeelsnr]],#REF!,2,0)</f>
        <v>#REF!</v>
      </c>
      <c r="D209" t="e">
        <f>VLOOKUP(bron[[#This Row],[personeelsnr]],#REF!,3,0)</f>
        <v>#REF!</v>
      </c>
      <c r="E209" t="e">
        <f>VLOOKUP(bron[[#This Row],[personeelsnr]],#REF!,11,FALSE)</f>
        <v>#REF!</v>
      </c>
      <c r="F209">
        <v>1</v>
      </c>
    </row>
    <row r="210" spans="1:6" x14ac:dyDescent="0.25">
      <c r="A210">
        <v>35120</v>
      </c>
      <c r="B210" t="e">
        <f>_xlfn.CONCAT(bron[[#This Row],[personeelsnr]]," ",C210," ",D210)</f>
        <v>#REF!</v>
      </c>
      <c r="C210" t="e">
        <f>VLOOKUP(bron[[#This Row],[personeelsnr]],#REF!,2,0)</f>
        <v>#REF!</v>
      </c>
      <c r="D210" t="e">
        <f>VLOOKUP(bron[[#This Row],[personeelsnr]],#REF!,3,0)</f>
        <v>#REF!</v>
      </c>
      <c r="E210" t="e">
        <f>VLOOKUP(bron[[#This Row],[personeelsnr]],#REF!,11,FALSE)</f>
        <v>#REF!</v>
      </c>
      <c r="F210">
        <v>1</v>
      </c>
    </row>
    <row r="211" spans="1:6" x14ac:dyDescent="0.25">
      <c r="A211">
        <v>38579</v>
      </c>
      <c r="B211" t="e">
        <f>_xlfn.CONCAT(bron[[#This Row],[personeelsnr]]," ",C211," ",D211)</f>
        <v>#REF!</v>
      </c>
      <c r="C211" t="e">
        <f>VLOOKUP(bron[[#This Row],[personeelsnr]],#REF!,2,0)</f>
        <v>#REF!</v>
      </c>
      <c r="D211" t="e">
        <f>VLOOKUP(bron[[#This Row],[personeelsnr]],#REF!,3,0)</f>
        <v>#REF!</v>
      </c>
      <c r="E211" t="e">
        <f>VLOOKUP(bron[[#This Row],[personeelsnr]],#REF!,11,FALSE)</f>
        <v>#REF!</v>
      </c>
      <c r="F211">
        <v>1</v>
      </c>
    </row>
    <row r="212" spans="1:6" x14ac:dyDescent="0.25">
      <c r="A212">
        <v>10150</v>
      </c>
      <c r="B212" t="e">
        <f>_xlfn.CONCAT(bron[[#This Row],[personeelsnr]]," ",C212," ",D212)</f>
        <v>#REF!</v>
      </c>
      <c r="C212" t="e">
        <f>VLOOKUP(bron[[#This Row],[personeelsnr]],#REF!,2,0)</f>
        <v>#REF!</v>
      </c>
      <c r="D212" t="e">
        <f>VLOOKUP(bron[[#This Row],[personeelsnr]],#REF!,3,0)</f>
        <v>#REF!</v>
      </c>
      <c r="E212" t="e">
        <f>VLOOKUP(bron[[#This Row],[personeelsnr]],#REF!,11,FALSE)</f>
        <v>#REF!</v>
      </c>
      <c r="F212">
        <v>1</v>
      </c>
    </row>
    <row r="213" spans="1:6" x14ac:dyDescent="0.25">
      <c r="A213">
        <v>36569</v>
      </c>
      <c r="B213" t="e">
        <f>_xlfn.CONCAT(bron[[#This Row],[personeelsnr]]," ",C213," ",D213)</f>
        <v>#REF!</v>
      </c>
      <c r="C213" t="e">
        <f>VLOOKUP(bron[[#This Row],[personeelsnr]],#REF!,2,0)</f>
        <v>#REF!</v>
      </c>
      <c r="D213" t="e">
        <f>VLOOKUP(bron[[#This Row],[personeelsnr]],#REF!,3,0)</f>
        <v>#REF!</v>
      </c>
      <c r="E213" t="e">
        <f>VLOOKUP(bron[[#This Row],[personeelsnr]],#REF!,11,FALSE)</f>
        <v>#REF!</v>
      </c>
      <c r="F213">
        <v>0</v>
      </c>
    </row>
    <row r="214" spans="1:6" x14ac:dyDescent="0.25">
      <c r="A214">
        <v>19848</v>
      </c>
      <c r="B214" t="e">
        <f>_xlfn.CONCAT(bron[[#This Row],[personeelsnr]]," ",C214," ",D214)</f>
        <v>#REF!</v>
      </c>
      <c r="C214" t="e">
        <f>VLOOKUP(bron[[#This Row],[personeelsnr]],#REF!,2,0)</f>
        <v>#REF!</v>
      </c>
      <c r="D214" t="e">
        <f>VLOOKUP(bron[[#This Row],[personeelsnr]],#REF!,3,0)</f>
        <v>#REF!</v>
      </c>
      <c r="E214" t="e">
        <f>VLOOKUP(bron[[#This Row],[personeelsnr]],#REF!,11,FALSE)</f>
        <v>#REF!</v>
      </c>
      <c r="F214">
        <v>1</v>
      </c>
    </row>
    <row r="215" spans="1:6" x14ac:dyDescent="0.25">
      <c r="A215">
        <v>20610</v>
      </c>
      <c r="B215" t="e">
        <f>_xlfn.CONCAT(bron[[#This Row],[personeelsnr]]," ",C215," ",D215)</f>
        <v>#REF!</v>
      </c>
      <c r="C215" t="e">
        <f>VLOOKUP(bron[[#This Row],[personeelsnr]],#REF!,2,0)</f>
        <v>#REF!</v>
      </c>
      <c r="D215" t="e">
        <f>VLOOKUP(bron[[#This Row],[personeelsnr]],#REF!,3,0)</f>
        <v>#REF!</v>
      </c>
      <c r="E215" t="e">
        <f>VLOOKUP(bron[[#This Row],[personeelsnr]],#REF!,11,FALSE)</f>
        <v>#REF!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#REF!</v>
      </c>
      <c r="C216" t="e">
        <f>VLOOKUP(bron[[#This Row],[personeelsnr]],#REF!,2,0)</f>
        <v>#REF!</v>
      </c>
      <c r="D216" t="e">
        <f>VLOOKUP(bron[[#This Row],[personeelsnr]],#REF!,3,0)</f>
        <v>#REF!</v>
      </c>
      <c r="E216" t="e">
        <f>VLOOKUP(bron[[#This Row],[personeelsnr]],#REF!,11,FALSE)</f>
        <v>#REF!</v>
      </c>
      <c r="F216">
        <v>1</v>
      </c>
    </row>
    <row r="217" spans="1:6" x14ac:dyDescent="0.25">
      <c r="A217">
        <v>25829</v>
      </c>
      <c r="B217" t="e">
        <f>_xlfn.CONCAT(bron[[#This Row],[personeelsnr]]," ",C217," ",D217)</f>
        <v>#REF!</v>
      </c>
      <c r="C217" t="e">
        <f>VLOOKUP(bron[[#This Row],[personeelsnr]],#REF!,2,0)</f>
        <v>#REF!</v>
      </c>
      <c r="D217" t="e">
        <f>VLOOKUP(bron[[#This Row],[personeelsnr]],#REF!,3,0)</f>
        <v>#REF!</v>
      </c>
      <c r="E217" t="e">
        <f>VLOOKUP(bron[[#This Row],[personeelsnr]],#REF!,11,FALSE)</f>
        <v>#REF!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#REF!</v>
      </c>
      <c r="C218" t="e">
        <f>VLOOKUP(bron[[#This Row],[personeelsnr]],#REF!,2,0)</f>
        <v>#REF!</v>
      </c>
      <c r="D218" t="e">
        <f>VLOOKUP(bron[[#This Row],[personeelsnr]],#REF!,3,0)</f>
        <v>#REF!</v>
      </c>
      <c r="E218" t="e">
        <f>VLOOKUP(bron[[#This Row],[personeelsnr]],#REF!,11,FALSE)</f>
        <v>#REF!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#REF!</v>
      </c>
      <c r="C219" t="e">
        <f>VLOOKUP(bron[[#This Row],[personeelsnr]],#REF!,2,0)</f>
        <v>#REF!</v>
      </c>
      <c r="D219" t="e">
        <f>VLOOKUP(bron[[#This Row],[personeelsnr]],#REF!,3,0)</f>
        <v>#REF!</v>
      </c>
      <c r="E219" t="e">
        <f>VLOOKUP(bron[[#This Row],[personeelsnr]],#REF!,11,FALSE)</f>
        <v>#REF!</v>
      </c>
      <c r="F219">
        <v>1</v>
      </c>
    </row>
    <row r="220" spans="1:6" x14ac:dyDescent="0.25">
      <c r="A220">
        <v>32528</v>
      </c>
      <c r="B220" t="e">
        <f>_xlfn.CONCAT(bron[[#This Row],[personeelsnr]]," ",C220," ",D220)</f>
        <v>#REF!</v>
      </c>
      <c r="C220" t="e">
        <f>VLOOKUP(bron[[#This Row],[personeelsnr]],#REF!,2,0)</f>
        <v>#REF!</v>
      </c>
      <c r="D220" t="e">
        <f>VLOOKUP(bron[[#This Row],[personeelsnr]],#REF!,3,0)</f>
        <v>#REF!</v>
      </c>
      <c r="E220" t="e">
        <f>VLOOKUP(bron[[#This Row],[personeelsnr]],#REF!,11,FALSE)</f>
        <v>#REF!</v>
      </c>
      <c r="F220">
        <v>1</v>
      </c>
    </row>
    <row r="221" spans="1:6" x14ac:dyDescent="0.25">
      <c r="A221">
        <v>33757</v>
      </c>
      <c r="B221" t="e">
        <f>_xlfn.CONCAT(bron[[#This Row],[personeelsnr]]," ",C221," ",D221)</f>
        <v>#REF!</v>
      </c>
      <c r="C221" t="e">
        <f>VLOOKUP(bron[[#This Row],[personeelsnr]],#REF!,2,0)</f>
        <v>#REF!</v>
      </c>
      <c r="D221" t="e">
        <f>VLOOKUP(bron[[#This Row],[personeelsnr]],#REF!,3,0)</f>
        <v>#REF!</v>
      </c>
      <c r="E221" t="e">
        <f>VLOOKUP(bron[[#This Row],[personeelsnr]],#REF!,11,FALSE)</f>
        <v>#REF!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#REF!</v>
      </c>
      <c r="C222" t="e">
        <f>VLOOKUP(bron[[#This Row],[personeelsnr]],#REF!,2,0)</f>
        <v>#REF!</v>
      </c>
      <c r="D222" t="e">
        <f>VLOOKUP(bron[[#This Row],[personeelsnr]],#REF!,3,0)</f>
        <v>#REF!</v>
      </c>
      <c r="E222" t="e">
        <f>VLOOKUP(bron[[#This Row],[personeelsnr]],#REF!,11,FALSE)</f>
        <v>#REF!</v>
      </c>
      <c r="F222">
        <v>1</v>
      </c>
    </row>
    <row r="223" spans="1:6" x14ac:dyDescent="0.25">
      <c r="A223">
        <v>36512</v>
      </c>
      <c r="B223" t="e">
        <f>_xlfn.CONCAT(bron[[#This Row],[personeelsnr]]," ",C223," ",D223)</f>
        <v>#REF!</v>
      </c>
      <c r="C223" t="e">
        <f>VLOOKUP(bron[[#This Row],[personeelsnr]],#REF!,2,0)</f>
        <v>#REF!</v>
      </c>
      <c r="D223" t="e">
        <f>VLOOKUP(bron[[#This Row],[personeelsnr]],#REF!,3,0)</f>
        <v>#REF!</v>
      </c>
      <c r="E223" t="e">
        <f>VLOOKUP(bron[[#This Row],[personeelsnr]],#REF!,11,FALSE)</f>
        <v>#REF!</v>
      </c>
      <c r="F223">
        <v>1</v>
      </c>
    </row>
    <row r="224" spans="1:6" x14ac:dyDescent="0.25">
      <c r="A224">
        <v>37683</v>
      </c>
      <c r="B224" t="e">
        <f>_xlfn.CONCAT(bron[[#This Row],[personeelsnr]]," ",C224," ",D224)</f>
        <v>#REF!</v>
      </c>
      <c r="C224" t="e">
        <f>VLOOKUP(bron[[#This Row],[personeelsnr]],#REF!,2,0)</f>
        <v>#REF!</v>
      </c>
      <c r="D224" t="e">
        <f>VLOOKUP(bron[[#This Row],[personeelsnr]],#REF!,3,0)</f>
        <v>#REF!</v>
      </c>
      <c r="E224" t="e">
        <f>VLOOKUP(bron[[#This Row],[personeelsnr]],#REF!,11,FALSE)</f>
        <v>#REF!</v>
      </c>
      <c r="F224">
        <v>1</v>
      </c>
    </row>
    <row r="225" spans="1:6" x14ac:dyDescent="0.25">
      <c r="A225">
        <v>36626</v>
      </c>
      <c r="B225" t="e">
        <f>_xlfn.CONCAT(bron[[#This Row],[personeelsnr]]," ",C225," ",D225)</f>
        <v>#REF!</v>
      </c>
      <c r="C225" t="e">
        <f>VLOOKUP(bron[[#This Row],[personeelsnr]],#REF!,2,0)</f>
        <v>#REF!</v>
      </c>
      <c r="D225" t="e">
        <f>VLOOKUP(bron[[#This Row],[personeelsnr]],#REF!,3,0)</f>
        <v>#REF!</v>
      </c>
      <c r="E225" t="e">
        <f>VLOOKUP(bron[[#This Row],[personeelsnr]],#REF!,11,FALSE)</f>
        <v>#REF!</v>
      </c>
    </row>
    <row r="226" spans="1:6" x14ac:dyDescent="0.25">
      <c r="A226">
        <v>39558</v>
      </c>
      <c r="B226" t="e">
        <f>_xlfn.CONCAT(bron[[#This Row],[personeelsnr]]," ",C226," ",D226)</f>
        <v>#REF!</v>
      </c>
      <c r="C226" t="e">
        <f>VLOOKUP(bron[[#This Row],[personeelsnr]],#REF!,2,0)</f>
        <v>#REF!</v>
      </c>
      <c r="D226" t="e">
        <f>VLOOKUP(bron[[#This Row],[personeelsnr]],#REF!,3,0)</f>
        <v>#REF!</v>
      </c>
      <c r="E226" t="e">
        <f>VLOOKUP(bron[[#This Row],[personeelsnr]],#REF!,11,FALSE)</f>
        <v>#REF!</v>
      </c>
      <c r="F226">
        <v>1</v>
      </c>
    </row>
    <row r="227" spans="1:6" x14ac:dyDescent="0.25">
      <c r="A227">
        <v>40414</v>
      </c>
      <c r="B227" t="e">
        <f>_xlfn.CONCAT(bron[[#This Row],[personeelsnr]]," ",C227," ",D227)</f>
        <v>#REF!</v>
      </c>
      <c r="C227" t="e">
        <f>VLOOKUP(bron[[#This Row],[personeelsnr]],#REF!,2,0)</f>
        <v>#REF!</v>
      </c>
      <c r="D227" t="e">
        <f>VLOOKUP(bron[[#This Row],[personeelsnr]],#REF!,3,0)</f>
        <v>#REF!</v>
      </c>
      <c r="E227" t="e">
        <f>VLOOKUP(bron[[#This Row],[personeelsnr]],#REF!,11,FALSE)</f>
        <v>#REF!</v>
      </c>
      <c r="F227">
        <v>1</v>
      </c>
    </row>
    <row r="228" spans="1:6" x14ac:dyDescent="0.25">
      <c r="A228">
        <v>5559</v>
      </c>
      <c r="B228" t="e">
        <f>_xlfn.CONCAT(bron[[#This Row],[personeelsnr]]," ",C228," ",D228)</f>
        <v>#REF!</v>
      </c>
      <c r="C228" t="e">
        <f>VLOOKUP(bron[[#This Row],[personeelsnr]],#REF!,2,0)</f>
        <v>#REF!</v>
      </c>
      <c r="D228" t="e">
        <f>VLOOKUP(bron[[#This Row],[personeelsnr]],#REF!,3,0)</f>
        <v>#REF!</v>
      </c>
      <c r="E228" t="e">
        <f>VLOOKUP(bron[[#This Row],[personeelsnr]],#REF!,11,FALSE)</f>
        <v>#REF!</v>
      </c>
      <c r="F228">
        <v>1</v>
      </c>
    </row>
    <row r="229" spans="1:6" x14ac:dyDescent="0.25">
      <c r="A229">
        <v>5599</v>
      </c>
      <c r="B229" t="e">
        <f>_xlfn.CONCAT(bron[[#This Row],[personeelsnr]]," ",C229," ",D229)</f>
        <v>#REF!</v>
      </c>
      <c r="C229" t="e">
        <f>VLOOKUP(bron[[#This Row],[personeelsnr]],#REF!,2,0)</f>
        <v>#REF!</v>
      </c>
      <c r="D229" t="e">
        <f>VLOOKUP(bron[[#This Row],[personeelsnr]],#REF!,3,0)</f>
        <v>#REF!</v>
      </c>
      <c r="E229" t="e">
        <f>VLOOKUP(bron[[#This Row],[personeelsnr]],#REF!,11,FALSE)</f>
        <v>#REF!</v>
      </c>
      <c r="F229">
        <v>1</v>
      </c>
    </row>
    <row r="230" spans="1:6" x14ac:dyDescent="0.25">
      <c r="A230">
        <v>15628</v>
      </c>
      <c r="B230" t="e">
        <f>_xlfn.CONCAT(bron[[#This Row],[personeelsnr]]," ",C230," ",D230)</f>
        <v>#REF!</v>
      </c>
      <c r="C230" t="e">
        <f>VLOOKUP(bron[[#This Row],[personeelsnr]],#REF!,2,0)</f>
        <v>#REF!</v>
      </c>
      <c r="D230" t="e">
        <f>VLOOKUP(bron[[#This Row],[personeelsnr]],#REF!,3,0)</f>
        <v>#REF!</v>
      </c>
      <c r="E230" t="e">
        <f>VLOOKUP(bron[[#This Row],[personeelsnr]],#REF!,11,FALSE)</f>
        <v>#REF!</v>
      </c>
      <c r="F230">
        <v>1</v>
      </c>
    </row>
    <row r="231" spans="1:6" x14ac:dyDescent="0.25">
      <c r="A231">
        <v>16094</v>
      </c>
      <c r="B231" t="e">
        <f>_xlfn.CONCAT(bron[[#This Row],[personeelsnr]]," ",C231," ",D231)</f>
        <v>#REF!</v>
      </c>
      <c r="C231" t="e">
        <f>VLOOKUP(bron[[#This Row],[personeelsnr]],#REF!,2,0)</f>
        <v>#REF!</v>
      </c>
      <c r="D231" t="e">
        <f>VLOOKUP(bron[[#This Row],[personeelsnr]],#REF!,3,0)</f>
        <v>#REF!</v>
      </c>
      <c r="E231" t="e">
        <f>VLOOKUP(bron[[#This Row],[personeelsnr]],#REF!,11,FALSE)</f>
        <v>#REF!</v>
      </c>
      <c r="F231">
        <v>1</v>
      </c>
    </row>
    <row r="232" spans="1:6" x14ac:dyDescent="0.25">
      <c r="A232">
        <v>21121</v>
      </c>
      <c r="B232" t="e">
        <f>_xlfn.CONCAT(bron[[#This Row],[personeelsnr]]," ",C232," ",D232)</f>
        <v>#REF!</v>
      </c>
      <c r="C232" t="e">
        <f>VLOOKUP(bron[[#This Row],[personeelsnr]],#REF!,2,0)</f>
        <v>#REF!</v>
      </c>
      <c r="D232" t="e">
        <f>VLOOKUP(bron[[#This Row],[personeelsnr]],#REF!,3,0)</f>
        <v>#REF!</v>
      </c>
      <c r="E232" t="e">
        <f>VLOOKUP(bron[[#This Row],[personeelsnr]],#REF!,11,FALSE)</f>
        <v>#REF!</v>
      </c>
      <c r="F232">
        <v>1</v>
      </c>
    </row>
    <row r="233" spans="1:6" x14ac:dyDescent="0.25">
      <c r="A233">
        <v>25871</v>
      </c>
      <c r="B233" t="e">
        <f>_xlfn.CONCAT(bron[[#This Row],[personeelsnr]]," ",C233," ",D233)</f>
        <v>#REF!</v>
      </c>
      <c r="C233" t="e">
        <f>VLOOKUP(bron[[#This Row],[personeelsnr]],#REF!,2,0)</f>
        <v>#REF!</v>
      </c>
      <c r="D233" t="e">
        <f>VLOOKUP(bron[[#This Row],[personeelsnr]],#REF!,3,0)</f>
        <v>#REF!</v>
      </c>
      <c r="E233" t="e">
        <f>VLOOKUP(bron[[#This Row],[personeelsnr]],#REF!,11,FALSE)</f>
        <v>#REF!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#REF!</v>
      </c>
      <c r="C234" t="e">
        <f>VLOOKUP(bron[[#This Row],[personeelsnr]],#REF!,2,0)</f>
        <v>#REF!</v>
      </c>
      <c r="D234" t="e">
        <f>VLOOKUP(bron[[#This Row],[personeelsnr]],#REF!,3,0)</f>
        <v>#REF!</v>
      </c>
      <c r="E234" t="e">
        <f>VLOOKUP(bron[[#This Row],[personeelsnr]],#REF!,11,FALSE)</f>
        <v>#REF!</v>
      </c>
      <c r="F234">
        <v>1</v>
      </c>
    </row>
    <row r="235" spans="1:6" x14ac:dyDescent="0.25">
      <c r="A235">
        <v>30623</v>
      </c>
      <c r="B235" t="e">
        <f>_xlfn.CONCAT(bron[[#This Row],[personeelsnr]]," ",C235," ",D235)</f>
        <v>#REF!</v>
      </c>
      <c r="C235" t="e">
        <f>VLOOKUP(bron[[#This Row],[personeelsnr]],#REF!,2,0)</f>
        <v>#REF!</v>
      </c>
      <c r="D235" t="e">
        <f>VLOOKUP(bron[[#This Row],[personeelsnr]],#REF!,3,0)</f>
        <v>#REF!</v>
      </c>
      <c r="E235" t="e">
        <f>VLOOKUP(bron[[#This Row],[personeelsnr]],#REF!,11,FALSE)</f>
        <v>#REF!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#REF!</v>
      </c>
      <c r="C236" t="e">
        <f>VLOOKUP(bron[[#This Row],[personeelsnr]],#REF!,2,0)</f>
        <v>#REF!</v>
      </c>
      <c r="D236" t="e">
        <f>VLOOKUP(bron[[#This Row],[personeelsnr]],#REF!,3,0)</f>
        <v>#REF!</v>
      </c>
      <c r="E236" t="e">
        <f>VLOOKUP(bron[[#This Row],[personeelsnr]],#REF!,11,FALSE)</f>
        <v>#REF!</v>
      </c>
      <c r="F236">
        <v>1</v>
      </c>
    </row>
    <row r="237" spans="1:6" x14ac:dyDescent="0.25">
      <c r="A237">
        <v>35006</v>
      </c>
      <c r="B237" t="e">
        <f>_xlfn.CONCAT(bron[[#This Row],[personeelsnr]]," ",C237," ",D237)</f>
        <v>#REF!</v>
      </c>
      <c r="C237" t="e">
        <f>VLOOKUP(bron[[#This Row],[personeelsnr]],#REF!,2,0)</f>
        <v>#REF!</v>
      </c>
      <c r="D237" t="e">
        <f>VLOOKUP(bron[[#This Row],[personeelsnr]],#REF!,3,0)</f>
        <v>#REF!</v>
      </c>
      <c r="E237" t="e">
        <f>VLOOKUP(bron[[#This Row],[personeelsnr]],#REF!,11,FALSE)</f>
        <v>#REF!</v>
      </c>
      <c r="F237">
        <v>1</v>
      </c>
    </row>
    <row r="238" spans="1:6" x14ac:dyDescent="0.25">
      <c r="A238">
        <v>36337</v>
      </c>
      <c r="B238" t="e">
        <f>_xlfn.CONCAT(bron[[#This Row],[personeelsnr]]," ",C238," ",D238)</f>
        <v>#REF!</v>
      </c>
      <c r="C238" t="e">
        <f>VLOOKUP(bron[[#This Row],[personeelsnr]],#REF!,2,0)</f>
        <v>#REF!</v>
      </c>
      <c r="D238" t="e">
        <f>VLOOKUP(bron[[#This Row],[personeelsnr]],#REF!,3,0)</f>
        <v>#REF!</v>
      </c>
      <c r="E238" t="e">
        <f>VLOOKUP(bron[[#This Row],[personeelsnr]],#REF!,11,FALSE)</f>
        <v>#REF!</v>
      </c>
      <c r="F238">
        <v>1</v>
      </c>
    </row>
    <row r="239" spans="1:6" x14ac:dyDescent="0.25">
      <c r="A239">
        <v>36625</v>
      </c>
      <c r="B239" t="e">
        <f>_xlfn.CONCAT(bron[[#This Row],[personeelsnr]]," ",C239," ",D239)</f>
        <v>#REF!</v>
      </c>
      <c r="C239" t="e">
        <f>VLOOKUP(bron[[#This Row],[personeelsnr]],#REF!,2,0)</f>
        <v>#REF!</v>
      </c>
      <c r="D239" t="e">
        <f>VLOOKUP(bron[[#This Row],[personeelsnr]],#REF!,3,0)</f>
        <v>#REF!</v>
      </c>
      <c r="E239" t="e">
        <f>VLOOKUP(bron[[#This Row],[personeelsnr]],#REF!,11,FALSE)</f>
        <v>#REF!</v>
      </c>
      <c r="F239">
        <v>1</v>
      </c>
    </row>
    <row r="240" spans="1:6" x14ac:dyDescent="0.25">
      <c r="A240">
        <v>37609</v>
      </c>
      <c r="B240" t="e">
        <f>_xlfn.CONCAT(bron[[#This Row],[personeelsnr]]," ",C240," ",D240)</f>
        <v>#REF!</v>
      </c>
      <c r="C240" t="e">
        <f>VLOOKUP(bron[[#This Row],[personeelsnr]],#REF!,2,0)</f>
        <v>#REF!</v>
      </c>
      <c r="D240" t="e">
        <f>VLOOKUP(bron[[#This Row],[personeelsnr]],#REF!,3,0)</f>
        <v>#REF!</v>
      </c>
      <c r="E240" t="e">
        <f>VLOOKUP(bron[[#This Row],[personeelsnr]],#REF!,11,FALSE)</f>
        <v>#REF!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#REF!</v>
      </c>
      <c r="C241" t="e">
        <f>VLOOKUP(bron[[#This Row],[personeelsnr]],#REF!,2,0)</f>
        <v>#REF!</v>
      </c>
      <c r="D241" t="e">
        <f>VLOOKUP(bron[[#This Row],[personeelsnr]],#REF!,3,0)</f>
        <v>#REF!</v>
      </c>
      <c r="E241" t="e">
        <f>VLOOKUP(bron[[#This Row],[personeelsnr]],#REF!,11,FALSE)</f>
        <v>#REF!</v>
      </c>
      <c r="F241">
        <v>1</v>
      </c>
    </row>
    <row r="242" spans="1:6" x14ac:dyDescent="0.25">
      <c r="A242">
        <v>21124</v>
      </c>
      <c r="B242" t="e">
        <f>_xlfn.CONCAT(bron[[#This Row],[personeelsnr]]," ",C242," ",D242)</f>
        <v>#REF!</v>
      </c>
      <c r="C242" t="e">
        <f>VLOOKUP(bron[[#This Row],[personeelsnr]],#REF!,2,0)</f>
        <v>#REF!</v>
      </c>
      <c r="D242" t="e">
        <f>VLOOKUP(bron[[#This Row],[personeelsnr]],#REF!,3,0)</f>
        <v>#REF!</v>
      </c>
      <c r="E242" t="e">
        <f>VLOOKUP(bron[[#This Row],[personeelsnr]],#REF!,11,FALSE)</f>
        <v>#REF!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#REF!</v>
      </c>
      <c r="C243" t="e">
        <f>VLOOKUP(bron[[#This Row],[personeelsnr]],#REF!,2,0)</f>
        <v>#REF!</v>
      </c>
      <c r="D243" t="e">
        <f>VLOOKUP(bron[[#This Row],[personeelsnr]],#REF!,3,0)</f>
        <v>#REF!</v>
      </c>
      <c r="E243" t="e">
        <f>VLOOKUP(bron[[#This Row],[personeelsnr]],#REF!,11,FALSE)</f>
        <v>#REF!</v>
      </c>
      <c r="F243">
        <v>1</v>
      </c>
    </row>
    <row r="244" spans="1:6" x14ac:dyDescent="0.25">
      <c r="A244">
        <v>27153</v>
      </c>
      <c r="B244" t="e">
        <f>_xlfn.CONCAT(bron[[#This Row],[personeelsnr]]," ",C244," ",D244)</f>
        <v>#REF!</v>
      </c>
      <c r="C244" t="e">
        <f>VLOOKUP(bron[[#This Row],[personeelsnr]],#REF!,2,0)</f>
        <v>#REF!</v>
      </c>
      <c r="D244" t="e">
        <f>VLOOKUP(bron[[#This Row],[personeelsnr]],#REF!,3,0)</f>
        <v>#REF!</v>
      </c>
      <c r="E244" t="e">
        <f>VLOOKUP(bron[[#This Row],[personeelsnr]],#REF!,11,FALSE)</f>
        <v>#REF!</v>
      </c>
      <c r="F244">
        <v>1</v>
      </c>
    </row>
    <row r="245" spans="1:6" x14ac:dyDescent="0.25">
      <c r="A245">
        <v>28830</v>
      </c>
      <c r="B245" t="e">
        <f>_xlfn.CONCAT(bron[[#This Row],[personeelsnr]]," ",C245," ",D245)</f>
        <v>#REF!</v>
      </c>
      <c r="C245" t="e">
        <f>VLOOKUP(bron[[#This Row],[personeelsnr]],#REF!,2,0)</f>
        <v>#REF!</v>
      </c>
      <c r="D245" t="e">
        <f>VLOOKUP(bron[[#This Row],[personeelsnr]],#REF!,3,0)</f>
        <v>#REF!</v>
      </c>
      <c r="E245" t="e">
        <f>VLOOKUP(bron[[#This Row],[personeelsnr]],#REF!,11,FALSE)</f>
        <v>#REF!</v>
      </c>
      <c r="F245">
        <v>1</v>
      </c>
    </row>
    <row r="246" spans="1:6" x14ac:dyDescent="0.25">
      <c r="A246">
        <v>36503</v>
      </c>
      <c r="B246" t="e">
        <f>_xlfn.CONCAT(bron[[#This Row],[personeelsnr]]," ",C246," ",D246)</f>
        <v>#REF!</v>
      </c>
      <c r="C246" t="e">
        <f>VLOOKUP(bron[[#This Row],[personeelsnr]],#REF!,2,0)</f>
        <v>#REF!</v>
      </c>
      <c r="D246" t="e">
        <f>VLOOKUP(bron[[#This Row],[personeelsnr]],#REF!,3,0)</f>
        <v>#REF!</v>
      </c>
      <c r="E246" t="e">
        <f>VLOOKUP(bron[[#This Row],[personeelsnr]],#REF!,11,FALSE)</f>
        <v>#REF!</v>
      </c>
      <c r="F246">
        <v>1</v>
      </c>
    </row>
    <row r="247" spans="1:6" x14ac:dyDescent="0.25">
      <c r="A247">
        <v>36663</v>
      </c>
      <c r="B247" t="e">
        <f>_xlfn.CONCAT(bron[[#This Row],[personeelsnr]]," ",C247," ",D247)</f>
        <v>#REF!</v>
      </c>
      <c r="C247" t="e">
        <f>VLOOKUP(bron[[#This Row],[personeelsnr]],#REF!,2,0)</f>
        <v>#REF!</v>
      </c>
      <c r="D247" t="e">
        <f>VLOOKUP(bron[[#This Row],[personeelsnr]],#REF!,3,0)</f>
        <v>#REF!</v>
      </c>
      <c r="E247" t="e">
        <f>VLOOKUP(bron[[#This Row],[personeelsnr]],#REF!,11,FALSE)</f>
        <v>#REF!</v>
      </c>
      <c r="F247">
        <v>0</v>
      </c>
    </row>
    <row r="248" spans="1:6" x14ac:dyDescent="0.25">
      <c r="A248">
        <v>36663</v>
      </c>
      <c r="B248" t="e">
        <f>_xlfn.CONCAT(bron[[#This Row],[personeelsnr]]," ",C248," ",D248)</f>
        <v>#REF!</v>
      </c>
      <c r="C248" t="e">
        <f>VLOOKUP(bron[[#This Row],[personeelsnr]],#REF!,2,0)</f>
        <v>#REF!</v>
      </c>
      <c r="D248" t="e">
        <f>VLOOKUP(bron[[#This Row],[personeelsnr]],#REF!,3,0)</f>
        <v>#REF!</v>
      </c>
      <c r="E248" t="e">
        <f>VLOOKUP(bron[[#This Row],[personeelsnr]],#REF!,11,FALSE)</f>
        <v>#REF!</v>
      </c>
    </row>
    <row r="249" spans="1:6" x14ac:dyDescent="0.25">
      <c r="A249">
        <v>39379</v>
      </c>
      <c r="B249" t="e">
        <f>_xlfn.CONCAT(bron[[#This Row],[personeelsnr]]," ",C249," ",D249)</f>
        <v>#REF!</v>
      </c>
      <c r="C249" t="e">
        <f>VLOOKUP(bron[[#This Row],[personeelsnr]],#REF!,2,0)</f>
        <v>#REF!</v>
      </c>
      <c r="D249" t="e">
        <f>VLOOKUP(bron[[#This Row],[personeelsnr]],#REF!,3,0)</f>
        <v>#REF!</v>
      </c>
      <c r="E249" t="e">
        <f>VLOOKUP(bron[[#This Row],[personeelsnr]],#REF!,11,FALSE)</f>
        <v>#REF!</v>
      </c>
      <c r="F249">
        <v>1</v>
      </c>
    </row>
    <row r="250" spans="1:6" x14ac:dyDescent="0.25">
      <c r="A250">
        <v>39901</v>
      </c>
      <c r="B250" t="e">
        <f>_xlfn.CONCAT(bron[[#This Row],[personeelsnr]]," ",C250," ",D250)</f>
        <v>#REF!</v>
      </c>
      <c r="C250" t="e">
        <f>VLOOKUP(bron[[#This Row],[personeelsnr]],#REF!,2,0)</f>
        <v>#REF!</v>
      </c>
      <c r="D250" t="e">
        <f>VLOOKUP(bron[[#This Row],[personeelsnr]],#REF!,3,0)</f>
        <v>#REF!</v>
      </c>
      <c r="E250" t="e">
        <f>VLOOKUP(bron[[#This Row],[personeelsnr]],#REF!,11,FALSE)</f>
        <v>#REF!</v>
      </c>
      <c r="F250">
        <v>1</v>
      </c>
    </row>
    <row r="251" spans="1:6" x14ac:dyDescent="0.25">
      <c r="A251">
        <v>39985</v>
      </c>
      <c r="B251" t="e">
        <f>_xlfn.CONCAT(bron[[#This Row],[personeelsnr]]," ",C251," ",D251)</f>
        <v>#REF!</v>
      </c>
      <c r="C251" t="e">
        <f>VLOOKUP(bron[[#This Row],[personeelsnr]],#REF!,2,0)</f>
        <v>#REF!</v>
      </c>
      <c r="D251" t="e">
        <f>VLOOKUP(bron[[#This Row],[personeelsnr]],#REF!,3,0)</f>
        <v>#REF!</v>
      </c>
      <c r="E251" t="e">
        <f>VLOOKUP(bron[[#This Row],[personeelsnr]],#REF!,11,FALSE)</f>
        <v>#REF!</v>
      </c>
      <c r="F251">
        <v>1</v>
      </c>
    </row>
    <row r="252" spans="1:6" x14ac:dyDescent="0.25">
      <c r="A252">
        <v>40006</v>
      </c>
      <c r="B252" t="e">
        <f>_xlfn.CONCAT(bron[[#This Row],[personeelsnr]]," ",C252," ",D252)</f>
        <v>#REF!</v>
      </c>
      <c r="C252" t="e">
        <f>VLOOKUP(bron[[#This Row],[personeelsnr]],#REF!,2,0)</f>
        <v>#REF!</v>
      </c>
      <c r="D252" t="e">
        <f>VLOOKUP(bron[[#This Row],[personeelsnr]],#REF!,3,0)</f>
        <v>#REF!</v>
      </c>
      <c r="E252" t="e">
        <f>VLOOKUP(bron[[#This Row],[personeelsnr]],#REF!,11,FALSE)</f>
        <v>#REF!</v>
      </c>
      <c r="F252">
        <v>1</v>
      </c>
    </row>
    <row r="253" spans="1:6" x14ac:dyDescent="0.25">
      <c r="A253">
        <v>40278</v>
      </c>
      <c r="B253" t="e">
        <f>_xlfn.CONCAT(bron[[#This Row],[personeelsnr]]," ",C253," ",D253)</f>
        <v>#REF!</v>
      </c>
      <c r="C253" t="e">
        <f>VLOOKUP(bron[[#This Row],[personeelsnr]],#REF!,2,0)</f>
        <v>#REF!</v>
      </c>
      <c r="D253" t="e">
        <f>VLOOKUP(bron[[#This Row],[personeelsnr]],#REF!,3,0)</f>
        <v>#REF!</v>
      </c>
      <c r="E253" t="e">
        <f>VLOOKUP(bron[[#This Row],[personeelsnr]],#REF!,11,FALSE)</f>
        <v>#REF!</v>
      </c>
      <c r="F253">
        <v>1</v>
      </c>
    </row>
    <row r="254" spans="1:6" x14ac:dyDescent="0.25">
      <c r="A254">
        <v>39145</v>
      </c>
      <c r="B254" t="e">
        <f>_xlfn.CONCAT(bron[[#This Row],[personeelsnr]]," ",C254," ",D254)</f>
        <v>#REF!</v>
      </c>
      <c r="C254" t="e">
        <f>VLOOKUP(bron[[#This Row],[personeelsnr]],#REF!,2,0)</f>
        <v>#REF!</v>
      </c>
      <c r="D254" t="e">
        <f>VLOOKUP(bron[[#This Row],[personeelsnr]],#REF!,3,0)</f>
        <v>#REF!</v>
      </c>
      <c r="E254" t="e">
        <f>VLOOKUP(bron[[#This Row],[personeelsnr]],#REF!,11,FALSE)</f>
        <v>#REF!</v>
      </c>
      <c r="F254">
        <v>1</v>
      </c>
    </row>
    <row r="255" spans="1:6" x14ac:dyDescent="0.25">
      <c r="A255">
        <v>10324</v>
      </c>
      <c r="B255" t="e">
        <f>_xlfn.CONCAT(bron[[#This Row],[personeelsnr]]," ",C255," ",D255)</f>
        <v>#REF!</v>
      </c>
      <c r="C255" t="e">
        <f>VLOOKUP(bron[[#This Row],[personeelsnr]],#REF!,2,0)</f>
        <v>#REF!</v>
      </c>
      <c r="D255" t="e">
        <f>VLOOKUP(bron[[#This Row],[personeelsnr]],#REF!,3,0)</f>
        <v>#REF!</v>
      </c>
      <c r="E255" t="e">
        <f>VLOOKUP(bron[[#This Row],[personeelsnr]],#REF!,11,FALSE)</f>
        <v>#REF!</v>
      </c>
      <c r="F255">
        <v>1</v>
      </c>
    </row>
    <row r="256" spans="1:6" x14ac:dyDescent="0.25">
      <c r="A256">
        <v>12819</v>
      </c>
      <c r="B256" t="e">
        <f>_xlfn.CONCAT(bron[[#This Row],[personeelsnr]]," ",C256," ",D256)</f>
        <v>#REF!</v>
      </c>
      <c r="C256" t="e">
        <f>VLOOKUP(bron[[#This Row],[personeelsnr]],#REF!,2,0)</f>
        <v>#REF!</v>
      </c>
      <c r="D256" t="e">
        <f>VLOOKUP(bron[[#This Row],[personeelsnr]],#REF!,3,0)</f>
        <v>#REF!</v>
      </c>
      <c r="E256" t="e">
        <f>VLOOKUP(bron[[#This Row],[personeelsnr]],#REF!,11,FALSE)</f>
        <v>#REF!</v>
      </c>
      <c r="F256">
        <v>1</v>
      </c>
    </row>
    <row r="257" spans="1:6" x14ac:dyDescent="0.25">
      <c r="A257">
        <v>15219</v>
      </c>
      <c r="B257" t="e">
        <f>_xlfn.CONCAT(bron[[#This Row],[personeelsnr]]," ",C257," ",D257)</f>
        <v>#REF!</v>
      </c>
      <c r="C257" t="e">
        <f>VLOOKUP(bron[[#This Row],[personeelsnr]],#REF!,2,0)</f>
        <v>#REF!</v>
      </c>
      <c r="D257" t="e">
        <f>VLOOKUP(bron[[#This Row],[personeelsnr]],#REF!,3,0)</f>
        <v>#REF!</v>
      </c>
      <c r="E257" t="e">
        <f>VLOOKUP(bron[[#This Row],[personeelsnr]],#REF!,11,FALSE)</f>
        <v>#REF!</v>
      </c>
      <c r="F257">
        <v>1</v>
      </c>
    </row>
    <row r="258" spans="1:6" x14ac:dyDescent="0.25">
      <c r="A258">
        <v>36663</v>
      </c>
      <c r="B258" t="e">
        <f>_xlfn.CONCAT(bron[[#This Row],[personeelsnr]]," ",C258," ",D258)</f>
        <v>#REF!</v>
      </c>
      <c r="C258" t="e">
        <f>VLOOKUP(bron[[#This Row],[personeelsnr]],#REF!,2,0)</f>
        <v>#REF!</v>
      </c>
      <c r="D258" t="e">
        <f>VLOOKUP(bron[[#This Row],[personeelsnr]],#REF!,3,0)</f>
        <v>#REF!</v>
      </c>
      <c r="E258" t="e">
        <f>VLOOKUP(bron[[#This Row],[personeelsnr]],#REF!,11,FALSE)</f>
        <v>#REF!</v>
      </c>
    </row>
    <row r="259" spans="1:6" x14ac:dyDescent="0.25">
      <c r="A259">
        <v>16895</v>
      </c>
      <c r="B259" t="e">
        <f>_xlfn.CONCAT(bron[[#This Row],[personeelsnr]]," ",C259," ",D259)</f>
        <v>#REF!</v>
      </c>
      <c r="C259" t="e">
        <f>VLOOKUP(bron[[#This Row],[personeelsnr]],#REF!,2,0)</f>
        <v>#REF!</v>
      </c>
      <c r="D259" t="e">
        <f>VLOOKUP(bron[[#This Row],[personeelsnr]],#REF!,3,0)</f>
        <v>#REF!</v>
      </c>
      <c r="E259" t="e">
        <f>VLOOKUP(bron[[#This Row],[personeelsnr]],#REF!,11,FALSE)</f>
        <v>#REF!</v>
      </c>
      <c r="F259">
        <v>1</v>
      </c>
    </row>
    <row r="260" spans="1:6" x14ac:dyDescent="0.25">
      <c r="A260">
        <v>17555</v>
      </c>
      <c r="B260" t="e">
        <f>_xlfn.CONCAT(bron[[#This Row],[personeelsnr]]," ",C260," ",D260)</f>
        <v>#REF!</v>
      </c>
      <c r="C260" t="e">
        <f>VLOOKUP(bron[[#This Row],[personeelsnr]],#REF!,2,0)</f>
        <v>#REF!</v>
      </c>
      <c r="D260" t="e">
        <f>VLOOKUP(bron[[#This Row],[personeelsnr]],#REF!,3,0)</f>
        <v>#REF!</v>
      </c>
      <c r="E260" t="e">
        <f>VLOOKUP(bron[[#This Row],[personeelsnr]],#REF!,11,FALSE)</f>
        <v>#REF!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#REF!</v>
      </c>
      <c r="C261" t="e">
        <f>VLOOKUP(bron[[#This Row],[personeelsnr]],#REF!,2,0)</f>
        <v>#REF!</v>
      </c>
      <c r="D261" t="e">
        <f>VLOOKUP(bron[[#This Row],[personeelsnr]],#REF!,3,0)</f>
        <v>#REF!</v>
      </c>
      <c r="E261" t="e">
        <f>VLOOKUP(bron[[#This Row],[personeelsnr]],#REF!,11,FALSE)</f>
        <v>#REF!</v>
      </c>
      <c r="F261">
        <v>1</v>
      </c>
    </row>
    <row r="262" spans="1:6" x14ac:dyDescent="0.25">
      <c r="A262">
        <v>19766</v>
      </c>
      <c r="B262" t="e">
        <f>_xlfn.CONCAT(bron[[#This Row],[personeelsnr]]," ",C262," ",D262)</f>
        <v>#REF!</v>
      </c>
      <c r="C262" t="e">
        <f>VLOOKUP(bron[[#This Row],[personeelsnr]],#REF!,2,0)</f>
        <v>#REF!</v>
      </c>
      <c r="D262" t="e">
        <f>VLOOKUP(bron[[#This Row],[personeelsnr]],#REF!,3,0)</f>
        <v>#REF!</v>
      </c>
      <c r="E262" t="e">
        <f>VLOOKUP(bron[[#This Row],[personeelsnr]],#REF!,11,FALSE)</f>
        <v>#REF!</v>
      </c>
      <c r="F262">
        <v>1</v>
      </c>
    </row>
    <row r="263" spans="1:6" x14ac:dyDescent="0.25">
      <c r="A263">
        <v>24367</v>
      </c>
      <c r="B263" t="e">
        <f>_xlfn.CONCAT(bron[[#This Row],[personeelsnr]]," ",C263," ",D263)</f>
        <v>#REF!</v>
      </c>
      <c r="C263" t="e">
        <f>VLOOKUP(bron[[#This Row],[personeelsnr]],#REF!,2,0)</f>
        <v>#REF!</v>
      </c>
      <c r="D263" t="e">
        <f>VLOOKUP(bron[[#This Row],[personeelsnr]],#REF!,3,0)</f>
        <v>#REF!</v>
      </c>
      <c r="E263" t="e">
        <f>VLOOKUP(bron[[#This Row],[personeelsnr]],#REF!,11,FALSE)</f>
        <v>#REF!</v>
      </c>
      <c r="F263">
        <v>1</v>
      </c>
    </row>
    <row r="264" spans="1:6" x14ac:dyDescent="0.25">
      <c r="A264">
        <v>26331</v>
      </c>
      <c r="B264" t="e">
        <f>_xlfn.CONCAT(bron[[#This Row],[personeelsnr]]," ",C264," ",D264)</f>
        <v>#REF!</v>
      </c>
      <c r="C264" t="e">
        <f>VLOOKUP(bron[[#This Row],[personeelsnr]],#REF!,2,0)</f>
        <v>#REF!</v>
      </c>
      <c r="D264" t="e">
        <f>VLOOKUP(bron[[#This Row],[personeelsnr]],#REF!,3,0)</f>
        <v>#REF!</v>
      </c>
      <c r="E264" t="e">
        <f>VLOOKUP(bron[[#This Row],[personeelsnr]],#REF!,11,FALSE)</f>
        <v>#REF!</v>
      </c>
      <c r="F264">
        <v>1</v>
      </c>
    </row>
    <row r="265" spans="1:6" x14ac:dyDescent="0.25">
      <c r="A265">
        <v>28821</v>
      </c>
      <c r="B265" t="e">
        <f>_xlfn.CONCAT(bron[[#This Row],[personeelsnr]]," ",C265," ",D265)</f>
        <v>#REF!</v>
      </c>
      <c r="C265" t="e">
        <f>VLOOKUP(bron[[#This Row],[personeelsnr]],#REF!,2,0)</f>
        <v>#REF!</v>
      </c>
      <c r="D265" t="e">
        <f>VLOOKUP(bron[[#This Row],[personeelsnr]],#REF!,3,0)</f>
        <v>#REF!</v>
      </c>
      <c r="E265" t="e">
        <f>VLOOKUP(bron[[#This Row],[personeelsnr]],#REF!,11,FALSE)</f>
        <v>#REF!</v>
      </c>
      <c r="F265">
        <v>1</v>
      </c>
    </row>
    <row r="266" spans="1:6" x14ac:dyDescent="0.25">
      <c r="A266">
        <v>29181</v>
      </c>
      <c r="B266" t="e">
        <f>_xlfn.CONCAT(bron[[#This Row],[personeelsnr]]," ",C266," ",D266)</f>
        <v>#REF!</v>
      </c>
      <c r="C266" t="e">
        <f>VLOOKUP(bron[[#This Row],[personeelsnr]],#REF!,2,0)</f>
        <v>#REF!</v>
      </c>
      <c r="D266" t="e">
        <f>VLOOKUP(bron[[#This Row],[personeelsnr]],#REF!,3,0)</f>
        <v>#REF!</v>
      </c>
      <c r="E266" t="e">
        <f>VLOOKUP(bron[[#This Row],[personeelsnr]],#REF!,11,FALSE)</f>
        <v>#REF!</v>
      </c>
      <c r="F266">
        <v>1</v>
      </c>
    </row>
    <row r="267" spans="1:6" x14ac:dyDescent="0.25">
      <c r="A267">
        <v>29746</v>
      </c>
      <c r="B267" t="e">
        <f>_xlfn.CONCAT(bron[[#This Row],[personeelsnr]]," ",C267," ",D267)</f>
        <v>#REF!</v>
      </c>
      <c r="C267" t="e">
        <f>VLOOKUP(bron[[#This Row],[personeelsnr]],#REF!,2,0)</f>
        <v>#REF!</v>
      </c>
      <c r="D267" t="e">
        <f>VLOOKUP(bron[[#This Row],[personeelsnr]],#REF!,3,0)</f>
        <v>#REF!</v>
      </c>
      <c r="E267" t="e">
        <f>VLOOKUP(bron[[#This Row],[personeelsnr]],#REF!,11,FALSE)</f>
        <v>#REF!</v>
      </c>
      <c r="F267">
        <v>1</v>
      </c>
    </row>
    <row r="268" spans="1:6" x14ac:dyDescent="0.25">
      <c r="A268">
        <v>34890</v>
      </c>
      <c r="B268" t="e">
        <f>_xlfn.CONCAT(bron[[#This Row],[personeelsnr]]," ",C268," ",D268)</f>
        <v>#REF!</v>
      </c>
      <c r="C268" t="e">
        <f>VLOOKUP(bron[[#This Row],[personeelsnr]],#REF!,2,0)</f>
        <v>#REF!</v>
      </c>
      <c r="D268" t="e">
        <f>VLOOKUP(bron[[#This Row],[personeelsnr]],#REF!,3,0)</f>
        <v>#REF!</v>
      </c>
      <c r="E268" t="e">
        <f>VLOOKUP(bron[[#This Row],[personeelsnr]],#REF!,11,FALSE)</f>
        <v>#REF!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#REF!</v>
      </c>
      <c r="C269" t="e">
        <f>VLOOKUP(bron[[#This Row],[personeelsnr]],#REF!,2,0)</f>
        <v>#REF!</v>
      </c>
      <c r="D269" t="e">
        <f>VLOOKUP(bron[[#This Row],[personeelsnr]],#REF!,3,0)</f>
        <v>#REF!</v>
      </c>
      <c r="E269" t="e">
        <f>VLOOKUP(bron[[#This Row],[personeelsnr]],#REF!,11,FALSE)</f>
        <v>#REF!</v>
      </c>
      <c r="F269">
        <v>1</v>
      </c>
    </row>
    <row r="270" spans="1:6" x14ac:dyDescent="0.25">
      <c r="A270">
        <v>37496</v>
      </c>
      <c r="B270" t="e">
        <f>_xlfn.CONCAT(bron[[#This Row],[personeelsnr]]," ",C270," ",D270)</f>
        <v>#REF!</v>
      </c>
      <c r="C270" t="e">
        <f>VLOOKUP(bron[[#This Row],[personeelsnr]],#REF!,2,0)</f>
        <v>#REF!</v>
      </c>
      <c r="D270" t="e">
        <f>VLOOKUP(bron[[#This Row],[personeelsnr]],#REF!,3,0)</f>
        <v>#REF!</v>
      </c>
      <c r="E270" t="e">
        <f>VLOOKUP(bron[[#This Row],[personeelsnr]],#REF!,11,FALSE)</f>
        <v>#REF!</v>
      </c>
    </row>
    <row r="271" spans="1:6" x14ac:dyDescent="0.25">
      <c r="A271">
        <v>38551</v>
      </c>
      <c r="B271" t="e">
        <f>_xlfn.CONCAT(bron[[#This Row],[personeelsnr]]," ",C271," ",D271)</f>
        <v>#REF!</v>
      </c>
      <c r="C271" t="e">
        <f>VLOOKUP(bron[[#This Row],[personeelsnr]],#REF!,2,0)</f>
        <v>#REF!</v>
      </c>
      <c r="D271" t="e">
        <f>VLOOKUP(bron[[#This Row],[personeelsnr]],#REF!,3,0)</f>
        <v>#REF!</v>
      </c>
      <c r="E271" t="e">
        <f>VLOOKUP(bron[[#This Row],[personeelsnr]],#REF!,11,FALSE)</f>
        <v>#REF!</v>
      </c>
      <c r="F271">
        <v>1</v>
      </c>
    </row>
    <row r="272" spans="1:6" x14ac:dyDescent="0.25">
      <c r="A272">
        <v>37509</v>
      </c>
      <c r="B272" t="e">
        <f>_xlfn.CONCAT(bron[[#This Row],[personeelsnr]]," ",C272," ",D272)</f>
        <v>#REF!</v>
      </c>
      <c r="C272" t="e">
        <f>VLOOKUP(bron[[#This Row],[personeelsnr]],#REF!,2,0)</f>
        <v>#REF!</v>
      </c>
      <c r="D272" t="e">
        <f>VLOOKUP(bron[[#This Row],[personeelsnr]],#REF!,3,0)</f>
        <v>#REF!</v>
      </c>
      <c r="E272" t="e">
        <f>VLOOKUP(bron[[#This Row],[personeelsnr]],#REF!,11,FALSE)</f>
        <v>#REF!</v>
      </c>
    </row>
    <row r="273" spans="1:6" x14ac:dyDescent="0.25">
      <c r="A273">
        <v>37662</v>
      </c>
      <c r="B273" t="e">
        <f>_xlfn.CONCAT(bron[[#This Row],[personeelsnr]]," ",C273," ",D273)</f>
        <v>#REF!</v>
      </c>
      <c r="C273" t="e">
        <f>VLOOKUP(bron[[#This Row],[personeelsnr]],#REF!,2,0)</f>
        <v>#REF!</v>
      </c>
      <c r="D273" t="e">
        <f>VLOOKUP(bron[[#This Row],[personeelsnr]],#REF!,3,0)</f>
        <v>#REF!</v>
      </c>
      <c r="E273" t="e">
        <f>VLOOKUP(bron[[#This Row],[personeelsnr]],#REF!,11,FALSE)</f>
        <v>#REF!</v>
      </c>
    </row>
    <row r="274" spans="1:6" x14ac:dyDescent="0.25">
      <c r="A274">
        <v>37662</v>
      </c>
      <c r="B274" t="e">
        <f>_xlfn.CONCAT(bron[[#This Row],[personeelsnr]]," ",C274," ",D274)</f>
        <v>#REF!</v>
      </c>
      <c r="C274" t="e">
        <f>VLOOKUP(bron[[#This Row],[personeelsnr]],#REF!,2,0)</f>
        <v>#REF!</v>
      </c>
      <c r="D274" t="e">
        <f>VLOOKUP(bron[[#This Row],[personeelsnr]],#REF!,3,0)</f>
        <v>#REF!</v>
      </c>
      <c r="E274" t="e">
        <f>VLOOKUP(bron[[#This Row],[personeelsnr]],#REF!,11,FALSE)</f>
        <v>#REF!</v>
      </c>
      <c r="F274">
        <v>0</v>
      </c>
    </row>
    <row r="275" spans="1:6" x14ac:dyDescent="0.25">
      <c r="A275">
        <v>39145</v>
      </c>
      <c r="B275" t="e">
        <f>_xlfn.CONCAT(bron[[#This Row],[personeelsnr]]," ",C275," ",D275)</f>
        <v>#REF!</v>
      </c>
      <c r="C275" t="e">
        <f>VLOOKUP(bron[[#This Row],[personeelsnr]],#REF!,2,0)</f>
        <v>#REF!</v>
      </c>
      <c r="D275" t="e">
        <f>VLOOKUP(bron[[#This Row],[personeelsnr]],#REF!,3,0)</f>
        <v>#REF!</v>
      </c>
      <c r="E275" t="e">
        <f>VLOOKUP(bron[[#This Row],[personeelsnr]],#REF!,11,FALSE)</f>
        <v>#REF!</v>
      </c>
      <c r="F275">
        <v>1</v>
      </c>
    </row>
    <row r="276" spans="1:6" x14ac:dyDescent="0.25">
      <c r="A276">
        <v>4764</v>
      </c>
      <c r="B276" t="e">
        <f>_xlfn.CONCAT(bron[[#This Row],[personeelsnr]]," ",C276," ",D276)</f>
        <v>#REF!</v>
      </c>
      <c r="C276" t="e">
        <f>VLOOKUP(bron[[#This Row],[personeelsnr]],#REF!,2,0)</f>
        <v>#REF!</v>
      </c>
      <c r="D276" t="e">
        <f>VLOOKUP(bron[[#This Row],[personeelsnr]],#REF!,3,0)</f>
        <v>#REF!</v>
      </c>
      <c r="E276" t="e">
        <f>VLOOKUP(bron[[#This Row],[personeelsnr]],#REF!,11,FALSE)</f>
        <v>#REF!</v>
      </c>
      <c r="F276">
        <v>1</v>
      </c>
    </row>
    <row r="277" spans="1:6" x14ac:dyDescent="0.25">
      <c r="A277">
        <v>11508</v>
      </c>
      <c r="B277" t="e">
        <f>_xlfn.CONCAT(bron[[#This Row],[personeelsnr]]," ",C277," ",D277)</f>
        <v>#REF!</v>
      </c>
      <c r="C277" t="e">
        <f>VLOOKUP(bron[[#This Row],[personeelsnr]],#REF!,2,0)</f>
        <v>#REF!</v>
      </c>
      <c r="D277" t="e">
        <f>VLOOKUP(bron[[#This Row],[personeelsnr]],#REF!,3,0)</f>
        <v>#REF!</v>
      </c>
      <c r="E277" t="e">
        <f>VLOOKUP(bron[[#This Row],[personeelsnr]],#REF!,11,FALSE)</f>
        <v>#REF!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#REF!</v>
      </c>
      <c r="C278" t="e">
        <f>VLOOKUP(bron[[#This Row],[personeelsnr]],#REF!,2,0)</f>
        <v>#REF!</v>
      </c>
      <c r="D278" t="e">
        <f>VLOOKUP(bron[[#This Row],[personeelsnr]],#REF!,3,0)</f>
        <v>#REF!</v>
      </c>
      <c r="E278" t="e">
        <f>VLOOKUP(bron[[#This Row],[personeelsnr]],#REF!,11,FALSE)</f>
        <v>#REF!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#REF!</v>
      </c>
      <c r="C279" t="e">
        <f>VLOOKUP(bron[[#This Row],[personeelsnr]],#REF!,2,0)</f>
        <v>#REF!</v>
      </c>
      <c r="D279" t="e">
        <f>VLOOKUP(bron[[#This Row],[personeelsnr]],#REF!,3,0)</f>
        <v>#REF!</v>
      </c>
      <c r="E279" t="e">
        <f>VLOOKUP(bron[[#This Row],[personeelsnr]],#REF!,11,FALSE)</f>
        <v>#REF!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#REF!</v>
      </c>
      <c r="C280" t="e">
        <f>VLOOKUP(bron[[#This Row],[personeelsnr]],#REF!,2,0)</f>
        <v>#REF!</v>
      </c>
      <c r="D280" t="e">
        <f>VLOOKUP(bron[[#This Row],[personeelsnr]],#REF!,3,0)</f>
        <v>#REF!</v>
      </c>
      <c r="E280" t="e">
        <f>VLOOKUP(bron[[#This Row],[personeelsnr]],#REF!,11,FALSE)</f>
        <v>#REF!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#REF!</v>
      </c>
      <c r="C281" t="e">
        <f>VLOOKUP(bron[[#This Row],[personeelsnr]],#REF!,2,0)</f>
        <v>#REF!</v>
      </c>
      <c r="D281" t="e">
        <f>VLOOKUP(bron[[#This Row],[personeelsnr]],#REF!,3,0)</f>
        <v>#REF!</v>
      </c>
      <c r="E281" t="e">
        <f>VLOOKUP(bron[[#This Row],[personeelsnr]],#REF!,11,FALSE)</f>
        <v>#REF!</v>
      </c>
      <c r="F281">
        <v>1</v>
      </c>
    </row>
    <row r="282" spans="1:6" x14ac:dyDescent="0.25">
      <c r="A282">
        <v>29540</v>
      </c>
      <c r="B282" t="e">
        <f>_xlfn.CONCAT(bron[[#This Row],[personeelsnr]]," ",C282," ",D282)</f>
        <v>#REF!</v>
      </c>
      <c r="C282" t="e">
        <f>VLOOKUP(bron[[#This Row],[personeelsnr]],#REF!,2,0)</f>
        <v>#REF!</v>
      </c>
      <c r="D282" t="e">
        <f>VLOOKUP(bron[[#This Row],[personeelsnr]],#REF!,3,0)</f>
        <v>#REF!</v>
      </c>
      <c r="E282" t="e">
        <f>VLOOKUP(bron[[#This Row],[personeelsnr]],#REF!,11,FALSE)</f>
        <v>#REF!</v>
      </c>
      <c r="F282">
        <v>1</v>
      </c>
    </row>
    <row r="283" spans="1:6" x14ac:dyDescent="0.25">
      <c r="A283">
        <v>33639</v>
      </c>
      <c r="B283" t="e">
        <f>_xlfn.CONCAT(bron[[#This Row],[personeelsnr]]," ",C283," ",D283)</f>
        <v>#REF!</v>
      </c>
      <c r="C283" t="e">
        <f>VLOOKUP(bron[[#This Row],[personeelsnr]],#REF!,2,0)</f>
        <v>#REF!</v>
      </c>
      <c r="D283" t="e">
        <f>VLOOKUP(bron[[#This Row],[personeelsnr]],#REF!,3,0)</f>
        <v>#REF!</v>
      </c>
      <c r="E283" t="e">
        <f>VLOOKUP(bron[[#This Row],[personeelsnr]],#REF!,11,FALSE)</f>
        <v>#REF!</v>
      </c>
      <c r="F283">
        <v>1</v>
      </c>
    </row>
    <row r="284" spans="1:6" x14ac:dyDescent="0.25">
      <c r="A284">
        <v>37345</v>
      </c>
      <c r="B284" t="e">
        <f>_xlfn.CONCAT(bron[[#This Row],[personeelsnr]]," ",C284," ",D284)</f>
        <v>#REF!</v>
      </c>
      <c r="C284" t="e">
        <f>VLOOKUP(bron[[#This Row],[personeelsnr]],#REF!,2,0)</f>
        <v>#REF!</v>
      </c>
      <c r="D284" t="e">
        <f>VLOOKUP(bron[[#This Row],[personeelsnr]],#REF!,3,0)</f>
        <v>#REF!</v>
      </c>
      <c r="E284" t="e">
        <f>VLOOKUP(bron[[#This Row],[personeelsnr]],#REF!,11,FALSE)</f>
        <v>#REF!</v>
      </c>
      <c r="F284">
        <v>1</v>
      </c>
    </row>
    <row r="285" spans="1:6" x14ac:dyDescent="0.25">
      <c r="A285">
        <v>38013</v>
      </c>
      <c r="B285" t="e">
        <f>_xlfn.CONCAT(bron[[#This Row],[personeelsnr]]," ",C285," ",D285)</f>
        <v>#REF!</v>
      </c>
      <c r="C285" t="e">
        <f>VLOOKUP(bron[[#This Row],[personeelsnr]],#REF!,2,0)</f>
        <v>#REF!</v>
      </c>
      <c r="D285" t="e">
        <f>VLOOKUP(bron[[#This Row],[personeelsnr]],#REF!,3,0)</f>
        <v>#REF!</v>
      </c>
      <c r="E285" t="e">
        <f>VLOOKUP(bron[[#This Row],[personeelsnr]],#REF!,11,FALSE)</f>
        <v>#REF!</v>
      </c>
      <c r="F285">
        <v>1</v>
      </c>
    </row>
    <row r="286" spans="1:6" x14ac:dyDescent="0.25">
      <c r="A286">
        <v>8708</v>
      </c>
      <c r="B286" t="e">
        <f>_xlfn.CONCAT(bron[[#This Row],[personeelsnr]]," ",C286," ",D286)</f>
        <v>#REF!</v>
      </c>
      <c r="C286" t="e">
        <f>VLOOKUP(bron[[#This Row],[personeelsnr]],#REF!,2,0)</f>
        <v>#REF!</v>
      </c>
      <c r="D286" t="e">
        <f>VLOOKUP(bron[[#This Row],[personeelsnr]],#REF!,3,0)</f>
        <v>#REF!</v>
      </c>
      <c r="E286" t="e">
        <f>VLOOKUP(bron[[#This Row],[personeelsnr]],#REF!,11,FALSE)</f>
        <v>#REF!</v>
      </c>
      <c r="F286">
        <v>1</v>
      </c>
    </row>
    <row r="287" spans="1:6" x14ac:dyDescent="0.25">
      <c r="A287">
        <v>12684</v>
      </c>
      <c r="B287" t="e">
        <f>_xlfn.CONCAT(bron[[#This Row],[personeelsnr]]," ",C287," ",D287)</f>
        <v>#REF!</v>
      </c>
      <c r="C287" t="e">
        <f>VLOOKUP(bron[[#This Row],[personeelsnr]],#REF!,2,0)</f>
        <v>#REF!</v>
      </c>
      <c r="D287" t="e">
        <f>VLOOKUP(bron[[#This Row],[personeelsnr]],#REF!,3,0)</f>
        <v>#REF!</v>
      </c>
      <c r="E287" t="e">
        <f>VLOOKUP(bron[[#This Row],[personeelsnr]],#REF!,11,FALSE)</f>
        <v>#REF!</v>
      </c>
      <c r="F287">
        <v>1</v>
      </c>
    </row>
    <row r="288" spans="1:6" x14ac:dyDescent="0.25">
      <c r="A288">
        <v>15320</v>
      </c>
      <c r="B288" t="e">
        <f>_xlfn.CONCAT(bron[[#This Row],[personeelsnr]]," ",C288," ",D288)</f>
        <v>#REF!</v>
      </c>
      <c r="C288" t="e">
        <f>VLOOKUP(bron[[#This Row],[personeelsnr]],#REF!,2,0)</f>
        <v>#REF!</v>
      </c>
      <c r="D288" t="e">
        <f>VLOOKUP(bron[[#This Row],[personeelsnr]],#REF!,3,0)</f>
        <v>#REF!</v>
      </c>
      <c r="E288" t="e">
        <f>VLOOKUP(bron[[#This Row],[personeelsnr]],#REF!,11,FALSE)</f>
        <v>#REF!</v>
      </c>
      <c r="F288">
        <v>1</v>
      </c>
    </row>
    <row r="289" spans="1:6" x14ac:dyDescent="0.25">
      <c r="A289">
        <v>19691</v>
      </c>
      <c r="B289" t="e">
        <f>_xlfn.CONCAT(bron[[#This Row],[personeelsnr]]," ",C289," ",D289)</f>
        <v>#REF!</v>
      </c>
      <c r="C289" t="e">
        <f>VLOOKUP(bron[[#This Row],[personeelsnr]],#REF!,2,0)</f>
        <v>#REF!</v>
      </c>
      <c r="D289" t="e">
        <f>VLOOKUP(bron[[#This Row],[personeelsnr]],#REF!,3,0)</f>
        <v>#REF!</v>
      </c>
      <c r="E289" t="e">
        <f>VLOOKUP(bron[[#This Row],[personeelsnr]],#REF!,11,FALSE)</f>
        <v>#REF!</v>
      </c>
      <c r="F289">
        <v>1</v>
      </c>
    </row>
    <row r="290" spans="1:6" x14ac:dyDescent="0.25">
      <c r="A290">
        <v>23918</v>
      </c>
      <c r="B290" t="e">
        <f>_xlfn.CONCAT(bron[[#This Row],[personeelsnr]]," ",C290," ",D290)</f>
        <v>#REF!</v>
      </c>
      <c r="C290" t="e">
        <f>VLOOKUP(bron[[#This Row],[personeelsnr]],#REF!,2,0)</f>
        <v>#REF!</v>
      </c>
      <c r="D290" t="e">
        <f>VLOOKUP(bron[[#This Row],[personeelsnr]],#REF!,3,0)</f>
        <v>#REF!</v>
      </c>
      <c r="E290" t="e">
        <f>VLOOKUP(bron[[#This Row],[personeelsnr]],#REF!,11,FALSE)</f>
        <v>#REF!</v>
      </c>
      <c r="F290">
        <v>1</v>
      </c>
    </row>
    <row r="291" spans="1:6" x14ac:dyDescent="0.25">
      <c r="A291">
        <v>38580</v>
      </c>
      <c r="B291" t="e">
        <f>_xlfn.CONCAT(bron[[#This Row],[personeelsnr]]," ",C291," ",D291)</f>
        <v>#REF!</v>
      </c>
      <c r="C291" t="e">
        <f>VLOOKUP(bron[[#This Row],[personeelsnr]],#REF!,2,0)</f>
        <v>#REF!</v>
      </c>
      <c r="D291" t="e">
        <f>VLOOKUP(bron[[#This Row],[personeelsnr]],#REF!,3,0)</f>
        <v>#REF!</v>
      </c>
      <c r="E291" t="e">
        <f>VLOOKUP(bron[[#This Row],[personeelsnr]],#REF!,11,FALSE)</f>
        <v>#REF!</v>
      </c>
      <c r="F291">
        <v>0</v>
      </c>
    </row>
    <row r="292" spans="1:6" x14ac:dyDescent="0.25">
      <c r="A292">
        <v>31635</v>
      </c>
      <c r="B292" t="e">
        <f>_xlfn.CONCAT(bron[[#This Row],[personeelsnr]]," ",C292," ",D292)</f>
        <v>#REF!</v>
      </c>
      <c r="C292" t="e">
        <f>VLOOKUP(bron[[#This Row],[personeelsnr]],#REF!,2,0)</f>
        <v>#REF!</v>
      </c>
      <c r="D292" t="e">
        <f>VLOOKUP(bron[[#This Row],[personeelsnr]],#REF!,3,0)</f>
        <v>#REF!</v>
      </c>
      <c r="E292" t="e">
        <f>VLOOKUP(bron[[#This Row],[personeelsnr]],#REF!,11,FALSE)</f>
        <v>#REF!</v>
      </c>
      <c r="F292">
        <v>1</v>
      </c>
    </row>
    <row r="293" spans="1:6" x14ac:dyDescent="0.25">
      <c r="A293">
        <v>38807</v>
      </c>
      <c r="B293" t="e">
        <f>_xlfn.CONCAT(bron[[#This Row],[personeelsnr]]," ",C293," ",D293)</f>
        <v>#REF!</v>
      </c>
      <c r="C293" t="e">
        <f>VLOOKUP(bron[[#This Row],[personeelsnr]],#REF!,2,0)</f>
        <v>#REF!</v>
      </c>
      <c r="D293" t="e">
        <f>VLOOKUP(bron[[#This Row],[personeelsnr]],#REF!,3,0)</f>
        <v>#REF!</v>
      </c>
      <c r="E293" t="e">
        <f>VLOOKUP(bron[[#This Row],[personeelsnr]],#REF!,11,FALSE)</f>
        <v>#REF!</v>
      </c>
    </row>
    <row r="294" spans="1:6" x14ac:dyDescent="0.25">
      <c r="A294">
        <v>33488</v>
      </c>
      <c r="B294" t="e">
        <f>_xlfn.CONCAT(bron[[#This Row],[personeelsnr]]," ",C294," ",D294)</f>
        <v>#REF!</v>
      </c>
      <c r="C294" t="e">
        <f>VLOOKUP(bron[[#This Row],[personeelsnr]],#REF!,2,0)</f>
        <v>#REF!</v>
      </c>
      <c r="D294" t="e">
        <f>VLOOKUP(bron[[#This Row],[personeelsnr]],#REF!,3,0)</f>
        <v>#REF!</v>
      </c>
      <c r="E294" t="e">
        <f>VLOOKUP(bron[[#This Row],[personeelsnr]],#REF!,11,FALSE)</f>
        <v>#REF!</v>
      </c>
      <c r="F294">
        <v>1</v>
      </c>
    </row>
    <row r="295" spans="1:6" x14ac:dyDescent="0.25">
      <c r="A295">
        <v>33551</v>
      </c>
      <c r="B295" t="e">
        <f>_xlfn.CONCAT(bron[[#This Row],[personeelsnr]]," ",C295," ",D295)</f>
        <v>#REF!</v>
      </c>
      <c r="C295" t="e">
        <f>VLOOKUP(bron[[#This Row],[personeelsnr]],#REF!,2,0)</f>
        <v>#REF!</v>
      </c>
      <c r="D295" t="e">
        <f>VLOOKUP(bron[[#This Row],[personeelsnr]],#REF!,3,0)</f>
        <v>#REF!</v>
      </c>
      <c r="E295" t="e">
        <f>VLOOKUP(bron[[#This Row],[personeelsnr]],#REF!,11,FALSE)</f>
        <v>#REF!</v>
      </c>
      <c r="F295">
        <v>1</v>
      </c>
    </row>
    <row r="296" spans="1:6" x14ac:dyDescent="0.25">
      <c r="A296">
        <v>35430</v>
      </c>
      <c r="B296" t="e">
        <f>_xlfn.CONCAT(bron[[#This Row],[personeelsnr]]," ",C296," ",D296)</f>
        <v>#REF!</v>
      </c>
      <c r="C296" t="e">
        <f>VLOOKUP(bron[[#This Row],[personeelsnr]],#REF!,2,0)</f>
        <v>#REF!</v>
      </c>
      <c r="D296" t="e">
        <f>VLOOKUP(bron[[#This Row],[personeelsnr]],#REF!,3,0)</f>
        <v>#REF!</v>
      </c>
      <c r="E296" t="e">
        <f>VLOOKUP(bron[[#This Row],[personeelsnr]],#REF!,11,FALSE)</f>
        <v>#REF!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#REF!</v>
      </c>
      <c r="C297" t="e">
        <f>VLOOKUP(bron[[#This Row],[personeelsnr]],#REF!,2,0)</f>
        <v>#REF!</v>
      </c>
      <c r="D297" t="e">
        <f>VLOOKUP(bron[[#This Row],[personeelsnr]],#REF!,3,0)</f>
        <v>#REF!</v>
      </c>
      <c r="E297" t="e">
        <f>VLOOKUP(bron[[#This Row],[personeelsnr]],#REF!,11,FALSE)</f>
        <v>#REF!</v>
      </c>
      <c r="F297">
        <v>1</v>
      </c>
    </row>
    <row r="298" spans="1:6" x14ac:dyDescent="0.25">
      <c r="A298">
        <v>36354</v>
      </c>
      <c r="B298" t="e">
        <f>_xlfn.CONCAT(bron[[#This Row],[personeelsnr]]," ",C298," ",D298)</f>
        <v>#REF!</v>
      </c>
      <c r="C298" t="e">
        <f>VLOOKUP(bron[[#This Row],[personeelsnr]],#REF!,2,0)</f>
        <v>#REF!</v>
      </c>
      <c r="D298" t="e">
        <f>VLOOKUP(bron[[#This Row],[personeelsnr]],#REF!,3,0)</f>
        <v>#REF!</v>
      </c>
      <c r="E298" t="e">
        <f>VLOOKUP(bron[[#This Row],[personeelsnr]],#REF!,11,FALSE)</f>
        <v>#REF!</v>
      </c>
      <c r="F298">
        <v>1</v>
      </c>
    </row>
    <row r="299" spans="1:6" x14ac:dyDescent="0.25">
      <c r="A299">
        <v>37258</v>
      </c>
      <c r="B299" t="e">
        <f>_xlfn.CONCAT(bron[[#This Row],[personeelsnr]]," ",C299," ",D299)</f>
        <v>#REF!</v>
      </c>
      <c r="C299" t="e">
        <f>VLOOKUP(bron[[#This Row],[personeelsnr]],#REF!,2,0)</f>
        <v>#REF!</v>
      </c>
      <c r="D299" t="e">
        <f>VLOOKUP(bron[[#This Row],[personeelsnr]],#REF!,3,0)</f>
        <v>#REF!</v>
      </c>
      <c r="E299" t="e">
        <f>VLOOKUP(bron[[#This Row],[personeelsnr]],#REF!,11,FALSE)</f>
        <v>#REF!</v>
      </c>
      <c r="F299">
        <v>1</v>
      </c>
    </row>
    <row r="300" spans="1:6" x14ac:dyDescent="0.25">
      <c r="A300">
        <v>37564</v>
      </c>
      <c r="B300" t="e">
        <f>_xlfn.CONCAT(bron[[#This Row],[personeelsnr]]," ",C300," ",D300)</f>
        <v>#REF!</v>
      </c>
      <c r="C300" t="e">
        <f>VLOOKUP(bron[[#This Row],[personeelsnr]],#REF!,2,0)</f>
        <v>#REF!</v>
      </c>
      <c r="D300" t="e">
        <f>VLOOKUP(bron[[#This Row],[personeelsnr]],#REF!,3,0)</f>
        <v>#REF!</v>
      </c>
      <c r="E300" t="e">
        <f>VLOOKUP(bron[[#This Row],[personeelsnr]],#REF!,11,FALSE)</f>
        <v>#REF!</v>
      </c>
      <c r="F300">
        <v>1</v>
      </c>
    </row>
    <row r="301" spans="1:6" x14ac:dyDescent="0.25">
      <c r="A301">
        <v>9065</v>
      </c>
      <c r="B301" t="e">
        <f>_xlfn.CONCAT(bron[[#This Row],[personeelsnr]]," ",C301," ",D301)</f>
        <v>#REF!</v>
      </c>
      <c r="C301" t="e">
        <f>VLOOKUP(bron[[#This Row],[personeelsnr]],#REF!,2,0)</f>
        <v>#REF!</v>
      </c>
      <c r="D301" t="e">
        <f>VLOOKUP(bron[[#This Row],[personeelsnr]],#REF!,3,0)</f>
        <v>#REF!</v>
      </c>
      <c r="E301" t="e">
        <f>VLOOKUP(bron[[#This Row],[personeelsnr]],#REF!,11,FALSE)</f>
        <v>#REF!</v>
      </c>
      <c r="F301">
        <v>1</v>
      </c>
    </row>
    <row r="302" spans="1:6" x14ac:dyDescent="0.25">
      <c r="A302">
        <v>19810</v>
      </c>
      <c r="B302" t="e">
        <f>_xlfn.CONCAT(bron[[#This Row],[personeelsnr]]," ",C302," ",D302)</f>
        <v>#REF!</v>
      </c>
      <c r="C302" t="e">
        <f>VLOOKUP(bron[[#This Row],[personeelsnr]],#REF!,2,0)</f>
        <v>#REF!</v>
      </c>
      <c r="D302" t="e">
        <f>VLOOKUP(bron[[#This Row],[personeelsnr]],#REF!,3,0)</f>
        <v>#REF!</v>
      </c>
      <c r="E302" t="e">
        <f>VLOOKUP(bron[[#This Row],[personeelsnr]],#REF!,11,FALSE)</f>
        <v>#REF!</v>
      </c>
      <c r="F302">
        <v>1</v>
      </c>
    </row>
    <row r="303" spans="1:6" x14ac:dyDescent="0.25">
      <c r="A303">
        <v>21812</v>
      </c>
      <c r="B303" t="e">
        <f>_xlfn.CONCAT(bron[[#This Row],[personeelsnr]]," ",C303," ",D303)</f>
        <v>#REF!</v>
      </c>
      <c r="C303" t="e">
        <f>VLOOKUP(bron[[#This Row],[personeelsnr]],#REF!,2,0)</f>
        <v>#REF!</v>
      </c>
      <c r="D303" t="e">
        <f>VLOOKUP(bron[[#This Row],[personeelsnr]],#REF!,3,0)</f>
        <v>#REF!</v>
      </c>
      <c r="E303" t="e">
        <f>VLOOKUP(bron[[#This Row],[personeelsnr]],#REF!,11,FALSE)</f>
        <v>#REF!</v>
      </c>
      <c r="F303">
        <v>1</v>
      </c>
    </row>
    <row r="304" spans="1:6" x14ac:dyDescent="0.25">
      <c r="A304">
        <v>24472</v>
      </c>
      <c r="B304" t="e">
        <f>_xlfn.CONCAT(bron[[#This Row],[personeelsnr]]," ",C304," ",D304)</f>
        <v>#REF!</v>
      </c>
      <c r="C304" t="e">
        <f>VLOOKUP(bron[[#This Row],[personeelsnr]],#REF!,2,0)</f>
        <v>#REF!</v>
      </c>
      <c r="D304" t="e">
        <f>VLOOKUP(bron[[#This Row],[personeelsnr]],#REF!,3,0)</f>
        <v>#REF!</v>
      </c>
      <c r="E304" t="e">
        <f>VLOOKUP(bron[[#This Row],[personeelsnr]],#REF!,11,FALSE)</f>
        <v>#REF!</v>
      </c>
      <c r="F304">
        <v>1</v>
      </c>
    </row>
    <row r="305" spans="1:6" x14ac:dyDescent="0.25">
      <c r="A305">
        <v>31733</v>
      </c>
      <c r="B305" t="e">
        <f>_xlfn.CONCAT(bron[[#This Row],[personeelsnr]]," ",C305," ",D305)</f>
        <v>#REF!</v>
      </c>
      <c r="C305" t="e">
        <f>VLOOKUP(bron[[#This Row],[personeelsnr]],#REF!,2,0)</f>
        <v>#REF!</v>
      </c>
      <c r="D305" t="e">
        <f>VLOOKUP(bron[[#This Row],[personeelsnr]],#REF!,3,0)</f>
        <v>#REF!</v>
      </c>
      <c r="E305" t="e">
        <f>VLOOKUP(bron[[#This Row],[personeelsnr]],#REF!,11,FALSE)</f>
        <v>#REF!</v>
      </c>
      <c r="F305">
        <v>1</v>
      </c>
    </row>
    <row r="306" spans="1:6" x14ac:dyDescent="0.25">
      <c r="A306">
        <v>31776</v>
      </c>
      <c r="B306" t="e">
        <f>_xlfn.CONCAT(bron[[#This Row],[personeelsnr]]," ",C306," ",D306)</f>
        <v>#REF!</v>
      </c>
      <c r="C306" t="e">
        <f>VLOOKUP(bron[[#This Row],[personeelsnr]],#REF!,2,0)</f>
        <v>#REF!</v>
      </c>
      <c r="D306" t="e">
        <f>VLOOKUP(bron[[#This Row],[personeelsnr]],#REF!,3,0)</f>
        <v>#REF!</v>
      </c>
      <c r="E306" t="e">
        <f>VLOOKUP(bron[[#This Row],[personeelsnr]],#REF!,11,FALSE)</f>
        <v>#REF!</v>
      </c>
      <c r="F306">
        <v>1</v>
      </c>
    </row>
    <row r="307" spans="1:6" x14ac:dyDescent="0.25">
      <c r="A307">
        <v>32542</v>
      </c>
      <c r="B307" t="e">
        <f>_xlfn.CONCAT(bron[[#This Row],[personeelsnr]]," ",C307," ",D307)</f>
        <v>#REF!</v>
      </c>
      <c r="C307" t="e">
        <f>VLOOKUP(bron[[#This Row],[personeelsnr]],#REF!,2,0)</f>
        <v>#REF!</v>
      </c>
      <c r="D307" t="e">
        <f>VLOOKUP(bron[[#This Row],[personeelsnr]],#REF!,3,0)</f>
        <v>#REF!</v>
      </c>
      <c r="E307" t="e">
        <f>VLOOKUP(bron[[#This Row],[personeelsnr]],#REF!,11,FALSE)</f>
        <v>#REF!</v>
      </c>
      <c r="F307">
        <v>1</v>
      </c>
    </row>
    <row r="308" spans="1:6" x14ac:dyDescent="0.25">
      <c r="A308">
        <v>35598</v>
      </c>
      <c r="B308" t="e">
        <f>_xlfn.CONCAT(bron[[#This Row],[personeelsnr]]," ",C308," ",D308)</f>
        <v>#REF!</v>
      </c>
      <c r="C308" t="e">
        <f>VLOOKUP(bron[[#This Row],[personeelsnr]],#REF!,2,0)</f>
        <v>#REF!</v>
      </c>
      <c r="D308" t="e">
        <f>VLOOKUP(bron[[#This Row],[personeelsnr]],#REF!,3,0)</f>
        <v>#REF!</v>
      </c>
      <c r="E308" t="e">
        <f>VLOOKUP(bron[[#This Row],[personeelsnr]],#REF!,11,FALSE)</f>
        <v>#REF!</v>
      </c>
      <c r="F308">
        <v>1</v>
      </c>
    </row>
    <row r="309" spans="1:6" x14ac:dyDescent="0.25">
      <c r="A309">
        <v>37261</v>
      </c>
      <c r="B309" t="e">
        <f>_xlfn.CONCAT(bron[[#This Row],[personeelsnr]]," ",C309," ",D309)</f>
        <v>#REF!</v>
      </c>
      <c r="C309" t="e">
        <f>VLOOKUP(bron[[#This Row],[personeelsnr]],#REF!,2,0)</f>
        <v>#REF!</v>
      </c>
      <c r="D309" t="e">
        <f>VLOOKUP(bron[[#This Row],[personeelsnr]],#REF!,3,0)</f>
        <v>#REF!</v>
      </c>
      <c r="E309" t="e">
        <f>VLOOKUP(bron[[#This Row],[personeelsnr]],#REF!,11,FALSE)</f>
        <v>#REF!</v>
      </c>
      <c r="F309">
        <v>1</v>
      </c>
    </row>
    <row r="310" spans="1:6" x14ac:dyDescent="0.25">
      <c r="A310">
        <v>40393</v>
      </c>
      <c r="B310" t="e">
        <f>_xlfn.CONCAT(bron[[#This Row],[personeelsnr]]," ",C310," ",D310)</f>
        <v>#REF!</v>
      </c>
      <c r="C310" t="e">
        <f>VLOOKUP(bron[[#This Row],[personeelsnr]],#REF!,2,0)</f>
        <v>#REF!</v>
      </c>
      <c r="D310" t="e">
        <f>VLOOKUP(bron[[#This Row],[personeelsnr]],#REF!,3,0)</f>
        <v>#REF!</v>
      </c>
      <c r="E310" t="e">
        <f>VLOOKUP(bron[[#This Row],[personeelsnr]],#REF!,11,FALSE)</f>
        <v>#REF!</v>
      </c>
      <c r="F310">
        <v>1</v>
      </c>
    </row>
    <row r="311" spans="1:6" x14ac:dyDescent="0.25">
      <c r="A311">
        <v>40403</v>
      </c>
      <c r="B311" t="e">
        <f>_xlfn.CONCAT(bron[[#This Row],[personeelsnr]]," ",C311," ",D311)</f>
        <v>#REF!</v>
      </c>
      <c r="C311" t="e">
        <f>VLOOKUP(bron[[#This Row],[personeelsnr]],#REF!,2,0)</f>
        <v>#REF!</v>
      </c>
      <c r="D311" t="e">
        <f>VLOOKUP(bron[[#This Row],[personeelsnr]],#REF!,3,0)</f>
        <v>#REF!</v>
      </c>
      <c r="E311" t="e">
        <f>VLOOKUP(bron[[#This Row],[personeelsnr]],#REF!,11,FALSE)</f>
        <v>#REF!</v>
      </c>
      <c r="F311">
        <v>1</v>
      </c>
    </row>
    <row r="312" spans="1:6" x14ac:dyDescent="0.25">
      <c r="A312">
        <v>21809</v>
      </c>
      <c r="B312" t="e">
        <f>_xlfn.CONCAT(bron[[#This Row],[personeelsnr]]," ",C312," ",D312)</f>
        <v>#REF!</v>
      </c>
      <c r="C312" t="e">
        <f>VLOOKUP(bron[[#This Row],[personeelsnr]],#REF!,2,0)</f>
        <v>#REF!</v>
      </c>
      <c r="D312" t="e">
        <f>VLOOKUP(bron[[#This Row],[personeelsnr]],#REF!,3,0)</f>
        <v>#REF!</v>
      </c>
      <c r="E312" t="e">
        <f>VLOOKUP(bron[[#This Row],[personeelsnr]],#REF!,11,FALSE)</f>
        <v>#REF!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#REF!</v>
      </c>
      <c r="C313" t="e">
        <f>VLOOKUP(bron[[#This Row],[personeelsnr]],#REF!,2,0)</f>
        <v>#REF!</v>
      </c>
      <c r="D313" t="e">
        <f>VLOOKUP(bron[[#This Row],[personeelsnr]],#REF!,3,0)</f>
        <v>#REF!</v>
      </c>
      <c r="E313" t="e">
        <f>VLOOKUP(bron[[#This Row],[personeelsnr]],#REF!,11,FALSE)</f>
        <v>#REF!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#REF!</v>
      </c>
      <c r="C314" t="e">
        <f>VLOOKUP(bron[[#This Row],[personeelsnr]],#REF!,2,0)</f>
        <v>#REF!</v>
      </c>
      <c r="D314" t="e">
        <f>VLOOKUP(bron[[#This Row],[personeelsnr]],#REF!,3,0)</f>
        <v>#REF!</v>
      </c>
      <c r="E314" t="e">
        <f>VLOOKUP(bron[[#This Row],[personeelsnr]],#REF!,11,FALSE)</f>
        <v>#REF!</v>
      </c>
      <c r="F314">
        <v>1</v>
      </c>
    </row>
    <row r="315" spans="1:6" x14ac:dyDescent="0.25">
      <c r="A315">
        <v>28165</v>
      </c>
      <c r="B315" t="e">
        <f>_xlfn.CONCAT(bron[[#This Row],[personeelsnr]]," ",C315," ",D315)</f>
        <v>#REF!</v>
      </c>
      <c r="C315" t="e">
        <f>VLOOKUP(bron[[#This Row],[personeelsnr]],#REF!,2,0)</f>
        <v>#REF!</v>
      </c>
      <c r="D315" t="e">
        <f>VLOOKUP(bron[[#This Row],[personeelsnr]],#REF!,3,0)</f>
        <v>#REF!</v>
      </c>
      <c r="E315" t="e">
        <f>VLOOKUP(bron[[#This Row],[personeelsnr]],#REF!,11,FALSE)</f>
        <v>#REF!</v>
      </c>
      <c r="F315">
        <v>1</v>
      </c>
    </row>
    <row r="316" spans="1:6" x14ac:dyDescent="0.25">
      <c r="A316">
        <v>29271</v>
      </c>
      <c r="B316" t="e">
        <f>_xlfn.CONCAT(bron[[#This Row],[personeelsnr]]," ",C316," ",D316)</f>
        <v>#REF!</v>
      </c>
      <c r="C316" t="e">
        <f>VLOOKUP(bron[[#This Row],[personeelsnr]],#REF!,2,0)</f>
        <v>#REF!</v>
      </c>
      <c r="D316" t="e">
        <f>VLOOKUP(bron[[#This Row],[personeelsnr]],#REF!,3,0)</f>
        <v>#REF!</v>
      </c>
      <c r="E316" t="e">
        <f>VLOOKUP(bron[[#This Row],[personeelsnr]],#REF!,11,FALSE)</f>
        <v>#REF!</v>
      </c>
      <c r="F316">
        <v>1</v>
      </c>
    </row>
    <row r="317" spans="1:6" x14ac:dyDescent="0.25">
      <c r="A317">
        <v>29478</v>
      </c>
      <c r="B317" t="e">
        <f>_xlfn.CONCAT(bron[[#This Row],[personeelsnr]]," ",C317," ",D317)</f>
        <v>#REF!</v>
      </c>
      <c r="C317" t="e">
        <f>VLOOKUP(bron[[#This Row],[personeelsnr]],#REF!,2,0)</f>
        <v>#REF!</v>
      </c>
      <c r="D317" t="e">
        <f>VLOOKUP(bron[[#This Row],[personeelsnr]],#REF!,3,0)</f>
        <v>#REF!</v>
      </c>
      <c r="E317" t="e">
        <f>VLOOKUP(bron[[#This Row],[personeelsnr]],#REF!,11,FALSE)</f>
        <v>#REF!</v>
      </c>
      <c r="F317">
        <v>1</v>
      </c>
    </row>
    <row r="318" spans="1:6" x14ac:dyDescent="0.25">
      <c r="A318">
        <v>39532</v>
      </c>
      <c r="B318" t="e">
        <f>_xlfn.CONCAT(bron[[#This Row],[personeelsnr]]," ",C318," ",D318)</f>
        <v>#REF!</v>
      </c>
      <c r="C318" t="e">
        <f>VLOOKUP(bron[[#This Row],[personeelsnr]],#REF!,2,0)</f>
        <v>#REF!</v>
      </c>
      <c r="D318" t="e">
        <f>VLOOKUP(bron[[#This Row],[personeelsnr]],#REF!,3,0)</f>
        <v>#REF!</v>
      </c>
      <c r="E318" t="e">
        <f>VLOOKUP(bron[[#This Row],[personeelsnr]],#REF!,11,FALSE)</f>
        <v>#REF!</v>
      </c>
    </row>
    <row r="319" spans="1:6" x14ac:dyDescent="0.25">
      <c r="A319">
        <v>33982</v>
      </c>
      <c r="B319" t="e">
        <f>_xlfn.CONCAT(bron[[#This Row],[personeelsnr]]," ",C319," ",D319)</f>
        <v>#REF!</v>
      </c>
      <c r="C319" t="e">
        <f>VLOOKUP(bron[[#This Row],[personeelsnr]],#REF!,2,0)</f>
        <v>#REF!</v>
      </c>
      <c r="D319" t="e">
        <f>VLOOKUP(bron[[#This Row],[personeelsnr]],#REF!,3,0)</f>
        <v>#REF!</v>
      </c>
      <c r="E319" t="e">
        <f>VLOOKUP(bron[[#This Row],[personeelsnr]],#REF!,11,FALSE)</f>
        <v>#REF!</v>
      </c>
      <c r="F319">
        <v>1</v>
      </c>
    </row>
    <row r="320" spans="1:6" x14ac:dyDescent="0.25">
      <c r="A320">
        <v>36627</v>
      </c>
      <c r="B320" t="e">
        <f>_xlfn.CONCAT(bron[[#This Row],[personeelsnr]]," ",C320," ",D320)</f>
        <v>#REF!</v>
      </c>
      <c r="C320" t="e">
        <f>VLOOKUP(bron[[#This Row],[personeelsnr]],#REF!,2,0)</f>
        <v>#REF!</v>
      </c>
      <c r="D320" t="e">
        <f>VLOOKUP(bron[[#This Row],[personeelsnr]],#REF!,3,0)</f>
        <v>#REF!</v>
      </c>
      <c r="E320" t="e">
        <f>VLOOKUP(bron[[#This Row],[personeelsnr]],#REF!,11,FALSE)</f>
        <v>#REF!</v>
      </c>
      <c r="F320">
        <v>1</v>
      </c>
    </row>
    <row r="321" spans="1:6" x14ac:dyDescent="0.25">
      <c r="A321">
        <v>37226</v>
      </c>
      <c r="B321" t="e">
        <f>_xlfn.CONCAT(bron[[#This Row],[personeelsnr]]," ",C321," ",D321)</f>
        <v>#REF!</v>
      </c>
      <c r="C321" t="e">
        <f>VLOOKUP(bron[[#This Row],[personeelsnr]],#REF!,2,0)</f>
        <v>#REF!</v>
      </c>
      <c r="D321" t="e">
        <f>VLOOKUP(bron[[#This Row],[personeelsnr]],#REF!,3,0)</f>
        <v>#REF!</v>
      </c>
      <c r="E321" t="e">
        <f>VLOOKUP(bron[[#This Row],[personeelsnr]],#REF!,11,FALSE)</f>
        <v>#REF!</v>
      </c>
      <c r="F321">
        <v>1</v>
      </c>
    </row>
    <row r="322" spans="1:6" x14ac:dyDescent="0.25">
      <c r="A322">
        <v>39146</v>
      </c>
      <c r="B322" t="e">
        <f>_xlfn.CONCAT(bron[[#This Row],[personeelsnr]]," ",C322," ",D322)</f>
        <v>#REF!</v>
      </c>
      <c r="C322" t="e">
        <f>VLOOKUP(bron[[#This Row],[personeelsnr]],#REF!,2,0)</f>
        <v>#REF!</v>
      </c>
      <c r="D322" t="e">
        <f>VLOOKUP(bron[[#This Row],[personeelsnr]],#REF!,3,0)</f>
        <v>#REF!</v>
      </c>
      <c r="E322" t="e">
        <f>VLOOKUP(bron[[#This Row],[personeelsnr]],#REF!,11,FALSE)</f>
        <v>#REF!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#REF!</v>
      </c>
      <c r="C323" t="e">
        <f>VLOOKUP(bron[[#This Row],[personeelsnr]],#REF!,2,0)</f>
        <v>#REF!</v>
      </c>
      <c r="D323" t="e">
        <f>VLOOKUP(bron[[#This Row],[personeelsnr]],#REF!,3,0)</f>
        <v>#REF!</v>
      </c>
      <c r="E323" t="e">
        <f>VLOOKUP(bron[[#This Row],[personeelsnr]],#REF!,11,FALSE)</f>
        <v>#REF!</v>
      </c>
      <c r="F323">
        <v>1</v>
      </c>
    </row>
    <row r="324" spans="1:6" x14ac:dyDescent="0.25">
      <c r="A324">
        <v>39581</v>
      </c>
      <c r="B324" t="e">
        <f>_xlfn.CONCAT(bron[[#This Row],[personeelsnr]]," ",C324," ",D324)</f>
        <v>#REF!</v>
      </c>
      <c r="C324" t="e">
        <f>VLOOKUP(bron[[#This Row],[personeelsnr]],#REF!,2,0)</f>
        <v>#REF!</v>
      </c>
      <c r="D324" t="e">
        <f>VLOOKUP(bron[[#This Row],[personeelsnr]],#REF!,3,0)</f>
        <v>#REF!</v>
      </c>
      <c r="E324" t="e">
        <f>VLOOKUP(bron[[#This Row],[personeelsnr]],#REF!,11,FALSE)</f>
        <v>#REF!</v>
      </c>
      <c r="F324">
        <v>0</v>
      </c>
    </row>
    <row r="325" spans="1:6" x14ac:dyDescent="0.25">
      <c r="A325">
        <v>39858</v>
      </c>
      <c r="B325" t="e">
        <f>_xlfn.CONCAT(bron[[#This Row],[personeelsnr]]," ",C325," ",D325)</f>
        <v>#REF!</v>
      </c>
      <c r="C325" t="e">
        <f>VLOOKUP(bron[[#This Row],[personeelsnr]],#REF!,2,0)</f>
        <v>#REF!</v>
      </c>
      <c r="D325" t="e">
        <f>VLOOKUP(bron[[#This Row],[personeelsnr]],#REF!,3,0)</f>
        <v>#REF!</v>
      </c>
      <c r="E325" t="e">
        <f>VLOOKUP(bron[[#This Row],[personeelsnr]],#REF!,11,FALSE)</f>
        <v>#REF!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#REF!</v>
      </c>
      <c r="C326" t="e">
        <f>VLOOKUP(bron[[#This Row],[personeelsnr]],#REF!,2,0)</f>
        <v>#REF!</v>
      </c>
      <c r="D326" t="e">
        <f>VLOOKUP(bron[[#This Row],[personeelsnr]],#REF!,3,0)</f>
        <v>#REF!</v>
      </c>
      <c r="E326" t="e">
        <f>VLOOKUP(bron[[#This Row],[personeelsnr]],#REF!,11,FALSE)</f>
        <v>#REF!</v>
      </c>
    </row>
    <row r="327" spans="1:6" x14ac:dyDescent="0.25">
      <c r="A327">
        <v>35619</v>
      </c>
      <c r="B327" t="e">
        <f>_xlfn.CONCAT(bron[[#This Row],[personeelsnr]]," ",C327," ",D327)</f>
        <v>#REF!</v>
      </c>
      <c r="C327" t="e">
        <f>VLOOKUP(bron[[#This Row],[personeelsnr]],#REF!,2,0)</f>
        <v>#REF!</v>
      </c>
      <c r="D327" t="e">
        <f>VLOOKUP(bron[[#This Row],[personeelsnr]],#REF!,3,0)</f>
        <v>#REF!</v>
      </c>
      <c r="E327" t="e">
        <f>VLOOKUP(bron[[#This Row],[personeelsnr]],#REF!,11,FALSE)</f>
        <v>#REF!</v>
      </c>
      <c r="F327">
        <v>0</v>
      </c>
    </row>
    <row r="328" spans="1:6" x14ac:dyDescent="0.25">
      <c r="A328">
        <v>39712</v>
      </c>
      <c r="B328" t="e">
        <f>_xlfn.CONCAT(bron[[#This Row],[personeelsnr]]," ",C328," ",D328)</f>
        <v>#REF!</v>
      </c>
      <c r="C328" t="e">
        <f>VLOOKUP(bron[[#This Row],[personeelsnr]],#REF!,2,0)</f>
        <v>#REF!</v>
      </c>
      <c r="D328" t="e">
        <f>VLOOKUP(bron[[#This Row],[personeelsnr]],#REF!,3,0)</f>
        <v>#REF!</v>
      </c>
      <c r="E328" t="e">
        <f>VLOOKUP(bron[[#This Row],[personeelsnr]],#REF!,11,FALSE)</f>
        <v>#REF!</v>
      </c>
      <c r="F328">
        <v>0</v>
      </c>
    </row>
    <row r="329" spans="1:6" x14ac:dyDescent="0.25">
      <c r="A329">
        <v>38731</v>
      </c>
      <c r="B329" t="e">
        <f>_xlfn.CONCAT(bron[[#This Row],[personeelsnr]]," ",C329," ",D329)</f>
        <v>#REF!</v>
      </c>
      <c r="C329" t="e">
        <f>VLOOKUP(bron[[#This Row],[personeelsnr]],#REF!,2,0)</f>
        <v>#REF!</v>
      </c>
      <c r="D329" t="e">
        <f>VLOOKUP(bron[[#This Row],[personeelsnr]],#REF!,3,0)</f>
        <v>#REF!</v>
      </c>
      <c r="E329" t="e">
        <f>VLOOKUP(bron[[#This Row],[personeelsnr]],#REF!,11,FALSE)</f>
        <v>#REF!</v>
      </c>
      <c r="F329">
        <v>0</v>
      </c>
    </row>
    <row r="330" spans="1:6" x14ac:dyDescent="0.25">
      <c r="A330">
        <v>27672</v>
      </c>
      <c r="B330" t="e">
        <f>_xlfn.CONCAT(bron[[#This Row],[personeelsnr]]," ",C330," ",D330)</f>
        <v>#REF!</v>
      </c>
      <c r="C330" t="e">
        <f>VLOOKUP(bron[[#This Row],[personeelsnr]],#REF!,2,0)</f>
        <v>#REF!</v>
      </c>
      <c r="D330" t="e">
        <f>VLOOKUP(bron[[#This Row],[personeelsnr]],#REF!,3,0)</f>
        <v>#REF!</v>
      </c>
      <c r="E330" t="e">
        <f>VLOOKUP(bron[[#This Row],[personeelsnr]],#REF!,11,FALSE)</f>
        <v>#REF!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#REF!</v>
      </c>
      <c r="C331" t="e">
        <f>VLOOKUP(bron[[#This Row],[personeelsnr]],#REF!,2,0)</f>
        <v>#REF!</v>
      </c>
      <c r="D331" t="e">
        <f>VLOOKUP(bron[[#This Row],[personeelsnr]],#REF!,3,0)</f>
        <v>#REF!</v>
      </c>
      <c r="E331" t="e">
        <f>VLOOKUP(bron[[#This Row],[personeelsnr]],#REF!,11,FALSE)</f>
        <v>#REF!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2923</v>
      </c>
      <c r="D332" t="s">
        <v>2923</v>
      </c>
      <c r="E332" t="s">
        <v>221</v>
      </c>
    </row>
    <row r="333" spans="1:6" x14ac:dyDescent="0.25">
      <c r="A333">
        <v>25679</v>
      </c>
      <c r="B333" t="e">
        <f>_xlfn.CONCAT(bron[[#This Row],[personeelsnr]]," ",C333," ",D333)</f>
        <v>#REF!</v>
      </c>
      <c r="C333" t="e">
        <f>VLOOKUP(bron[[#This Row],[personeelsnr]],#REF!,2,0)</f>
        <v>#REF!</v>
      </c>
      <c r="D333" t="e">
        <f>VLOOKUP(bron[[#This Row],[personeelsnr]],#REF!,3,0)</f>
        <v>#REF!</v>
      </c>
      <c r="E333" t="e">
        <f>VLOOKUP(bron[[#This Row],[personeelsnr]],#REF!,11,FALSE)</f>
        <v>#REF!</v>
      </c>
    </row>
    <row r="334" spans="1:6" x14ac:dyDescent="0.25">
      <c r="A334">
        <v>38740</v>
      </c>
      <c r="B334" t="e">
        <f>_xlfn.CONCAT(bron[[#This Row],[personeelsnr]]," ",C334," ",D334)</f>
        <v>#REF!</v>
      </c>
      <c r="C334" t="e">
        <f>VLOOKUP(bron[[#This Row],[personeelsnr]],#REF!,2,0)</f>
        <v>#REF!</v>
      </c>
      <c r="D334" t="e">
        <f>VLOOKUP(bron[[#This Row],[personeelsnr]],#REF!,3,0)</f>
        <v>#REF!</v>
      </c>
      <c r="E334" t="e">
        <f>VLOOKUP(bron[[#This Row],[personeelsnr]],#REF!,11,FALSE)</f>
        <v>#REF!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#REF!</v>
      </c>
      <c r="C335" t="e">
        <f>VLOOKUP(bron[[#This Row],[personeelsnr]],#REF!,2,0)</f>
        <v>#REF!</v>
      </c>
      <c r="D335" t="e">
        <f>VLOOKUP(bron[[#This Row],[personeelsnr]],#REF!,3,0)</f>
        <v>#REF!</v>
      </c>
      <c r="E335" t="e">
        <f>VLOOKUP(bron[[#This Row],[personeelsnr]],#REF!,11,FALSE)</f>
        <v>#REF!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885</v>
      </c>
      <c r="D336" t="s">
        <v>886</v>
      </c>
      <c r="E336" t="s">
        <v>4</v>
      </c>
    </row>
    <row r="337" spans="1:6" x14ac:dyDescent="0.25">
      <c r="A337">
        <v>38035</v>
      </c>
      <c r="B337" t="e">
        <f>_xlfn.CONCAT(bron[[#This Row],[personeelsnr]]," ",C337," ",D337)</f>
        <v>#REF!</v>
      </c>
      <c r="C337" t="e">
        <f>VLOOKUP(bron[[#This Row],[personeelsnr]],#REF!,2,0)</f>
        <v>#REF!</v>
      </c>
      <c r="D337" t="e">
        <f>VLOOKUP(bron[[#This Row],[personeelsnr]],#REF!,3,0)</f>
        <v>#REF!</v>
      </c>
      <c r="E337" t="e">
        <f>VLOOKUP(bron[[#This Row],[personeelsnr]],#REF!,11,FALSE)</f>
        <v>#REF!</v>
      </c>
      <c r="F337">
        <v>0</v>
      </c>
    </row>
    <row r="338" spans="1:6" x14ac:dyDescent="0.25">
      <c r="A338">
        <v>40055</v>
      </c>
      <c r="B338" t="e">
        <f>_xlfn.CONCAT(bron[[#This Row],[personeelsnr]]," ",C338," ",D338)</f>
        <v>#REF!</v>
      </c>
      <c r="C338" t="e">
        <f>VLOOKUP(bron[[#This Row],[personeelsnr]],#REF!,2,0)</f>
        <v>#REF!</v>
      </c>
      <c r="D338" t="e">
        <f>VLOOKUP(bron[[#This Row],[personeelsnr]],#REF!,3,0)</f>
        <v>#REF!</v>
      </c>
      <c r="E338" t="e">
        <f>VLOOKUP(bron[[#This Row],[personeelsnr]],#REF!,11,FALSE)</f>
        <v>#REF!</v>
      </c>
      <c r="F338">
        <v>0</v>
      </c>
    </row>
    <row r="339" spans="1:6" x14ac:dyDescent="0.25">
      <c r="A339">
        <v>40138</v>
      </c>
      <c r="B339" t="e">
        <f>_xlfn.CONCAT(bron[[#This Row],[personeelsnr]]," ",C339," ",D339)</f>
        <v>#REF!</v>
      </c>
      <c r="C339" t="e">
        <f>VLOOKUP(bron[[#This Row],[personeelsnr]],#REF!,2,0)</f>
        <v>#REF!</v>
      </c>
      <c r="D339" t="e">
        <f>VLOOKUP(bron[[#This Row],[personeelsnr]],#REF!,3,0)</f>
        <v>#REF!</v>
      </c>
      <c r="E339" t="e">
        <f>VLOOKUP(bron[[#This Row],[personeelsnr]],#REF!,11,FALSE)</f>
        <v>#REF!</v>
      </c>
    </row>
    <row r="340" spans="1:6" x14ac:dyDescent="0.25">
      <c r="A340">
        <v>40138</v>
      </c>
      <c r="B340" t="e">
        <f>_xlfn.CONCAT(bron[[#This Row],[personeelsnr]]," ",C340," ",D340)</f>
        <v>#REF!</v>
      </c>
      <c r="C340" t="e">
        <f>VLOOKUP(bron[[#This Row],[personeelsnr]],#REF!,2,0)</f>
        <v>#REF!</v>
      </c>
      <c r="D340" t="e">
        <f>VLOOKUP(bron[[#This Row],[personeelsnr]],#REF!,3,0)</f>
        <v>#REF!</v>
      </c>
      <c r="E340" t="e">
        <f>VLOOKUP(bron[[#This Row],[personeelsnr]],#REF!,11,FALSE)</f>
        <v>#REF!</v>
      </c>
    </row>
    <row r="341" spans="1:6" x14ac:dyDescent="0.25">
      <c r="A341">
        <v>40138</v>
      </c>
      <c r="B341" t="e">
        <f>_xlfn.CONCAT(bron[[#This Row],[personeelsnr]]," ",C341," ",D341)</f>
        <v>#REF!</v>
      </c>
      <c r="C341" t="e">
        <f>VLOOKUP(bron[[#This Row],[personeelsnr]],#REF!,2,0)</f>
        <v>#REF!</v>
      </c>
      <c r="D341" t="e">
        <f>VLOOKUP(bron[[#This Row],[personeelsnr]],#REF!,3,0)</f>
        <v>#REF!</v>
      </c>
      <c r="E341" t="e">
        <f>VLOOKUP(bron[[#This Row],[personeelsnr]],#REF!,11,FALSE)</f>
        <v>#REF!</v>
      </c>
    </row>
    <row r="342" spans="1:6" x14ac:dyDescent="0.25">
      <c r="A342">
        <v>40138</v>
      </c>
      <c r="B342" t="e">
        <f>_xlfn.CONCAT(bron[[#This Row],[personeelsnr]]," ",C342," ",D342)</f>
        <v>#REF!</v>
      </c>
      <c r="C342" t="e">
        <f>VLOOKUP(bron[[#This Row],[personeelsnr]],#REF!,2,0)</f>
        <v>#REF!</v>
      </c>
      <c r="D342" t="e">
        <f>VLOOKUP(bron[[#This Row],[personeelsnr]],#REF!,3,0)</f>
        <v>#REF!</v>
      </c>
      <c r="E342" t="e">
        <f>VLOOKUP(bron[[#This Row],[personeelsnr]],#REF!,11,FALSE)</f>
        <v>#REF!</v>
      </c>
    </row>
    <row r="343" spans="1:6" x14ac:dyDescent="0.25">
      <c r="A343">
        <v>35645</v>
      </c>
      <c r="B343" t="e">
        <f>_xlfn.CONCAT(bron[[#This Row],[personeelsnr]]," ",C343," ",D343)</f>
        <v>#REF!</v>
      </c>
      <c r="C343" t="e">
        <f>VLOOKUP(bron[[#This Row],[personeelsnr]],#REF!,2,0)</f>
        <v>#REF!</v>
      </c>
      <c r="D343" t="e">
        <f>VLOOKUP(bron[[#This Row],[personeelsnr]],#REF!,3,0)</f>
        <v>#REF!</v>
      </c>
      <c r="E343" t="e">
        <f>VLOOKUP(bron[[#This Row],[personeelsnr]],#REF!,11,FALSE)</f>
        <v>#REF!</v>
      </c>
    </row>
    <row r="344" spans="1:6" x14ac:dyDescent="0.25">
      <c r="A344">
        <v>40223</v>
      </c>
      <c r="B344" t="e">
        <f>_xlfn.CONCAT(bron[[#This Row],[personeelsnr]]," ",C344," ",D344)</f>
        <v>#REF!</v>
      </c>
      <c r="C344" t="e">
        <f>VLOOKUP(bron[[#This Row],[personeelsnr]],#REF!,2,0)</f>
        <v>#REF!</v>
      </c>
      <c r="D344" t="e">
        <f>VLOOKUP(bron[[#This Row],[personeelsnr]],#REF!,3,0)</f>
        <v>#REF!</v>
      </c>
      <c r="E344" t="e">
        <f>VLOOKUP(bron[[#This Row],[personeelsnr]],#REF!,11,FALSE)</f>
        <v>#REF!</v>
      </c>
    </row>
    <row r="345" spans="1:6" x14ac:dyDescent="0.25">
      <c r="A345">
        <v>36820</v>
      </c>
      <c r="B345" t="e">
        <f>_xlfn.CONCAT(bron[[#This Row],[personeelsnr]]," ",C345," ",D345)</f>
        <v>#REF!</v>
      </c>
      <c r="C345" t="e">
        <f>VLOOKUP(bron[[#This Row],[personeelsnr]],#REF!,2,0)</f>
        <v>#REF!</v>
      </c>
      <c r="D345" t="e">
        <f>VLOOKUP(bron[[#This Row],[personeelsnr]],#REF!,3,0)</f>
        <v>#REF!</v>
      </c>
      <c r="E345" t="e">
        <f>VLOOKUP(bron[[#This Row],[personeelsnr]],#REF!,11,FALSE)</f>
        <v>#REF!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#REF!</v>
      </c>
      <c r="C346" t="e">
        <f>VLOOKUP(bron[[#This Row],[personeelsnr]],#REF!,2,0)</f>
        <v>#REF!</v>
      </c>
      <c r="D346" t="e">
        <f>VLOOKUP(bron[[#This Row],[personeelsnr]],#REF!,3,0)</f>
        <v>#REF!</v>
      </c>
      <c r="E346" t="e">
        <f>VLOOKUP(bron[[#This Row],[personeelsnr]],#REF!,11,FALSE)</f>
        <v>#REF!</v>
      </c>
    </row>
    <row r="347" spans="1:6" x14ac:dyDescent="0.25">
      <c r="A347">
        <v>24155</v>
      </c>
      <c r="B347" t="e">
        <f>_xlfn.CONCAT(bron[[#This Row],[personeelsnr]]," ",C347," ",D347)</f>
        <v>#REF!</v>
      </c>
      <c r="C347" t="e">
        <f>VLOOKUP(bron[[#This Row],[personeelsnr]],#REF!,2,0)</f>
        <v>#REF!</v>
      </c>
      <c r="D347" t="e">
        <f>VLOOKUP(bron[[#This Row],[personeelsnr]],#REF!,3,0)</f>
        <v>#REF!</v>
      </c>
      <c r="E347" t="e">
        <f>VLOOKUP(bron[[#This Row],[personeelsnr]],#REF!,11,FALSE)</f>
        <v>#REF!</v>
      </c>
      <c r="F347">
        <v>0</v>
      </c>
    </row>
    <row r="348" spans="1:6" x14ac:dyDescent="0.25">
      <c r="A348">
        <v>40443</v>
      </c>
      <c r="B348" t="e">
        <f>_xlfn.CONCAT(bron[[#This Row],[personeelsnr]]," ",C348," ",D348)</f>
        <v>#REF!</v>
      </c>
      <c r="C348" t="e">
        <f>VLOOKUP(bron[[#This Row],[personeelsnr]],#REF!,2,0)</f>
        <v>#REF!</v>
      </c>
      <c r="D348" t="e">
        <f>VLOOKUP(bron[[#This Row],[personeelsnr]],#REF!,3,0)</f>
        <v>#REF!</v>
      </c>
      <c r="E348" t="e">
        <f>VLOOKUP(bron[[#This Row],[personeelsnr]],#REF!,11,FALSE)</f>
        <v>#REF!</v>
      </c>
      <c r="F348">
        <v>0</v>
      </c>
    </row>
    <row r="349" spans="1:6" x14ac:dyDescent="0.25">
      <c r="A349">
        <v>40444</v>
      </c>
      <c r="B349" t="e">
        <f>_xlfn.CONCAT(bron[[#This Row],[personeelsnr]]," ",C349," ",D349)</f>
        <v>#REF!</v>
      </c>
      <c r="C349" t="e">
        <f>VLOOKUP(bron[[#This Row],[personeelsnr]],#REF!,2,0)</f>
        <v>#REF!</v>
      </c>
      <c r="D349" t="e">
        <f>VLOOKUP(bron[[#This Row],[personeelsnr]],#REF!,3,0)</f>
        <v>#REF!</v>
      </c>
      <c r="E349" t="e">
        <f>VLOOKUP(bron[[#This Row],[personeelsnr]],#REF!,11,FALSE)</f>
        <v>#REF!</v>
      </c>
      <c r="F349">
        <v>0</v>
      </c>
    </row>
    <row r="350" spans="1:6" x14ac:dyDescent="0.25">
      <c r="A350">
        <v>40591</v>
      </c>
      <c r="B350" t="e">
        <f>_xlfn.CONCAT(bron[[#This Row],[personeelsnr]]," ",C350," ",D350)</f>
        <v>#REF!</v>
      </c>
      <c r="C350" t="e">
        <f>VLOOKUP(bron[[#This Row],[personeelsnr]],#REF!,2,0)</f>
        <v>#REF!</v>
      </c>
      <c r="D350" t="e">
        <f>VLOOKUP(bron[[#This Row],[personeelsnr]],#REF!,3,0)</f>
        <v>#REF!</v>
      </c>
      <c r="E350" t="e">
        <f>VLOOKUP(bron[[#This Row],[personeelsnr]],#REF!,11,FALSE)</f>
        <v>#REF!</v>
      </c>
    </row>
    <row r="351" spans="1:6" x14ac:dyDescent="0.25">
      <c r="A351">
        <v>40591</v>
      </c>
      <c r="B351" t="e">
        <f>_xlfn.CONCAT(bron[[#This Row],[personeelsnr]]," ",C351," ",D351)</f>
        <v>#REF!</v>
      </c>
      <c r="C351" t="e">
        <f>VLOOKUP(bron[[#This Row],[personeelsnr]],#REF!,2,0)</f>
        <v>#REF!</v>
      </c>
      <c r="D351" t="e">
        <f>VLOOKUP(bron[[#This Row],[personeelsnr]],#REF!,3,0)</f>
        <v>#REF!</v>
      </c>
      <c r="E351" t="e">
        <f>VLOOKUP(bron[[#This Row],[personeelsnr]],#REF!,11,FALSE)</f>
        <v>#REF!</v>
      </c>
      <c r="F351">
        <v>0</v>
      </c>
    </row>
    <row r="352" spans="1:6" x14ac:dyDescent="0.25">
      <c r="A352">
        <v>40652</v>
      </c>
      <c r="B352" t="e">
        <f>_xlfn.CONCAT(bron[[#This Row],[personeelsnr]]," ",C352," ",D352)</f>
        <v>#REF!</v>
      </c>
      <c r="C352" t="e">
        <f>VLOOKUP(bron[[#This Row],[personeelsnr]],#REF!,2,0)</f>
        <v>#REF!</v>
      </c>
      <c r="D352" t="e">
        <f>VLOOKUP(bron[[#This Row],[personeelsnr]],#REF!,3,0)</f>
        <v>#REF!</v>
      </c>
      <c r="E352" t="e">
        <f>VLOOKUP(bron[[#This Row],[personeelsnr]],#REF!,11,FALSE)</f>
        <v>#REF!</v>
      </c>
    </row>
    <row r="353" spans="1:6" x14ac:dyDescent="0.25">
      <c r="A353">
        <v>40652</v>
      </c>
      <c r="B353" t="e">
        <f>_xlfn.CONCAT(bron[[#This Row],[personeelsnr]]," ",C353," ",D353)</f>
        <v>#REF!</v>
      </c>
      <c r="C353" t="e">
        <f>VLOOKUP(bron[[#This Row],[personeelsnr]],#REF!,2,0)</f>
        <v>#REF!</v>
      </c>
      <c r="D353" t="e">
        <f>VLOOKUP(bron[[#This Row],[personeelsnr]],#REF!,3,0)</f>
        <v>#REF!</v>
      </c>
      <c r="E353" t="e">
        <f>VLOOKUP(bron[[#This Row],[personeelsnr]],#REF!,11,FALSE)</f>
        <v>#REF!</v>
      </c>
    </row>
    <row r="354" spans="1:6" x14ac:dyDescent="0.25">
      <c r="A354">
        <v>32002</v>
      </c>
      <c r="B354" t="e">
        <f>_xlfn.CONCAT(bron[[#This Row],[personeelsnr]]," ",C354," ",D354)</f>
        <v>#REF!</v>
      </c>
      <c r="C354" t="e">
        <f>VLOOKUP(bron[[#This Row],[personeelsnr]],#REF!,2,0)</f>
        <v>#REF!</v>
      </c>
      <c r="D354" t="e">
        <f>VLOOKUP(bron[[#This Row],[personeelsnr]],#REF!,3,0)</f>
        <v>#REF!</v>
      </c>
      <c r="E354" t="e">
        <f>VLOOKUP(bron[[#This Row],[personeelsnr]],#REF!,11,FALSE)</f>
        <v>#REF!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#REF!</v>
      </c>
      <c r="C355" t="e">
        <f>VLOOKUP(bron[[#This Row],[personeelsnr]],#REF!,2,0)</f>
        <v>#REF!</v>
      </c>
      <c r="D355" t="e">
        <f>VLOOKUP(bron[[#This Row],[personeelsnr]],#REF!,3,0)</f>
        <v>#REF!</v>
      </c>
      <c r="E355" t="e">
        <f>VLOOKUP(bron[[#This Row],[personeelsnr]],#REF!,11,FALSE)</f>
        <v>#REF!</v>
      </c>
    </row>
    <row r="356" spans="1:6" x14ac:dyDescent="0.25">
      <c r="A356">
        <v>40744</v>
      </c>
      <c r="B356" t="e">
        <f>_xlfn.CONCAT(bron[[#This Row],[personeelsnr]]," ",C356," ",D356)</f>
        <v>#REF!</v>
      </c>
      <c r="C356" t="e">
        <f>VLOOKUP(bron[[#This Row],[personeelsnr]],#REF!,2,0)</f>
        <v>#REF!</v>
      </c>
      <c r="D356" t="e">
        <f>VLOOKUP(bron[[#This Row],[personeelsnr]],#REF!,3,0)</f>
        <v>#REF!</v>
      </c>
      <c r="E356" t="e">
        <f>VLOOKUP(bron[[#This Row],[personeelsnr]],#REF!,11,FALSE)</f>
        <v>#REF!</v>
      </c>
    </row>
    <row r="357" spans="1:6" x14ac:dyDescent="0.25">
      <c r="A357">
        <v>33085</v>
      </c>
      <c r="B357" t="e">
        <f>_xlfn.CONCAT(bron[[#This Row],[personeelsnr]]," ",C357," ",D357)</f>
        <v>#REF!</v>
      </c>
      <c r="C357" t="e">
        <f>VLOOKUP(bron[[#This Row],[personeelsnr]],#REF!,2,0)</f>
        <v>#REF!</v>
      </c>
      <c r="D357" t="e">
        <f>VLOOKUP(bron[[#This Row],[personeelsnr]],#REF!,3,0)</f>
        <v>#REF!</v>
      </c>
      <c r="E357" t="e">
        <f>VLOOKUP(bron[[#This Row],[personeelsnr]],#REF!,11,FALSE)</f>
        <v>#REF!</v>
      </c>
      <c r="F357">
        <v>0</v>
      </c>
    </row>
    <row r="358" spans="1:6" x14ac:dyDescent="0.25">
      <c r="A358">
        <v>39856</v>
      </c>
      <c r="B358" t="e">
        <f>_xlfn.CONCAT(bron[[#This Row],[personeelsnr]]," ",C358," ",D358)</f>
        <v>#REF!</v>
      </c>
      <c r="C358" t="e">
        <f>VLOOKUP(bron[[#This Row],[personeelsnr]],#REF!,2,0)</f>
        <v>#REF!</v>
      </c>
      <c r="D358" t="e">
        <f>VLOOKUP(bron[[#This Row],[personeelsnr]],#REF!,3,0)</f>
        <v>#REF!</v>
      </c>
      <c r="E358" t="e">
        <f>VLOOKUP(bron[[#This Row],[personeelsnr]],#REF!,11,FALSE)</f>
        <v>#REF!</v>
      </c>
      <c r="F358">
        <v>0</v>
      </c>
    </row>
    <row r="359" spans="1:6" x14ac:dyDescent="0.25">
      <c r="A359">
        <v>40856</v>
      </c>
      <c r="B359" t="e">
        <f>_xlfn.CONCAT(bron[[#This Row],[personeelsnr]]," ",C359," ",D359)</f>
        <v>#REF!</v>
      </c>
      <c r="C359" t="e">
        <f>VLOOKUP(bron[[#This Row],[personeelsnr]],#REF!,2,0)</f>
        <v>#REF!</v>
      </c>
      <c r="D359" t="e">
        <f>VLOOKUP(bron[[#This Row],[personeelsnr]],#REF!,3,0)</f>
        <v>#REF!</v>
      </c>
      <c r="E359" t="e">
        <f>VLOOKUP(bron[[#This Row],[personeelsnr]],#REF!,11,FALSE)</f>
        <v>#REF!</v>
      </c>
    </row>
    <row r="360" spans="1:6" x14ac:dyDescent="0.25">
      <c r="A360">
        <v>40859</v>
      </c>
      <c r="B360" t="e">
        <f>_xlfn.CONCAT(bron[[#This Row],[personeelsnr]]," ",C360," ",D360)</f>
        <v>#REF!</v>
      </c>
      <c r="C360" t="e">
        <f>VLOOKUP(bron[[#This Row],[personeelsnr]],#REF!,2,0)</f>
        <v>#REF!</v>
      </c>
      <c r="D360" t="e">
        <f>VLOOKUP(bron[[#This Row],[personeelsnr]],#REF!,3,0)</f>
        <v>#REF!</v>
      </c>
      <c r="E360" t="e">
        <f>VLOOKUP(bron[[#This Row],[personeelsnr]],#REF!,11,FALSE)</f>
        <v>#REF!</v>
      </c>
    </row>
    <row r="361" spans="1:6" x14ac:dyDescent="0.25">
      <c r="A361">
        <v>40939</v>
      </c>
      <c r="B361" t="e">
        <f>_xlfn.CONCAT(bron[[#This Row],[personeelsnr]]," ",C361," ",D361)</f>
        <v>#REF!</v>
      </c>
      <c r="C361" t="e">
        <f>VLOOKUP(bron[[#This Row],[personeelsnr]],#REF!,2,0)</f>
        <v>#REF!</v>
      </c>
      <c r="D361" t="e">
        <f>VLOOKUP(bron[[#This Row],[personeelsnr]],#REF!,3,0)</f>
        <v>#REF!</v>
      </c>
      <c r="E361" t="e">
        <f>VLOOKUP(bron[[#This Row],[personeelsnr]],#REF!,11,FALSE)</f>
        <v>#REF!</v>
      </c>
    </row>
    <row r="362" spans="1:6" x14ac:dyDescent="0.25">
      <c r="A362">
        <v>40939</v>
      </c>
      <c r="B362" t="e">
        <f>_xlfn.CONCAT(bron[[#This Row],[personeelsnr]]," ",C362," ",D362)</f>
        <v>#REF!</v>
      </c>
      <c r="C362" t="e">
        <f>VLOOKUP(bron[[#This Row],[personeelsnr]],#REF!,2,0)</f>
        <v>#REF!</v>
      </c>
      <c r="D362" t="e">
        <f>VLOOKUP(bron[[#This Row],[personeelsnr]],#REF!,3,0)</f>
        <v>#REF!</v>
      </c>
      <c r="E362" t="e">
        <f>VLOOKUP(bron[[#This Row],[personeelsnr]],#REF!,11,FALSE)</f>
        <v>#REF!</v>
      </c>
    </row>
    <row r="363" spans="1:6" x14ac:dyDescent="0.25">
      <c r="A363">
        <v>37744</v>
      </c>
      <c r="B363" t="e">
        <f>_xlfn.CONCAT(bron[[#This Row],[personeelsnr]]," ",C363," ",D363)</f>
        <v>#REF!</v>
      </c>
      <c r="C363" t="e">
        <f>VLOOKUP(bron[[#This Row],[personeelsnr]],#REF!,2,0)</f>
        <v>#REF!</v>
      </c>
      <c r="D363" t="e">
        <f>VLOOKUP(bron[[#This Row],[personeelsnr]],#REF!,3,0)</f>
        <v>#REF!</v>
      </c>
      <c r="E363" t="e">
        <f>VLOOKUP(bron[[#This Row],[personeelsnr]],#REF!,11,FALSE)</f>
        <v>#REF!</v>
      </c>
      <c r="F363">
        <v>0</v>
      </c>
    </row>
    <row r="364" spans="1:6" x14ac:dyDescent="0.25">
      <c r="A364">
        <v>32245</v>
      </c>
      <c r="B364" t="e">
        <f>_xlfn.CONCAT(bron[[#This Row],[personeelsnr]]," ",C364," ",D364)</f>
        <v>#REF!</v>
      </c>
      <c r="C364" t="e">
        <f>VLOOKUP(bron[[#This Row],[personeelsnr]],#REF!,2,0)</f>
        <v>#REF!</v>
      </c>
      <c r="D364" t="e">
        <f>VLOOKUP(bron[[#This Row],[personeelsnr]],#REF!,3,0)</f>
        <v>#REF!</v>
      </c>
      <c r="E364" t="e">
        <f>VLOOKUP(bron[[#This Row],[personeelsnr]],#REF!,11,FALSE)</f>
        <v>#REF!</v>
      </c>
      <c r="F364">
        <v>0</v>
      </c>
    </row>
    <row r="365" spans="1:6" x14ac:dyDescent="0.25">
      <c r="A365">
        <v>41588</v>
      </c>
      <c r="B365" t="e">
        <f>_xlfn.CONCAT(bron[[#This Row],[personeelsnr]]," ",C365," ",D365)</f>
        <v>#REF!</v>
      </c>
      <c r="C365" t="e">
        <f>VLOOKUP(bron[[#This Row],[personeelsnr]],#REF!,2,0)</f>
        <v>#REF!</v>
      </c>
      <c r="D365" t="e">
        <f>VLOOKUP(bron[[#This Row],[personeelsnr]],#REF!,3,0)</f>
        <v>#REF!</v>
      </c>
      <c r="E365" t="e">
        <f>VLOOKUP(bron[[#This Row],[personeelsnr]],#REF!,11,FALSE)</f>
        <v>#REF!</v>
      </c>
      <c r="F365">
        <v>0</v>
      </c>
    </row>
    <row r="366" spans="1:6" x14ac:dyDescent="0.25">
      <c r="A366">
        <v>41012</v>
      </c>
      <c r="B366" t="e">
        <f>_xlfn.CONCAT(bron[[#This Row],[personeelsnr]]," ",C366," ",D366)</f>
        <v>#REF!</v>
      </c>
      <c r="C366" t="e">
        <f>VLOOKUP(bron[[#This Row],[personeelsnr]],#REF!,2,0)</f>
        <v>#REF!</v>
      </c>
      <c r="D366" t="e">
        <f>VLOOKUP(bron[[#This Row],[personeelsnr]],#REF!,3,0)</f>
        <v>#REF!</v>
      </c>
      <c r="E366" t="e">
        <f>VLOOKUP(bron[[#This Row],[personeelsnr]],#REF!,11,FALSE)</f>
        <v>#REF!</v>
      </c>
    </row>
    <row r="367" spans="1:6" x14ac:dyDescent="0.25">
      <c r="A367">
        <v>41012</v>
      </c>
      <c r="B367" t="e">
        <f>_xlfn.CONCAT(bron[[#This Row],[personeelsnr]]," ",C367," ",D367)</f>
        <v>#REF!</v>
      </c>
      <c r="C367" t="e">
        <f>VLOOKUP(bron[[#This Row],[personeelsnr]],#REF!,2,0)</f>
        <v>#REF!</v>
      </c>
      <c r="D367" t="e">
        <f>VLOOKUP(bron[[#This Row],[personeelsnr]],#REF!,3,0)</f>
        <v>#REF!</v>
      </c>
      <c r="E367" t="e">
        <f>VLOOKUP(bron[[#This Row],[personeelsnr]],#REF!,11,FALSE)</f>
        <v>#REF!</v>
      </c>
    </row>
    <row r="368" spans="1:6" x14ac:dyDescent="0.25">
      <c r="A368">
        <v>41032</v>
      </c>
      <c r="B368" t="e">
        <f>_xlfn.CONCAT(bron[[#This Row],[personeelsnr]]," ",C368," ",D368)</f>
        <v>#REF!</v>
      </c>
      <c r="C368" t="e">
        <f>VLOOKUP(bron[[#This Row],[personeelsnr]],#REF!,2,0)</f>
        <v>#REF!</v>
      </c>
      <c r="D368" t="e">
        <f>VLOOKUP(bron[[#This Row],[personeelsnr]],#REF!,3,0)</f>
        <v>#REF!</v>
      </c>
      <c r="E368" t="e">
        <f>VLOOKUP(bron[[#This Row],[personeelsnr]],#REF!,11,FALSE)</f>
        <v>#REF!</v>
      </c>
    </row>
    <row r="369" spans="1:6" x14ac:dyDescent="0.25">
      <c r="A369">
        <v>41064</v>
      </c>
      <c r="B369" t="e">
        <f>_xlfn.CONCAT(bron[[#This Row],[personeelsnr]]," ",C369," ",D369)</f>
        <v>#REF!</v>
      </c>
      <c r="C369" t="e">
        <f>VLOOKUP(bron[[#This Row],[personeelsnr]],#REF!,2,0)</f>
        <v>#REF!</v>
      </c>
      <c r="D369" t="e">
        <f>VLOOKUP(bron[[#This Row],[personeelsnr]],#REF!,3,0)</f>
        <v>#REF!</v>
      </c>
      <c r="E369" t="e">
        <f>VLOOKUP(bron[[#This Row],[personeelsnr]],#REF!,11,FALSE)</f>
        <v>#REF!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#REF!</v>
      </c>
      <c r="C370" t="e">
        <f>VLOOKUP(bron[[#This Row],[personeelsnr]],#REF!,2,0)</f>
        <v>#REF!</v>
      </c>
      <c r="D370" t="e">
        <f>VLOOKUP(bron[[#This Row],[personeelsnr]],#REF!,3,0)</f>
        <v>#REF!</v>
      </c>
      <c r="E370" t="e">
        <f>VLOOKUP(bron[[#This Row],[personeelsnr]],#REF!,11,FALSE)</f>
        <v>#REF!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2923</v>
      </c>
      <c r="D371" t="s">
        <v>2923</v>
      </c>
      <c r="E371" t="s">
        <v>221</v>
      </c>
    </row>
    <row r="372" spans="1:6" x14ac:dyDescent="0.25">
      <c r="A372">
        <v>31165</v>
      </c>
      <c r="B372" t="e">
        <f>_xlfn.CONCAT(bron[[#This Row],[personeelsnr]]," ",C372," ",D372)</f>
        <v>#REF!</v>
      </c>
      <c r="C372" t="e">
        <f>VLOOKUP(bron[[#This Row],[personeelsnr]],#REF!,2,0)</f>
        <v>#REF!</v>
      </c>
      <c r="D372" t="e">
        <f>VLOOKUP(bron[[#This Row],[personeelsnr]],#REF!,3,0)</f>
        <v>#REF!</v>
      </c>
      <c r="E372" t="e">
        <f>VLOOKUP(bron[[#This Row],[personeelsnr]],#REF!,11,FALSE)</f>
        <v>#REF!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#REF!</v>
      </c>
      <c r="C373" t="e">
        <f>VLOOKUP(bron[[#This Row],[personeelsnr]],#REF!,2,0)</f>
        <v>#REF!</v>
      </c>
      <c r="D373" t="e">
        <f>VLOOKUP(bron[[#This Row],[personeelsnr]],#REF!,3,0)</f>
        <v>#REF!</v>
      </c>
      <c r="E373" t="e">
        <f>VLOOKUP(bron[[#This Row],[personeelsnr]],#REF!,11,FALSE)</f>
        <v>#REF!</v>
      </c>
    </row>
    <row r="374" spans="1:6" x14ac:dyDescent="0.25">
      <c r="A374">
        <v>41091</v>
      </c>
      <c r="B374" t="e">
        <f>_xlfn.CONCAT(bron[[#This Row],[personeelsnr]]," ",C374," ",D374)</f>
        <v>#REF!</v>
      </c>
      <c r="C374" t="e">
        <f>VLOOKUP(bron[[#This Row],[personeelsnr]],#REF!,2,0)</f>
        <v>#REF!</v>
      </c>
      <c r="D374" t="e">
        <f>VLOOKUP(bron[[#This Row],[personeelsnr]],#REF!,3,0)</f>
        <v>#REF!</v>
      </c>
      <c r="E374" t="e">
        <f>VLOOKUP(bron[[#This Row],[personeelsnr]],#REF!,11,FALSE)</f>
        <v>#REF!</v>
      </c>
    </row>
    <row r="375" spans="1:6" x14ac:dyDescent="0.25">
      <c r="A375">
        <v>41092</v>
      </c>
      <c r="B375" t="e">
        <f>_xlfn.CONCAT(bron[[#This Row],[personeelsnr]]," ",C375," ",D375)</f>
        <v>#REF!</v>
      </c>
      <c r="C375" t="e">
        <f>VLOOKUP(bron[[#This Row],[personeelsnr]],#REF!,2,0)</f>
        <v>#REF!</v>
      </c>
      <c r="D375" t="e">
        <f>VLOOKUP(bron[[#This Row],[personeelsnr]],#REF!,3,0)</f>
        <v>#REF!</v>
      </c>
      <c r="E375" t="e">
        <f>VLOOKUP(bron[[#This Row],[personeelsnr]],#REF!,11,FALSE)</f>
        <v>#REF!</v>
      </c>
    </row>
    <row r="376" spans="1:6" x14ac:dyDescent="0.25">
      <c r="A376">
        <v>4608</v>
      </c>
      <c r="B376" t="e">
        <f>_xlfn.CONCAT(bron[[#This Row],[personeelsnr]]," ",C376," ",D376)</f>
        <v>#REF!</v>
      </c>
      <c r="C376" t="e">
        <f>VLOOKUP(bron[[#This Row],[personeelsnr]],#REF!,2,0)</f>
        <v>#REF!</v>
      </c>
      <c r="D376" t="e">
        <f>VLOOKUP(bron[[#This Row],[personeelsnr]],#REF!,3,0)</f>
        <v>#REF!</v>
      </c>
      <c r="E376" t="e">
        <f>VLOOKUP(bron[[#This Row],[personeelsnr]],#REF!,11,FALSE)</f>
        <v>#REF!</v>
      </c>
    </row>
    <row r="377" spans="1:6" x14ac:dyDescent="0.25">
      <c r="A377">
        <v>41092</v>
      </c>
      <c r="B377" t="e">
        <f>_xlfn.CONCAT(bron[[#This Row],[personeelsnr]]," ",C377," ",D377)</f>
        <v>#REF!</v>
      </c>
      <c r="C377" t="e">
        <f>VLOOKUP(bron[[#This Row],[personeelsnr]],#REF!,2,0)</f>
        <v>#REF!</v>
      </c>
      <c r="D377" t="e">
        <f>VLOOKUP(bron[[#This Row],[personeelsnr]],#REF!,3,0)</f>
        <v>#REF!</v>
      </c>
      <c r="E377" t="e">
        <f>VLOOKUP(bron[[#This Row],[personeelsnr]],#REF!,11,FALSE)</f>
        <v>#REF!</v>
      </c>
    </row>
    <row r="378" spans="1:6" x14ac:dyDescent="0.25">
      <c r="A378">
        <v>41092</v>
      </c>
      <c r="B378" t="e">
        <f>_xlfn.CONCAT(bron[[#This Row],[personeelsnr]]," ",C378," ",D378)</f>
        <v>#REF!</v>
      </c>
      <c r="C378" t="e">
        <f>VLOOKUP(bron[[#This Row],[personeelsnr]],#REF!,2,0)</f>
        <v>#REF!</v>
      </c>
      <c r="D378" t="e">
        <f>VLOOKUP(bron[[#This Row],[personeelsnr]],#REF!,3,0)</f>
        <v>#REF!</v>
      </c>
      <c r="E378" t="e">
        <f>VLOOKUP(bron[[#This Row],[personeelsnr]],#REF!,11,FALSE)</f>
        <v>#REF!</v>
      </c>
    </row>
    <row r="379" spans="1:6" x14ac:dyDescent="0.25">
      <c r="A379">
        <v>41092</v>
      </c>
      <c r="B379" t="e">
        <f>_xlfn.CONCAT(bron[[#This Row],[personeelsnr]]," ",C379," ",D379)</f>
        <v>#REF!</v>
      </c>
      <c r="C379" t="e">
        <f>VLOOKUP(bron[[#This Row],[personeelsnr]],#REF!,2,0)</f>
        <v>#REF!</v>
      </c>
      <c r="D379" t="e">
        <f>VLOOKUP(bron[[#This Row],[personeelsnr]],#REF!,3,0)</f>
        <v>#REF!</v>
      </c>
      <c r="E379" t="e">
        <f>VLOOKUP(bron[[#This Row],[personeelsnr]],#REF!,11,FALSE)</f>
        <v>#REF!</v>
      </c>
    </row>
    <row r="380" spans="1:6" x14ac:dyDescent="0.25">
      <c r="A380">
        <v>41092</v>
      </c>
      <c r="B380" t="e">
        <f>_xlfn.CONCAT(bron[[#This Row],[personeelsnr]]," ",C380," ",D380)</f>
        <v>#REF!</v>
      </c>
      <c r="C380" t="e">
        <f>VLOOKUP(bron[[#This Row],[personeelsnr]],#REF!,2,0)</f>
        <v>#REF!</v>
      </c>
      <c r="D380" t="e">
        <f>VLOOKUP(bron[[#This Row],[personeelsnr]],#REF!,3,0)</f>
        <v>#REF!</v>
      </c>
      <c r="E380" t="e">
        <f>VLOOKUP(bron[[#This Row],[personeelsnr]],#REF!,11,FALSE)</f>
        <v>#REF!</v>
      </c>
    </row>
    <row r="381" spans="1:6" x14ac:dyDescent="0.25">
      <c r="A381">
        <v>37908</v>
      </c>
      <c r="B381" t="e">
        <f>_xlfn.CONCAT(bron[[#This Row],[personeelsnr]]," ",C381," ",D381)</f>
        <v>#REF!</v>
      </c>
      <c r="C381" t="e">
        <f>VLOOKUP(bron[[#This Row],[personeelsnr]],#REF!,2,0)</f>
        <v>#REF!</v>
      </c>
      <c r="D381" t="e">
        <f>VLOOKUP(bron[[#This Row],[personeelsnr]],#REF!,3,0)</f>
        <v>#REF!</v>
      </c>
      <c r="E381" t="e">
        <f>VLOOKUP(bron[[#This Row],[personeelsnr]],#REF!,11,FALSE)</f>
        <v>#REF!</v>
      </c>
    </row>
    <row r="382" spans="1:6" x14ac:dyDescent="0.25">
      <c r="A382">
        <v>37908</v>
      </c>
      <c r="B382" t="e">
        <f>_xlfn.CONCAT(bron[[#This Row],[personeelsnr]]," ",C382," ",D382)</f>
        <v>#REF!</v>
      </c>
      <c r="C382" t="e">
        <f>VLOOKUP(bron[[#This Row],[personeelsnr]],#REF!,2,0)</f>
        <v>#REF!</v>
      </c>
      <c r="D382" t="e">
        <f>VLOOKUP(bron[[#This Row],[personeelsnr]],#REF!,3,0)</f>
        <v>#REF!</v>
      </c>
      <c r="E382" t="e">
        <f>VLOOKUP(bron[[#This Row],[personeelsnr]],#REF!,11,FALSE)</f>
        <v>#REF!</v>
      </c>
      <c r="F382">
        <v>1</v>
      </c>
    </row>
    <row r="383" spans="1:6" x14ac:dyDescent="0.25">
      <c r="A383">
        <v>41162</v>
      </c>
      <c r="B383" t="e">
        <f>_xlfn.CONCAT(bron[[#This Row],[personeelsnr]]," ",C383," ",D383)</f>
        <v>#REF!</v>
      </c>
      <c r="C383" t="e">
        <f>VLOOKUP(bron[[#This Row],[personeelsnr]],#REF!,2,0)</f>
        <v>#REF!</v>
      </c>
      <c r="D383" t="e">
        <f>VLOOKUP(bron[[#This Row],[personeelsnr]],#REF!,3,0)</f>
        <v>#REF!</v>
      </c>
      <c r="E383" t="e">
        <f>VLOOKUP(bron[[#This Row],[personeelsnr]],#REF!,11,FALSE)</f>
        <v>#REF!</v>
      </c>
    </row>
    <row r="384" spans="1:6" x14ac:dyDescent="0.25">
      <c r="A384">
        <v>39779</v>
      </c>
      <c r="B384" t="e">
        <f>_xlfn.CONCAT(bron[[#This Row],[personeelsnr]]," ",C384," ",D384)</f>
        <v>#REF!</v>
      </c>
      <c r="C384" t="e">
        <f>VLOOKUP(bron[[#This Row],[personeelsnr]],#REF!,2,0)</f>
        <v>#REF!</v>
      </c>
      <c r="D384" t="e">
        <f>VLOOKUP(bron[[#This Row],[personeelsnr]],#REF!,3,0)</f>
        <v>#REF!</v>
      </c>
      <c r="E384" t="e">
        <f>VLOOKUP(bron[[#This Row],[personeelsnr]],#REF!,11,FALSE)</f>
        <v>#REF!</v>
      </c>
      <c r="F384">
        <v>0</v>
      </c>
    </row>
    <row r="385" spans="1:6" x14ac:dyDescent="0.25">
      <c r="A385">
        <v>41162</v>
      </c>
      <c r="B385" t="e">
        <f>_xlfn.CONCAT(bron[[#This Row],[personeelsnr]]," ",C385," ",D385)</f>
        <v>#REF!</v>
      </c>
      <c r="C385" t="e">
        <f>VLOOKUP(bron[[#This Row],[personeelsnr]],#REF!,2,0)</f>
        <v>#REF!</v>
      </c>
      <c r="D385" t="e">
        <f>VLOOKUP(bron[[#This Row],[personeelsnr]],#REF!,3,0)</f>
        <v>#REF!</v>
      </c>
      <c r="E385" t="e">
        <f>VLOOKUP(bron[[#This Row],[personeelsnr]],#REF!,11,FALSE)</f>
        <v>#REF!</v>
      </c>
    </row>
    <row r="386" spans="1:6" x14ac:dyDescent="0.25">
      <c r="A386">
        <v>41162</v>
      </c>
      <c r="B386" t="e">
        <f>_xlfn.CONCAT(bron[[#This Row],[personeelsnr]]," ",C386," ",D386)</f>
        <v>#REF!</v>
      </c>
      <c r="C386" t="e">
        <f>VLOOKUP(bron[[#This Row],[personeelsnr]],#REF!,2,0)</f>
        <v>#REF!</v>
      </c>
      <c r="D386" t="e">
        <f>VLOOKUP(bron[[#This Row],[personeelsnr]],#REF!,3,0)</f>
        <v>#REF!</v>
      </c>
      <c r="E386" t="e">
        <f>VLOOKUP(bron[[#This Row],[personeelsnr]],#REF!,11,FALSE)</f>
        <v>#REF!</v>
      </c>
    </row>
    <row r="387" spans="1:6" x14ac:dyDescent="0.25">
      <c r="A387">
        <v>37132</v>
      </c>
      <c r="B387" t="e">
        <f>_xlfn.CONCAT(bron[[#This Row],[personeelsnr]]," ",C387," ",D387)</f>
        <v>#REF!</v>
      </c>
      <c r="C387" t="e">
        <f>VLOOKUP(bron[[#This Row],[personeelsnr]],#REF!,2,0)</f>
        <v>#REF!</v>
      </c>
      <c r="D387" t="e">
        <f>VLOOKUP(bron[[#This Row],[personeelsnr]],#REF!,3,0)</f>
        <v>#REF!</v>
      </c>
      <c r="E387" t="e">
        <f>VLOOKUP(bron[[#This Row],[personeelsnr]],#REF!,11,FALSE)</f>
        <v>#REF!</v>
      </c>
      <c r="F387">
        <v>0</v>
      </c>
    </row>
    <row r="388" spans="1:6" x14ac:dyDescent="0.25">
      <c r="A388">
        <v>41246</v>
      </c>
      <c r="B388" t="e">
        <f>_xlfn.CONCAT(bron[[#This Row],[personeelsnr]]," ",C388," ",D388)</f>
        <v>#REF!</v>
      </c>
      <c r="C388" t="e">
        <f>VLOOKUP(bron[[#This Row],[personeelsnr]],#REF!,2,0)</f>
        <v>#REF!</v>
      </c>
      <c r="D388" t="e">
        <f>VLOOKUP(bron[[#This Row],[personeelsnr]],#REF!,3,0)</f>
        <v>#REF!</v>
      </c>
      <c r="E388" t="e">
        <f>VLOOKUP(bron[[#This Row],[personeelsnr]],#REF!,11,FALSE)</f>
        <v>#REF!</v>
      </c>
    </row>
    <row r="389" spans="1:6" x14ac:dyDescent="0.25">
      <c r="A389">
        <v>41383</v>
      </c>
      <c r="B389" t="e">
        <f>_xlfn.CONCAT(bron[[#This Row],[personeelsnr]]," ",C389," ",D389)</f>
        <v>#REF!</v>
      </c>
      <c r="C389" t="e">
        <f>VLOOKUP(bron[[#This Row],[personeelsnr]],#REF!,2,0)</f>
        <v>#REF!</v>
      </c>
      <c r="D389" t="e">
        <f>VLOOKUP(bron[[#This Row],[personeelsnr]],#REF!,3,0)</f>
        <v>#REF!</v>
      </c>
      <c r="E389" t="e">
        <f>VLOOKUP(bron[[#This Row],[personeelsnr]],#REF!,11,FALSE)</f>
        <v>#REF!</v>
      </c>
    </row>
    <row r="390" spans="1:6" x14ac:dyDescent="0.25">
      <c r="A390">
        <v>41520</v>
      </c>
      <c r="B390" t="e">
        <f>_xlfn.CONCAT(bron[[#This Row],[personeelsnr]]," ",C390," ",D390)</f>
        <v>#REF!</v>
      </c>
      <c r="C390" t="e">
        <f>VLOOKUP(bron[[#This Row],[personeelsnr]],#REF!,2,0)</f>
        <v>#REF!</v>
      </c>
      <c r="D390" t="e">
        <f>VLOOKUP(bron[[#This Row],[personeelsnr]],#REF!,3,0)</f>
        <v>#REF!</v>
      </c>
      <c r="E390" t="e">
        <f>VLOOKUP(bron[[#This Row],[personeelsnr]],#REF!,11,FALSE)</f>
        <v>#REF!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805</v>
      </c>
      <c r="D391" t="s">
        <v>806</v>
      </c>
      <c r="E391" t="s">
        <v>2924</v>
      </c>
    </row>
    <row r="392" spans="1:6" x14ac:dyDescent="0.25">
      <c r="A392">
        <v>30967</v>
      </c>
      <c r="B392" t="e">
        <f>_xlfn.CONCAT(bron[[#This Row],[personeelsnr]]," ",C392," ",D392)</f>
        <v>#REF!</v>
      </c>
      <c r="C392" t="e">
        <f>VLOOKUP(bron[[#This Row],[personeelsnr]],#REF!,2,0)</f>
        <v>#REF!</v>
      </c>
      <c r="D392" t="e">
        <f>VLOOKUP(bron[[#This Row],[personeelsnr]],#REF!,3,0)</f>
        <v>#REF!</v>
      </c>
      <c r="E392" t="e">
        <f>VLOOKUP(bron[[#This Row],[personeelsnr]],#REF!,11,FALSE)</f>
        <v>#REF!</v>
      </c>
    </row>
    <row r="393" spans="1:6" x14ac:dyDescent="0.25">
      <c r="A393">
        <v>33965</v>
      </c>
      <c r="B393" t="e">
        <f>_xlfn.CONCAT(bron[[#This Row],[personeelsnr]]," ",C393," ",D393)</f>
        <v>#REF!</v>
      </c>
      <c r="C393" t="e">
        <f>VLOOKUP(bron[[#This Row],[personeelsnr]],#REF!,2,0)</f>
        <v>#REF!</v>
      </c>
      <c r="D393" t="e">
        <f>VLOOKUP(bron[[#This Row],[personeelsnr]],#REF!,3,0)</f>
        <v>#REF!</v>
      </c>
      <c r="E393" t="e">
        <f>VLOOKUP(bron[[#This Row],[personeelsnr]],#REF!,11,FALSE)</f>
        <v>#REF!</v>
      </c>
    </row>
    <row r="394" spans="1:6" x14ac:dyDescent="0.25">
      <c r="A394">
        <v>36428</v>
      </c>
      <c r="B394" t="e">
        <f>_xlfn.CONCAT(bron[[#This Row],[personeelsnr]]," ",C394," ",D394)</f>
        <v>#REF!</v>
      </c>
      <c r="C394" t="e">
        <f>VLOOKUP(bron[[#This Row],[personeelsnr]],#REF!,2,0)</f>
        <v>#REF!</v>
      </c>
      <c r="D394" t="e">
        <f>VLOOKUP(bron[[#This Row],[personeelsnr]],#REF!,3,0)</f>
        <v>#REF!</v>
      </c>
      <c r="E394" t="e">
        <f>VLOOKUP(bron[[#This Row],[personeelsnr]],#REF!,11,FALSE)</f>
        <v>#REF!</v>
      </c>
    </row>
    <row r="395" spans="1:6" x14ac:dyDescent="0.25">
      <c r="A395">
        <v>40938</v>
      </c>
      <c r="B395" t="e">
        <f>_xlfn.CONCAT(bron[[#This Row],[personeelsnr]]," ",C395," ",D395)</f>
        <v>#REF!</v>
      </c>
      <c r="C395" t="e">
        <f>VLOOKUP(bron[[#This Row],[personeelsnr]],#REF!,2,0)</f>
        <v>#REF!</v>
      </c>
      <c r="D395" t="e">
        <f>VLOOKUP(bron[[#This Row],[personeelsnr]],#REF!,3,0)</f>
        <v>#REF!</v>
      </c>
      <c r="E395" t="e">
        <f>VLOOKUP(bron[[#This Row],[personeelsnr]],#REF!,11,FALSE)</f>
        <v>#REF!</v>
      </c>
    </row>
    <row r="396" spans="1:6" x14ac:dyDescent="0.25">
      <c r="A396">
        <v>41230</v>
      </c>
      <c r="B396" t="e">
        <f>_xlfn.CONCAT(bron[[#This Row],[personeelsnr]]," ",C396," ",D396)</f>
        <v>#REF!</v>
      </c>
      <c r="C396" t="e">
        <f>VLOOKUP(bron[[#This Row],[personeelsnr]],#REF!,2,0)</f>
        <v>#REF!</v>
      </c>
      <c r="D396" t="e">
        <f>VLOOKUP(bron[[#This Row],[personeelsnr]],#REF!,3,0)</f>
        <v>#REF!</v>
      </c>
      <c r="E396" t="e">
        <f>VLOOKUP(bron[[#This Row],[personeelsnr]],#REF!,11,FALSE)</f>
        <v>#REF!</v>
      </c>
    </row>
    <row r="397" spans="1:6" x14ac:dyDescent="0.25">
      <c r="A397">
        <v>41710</v>
      </c>
      <c r="B397" t="e">
        <f>_xlfn.CONCAT(bron[[#This Row],[personeelsnr]]," ",C397," ",D397)</f>
        <v>#REF!</v>
      </c>
      <c r="C397" t="e">
        <f>VLOOKUP(bron[[#This Row],[personeelsnr]],#REF!,2,0)</f>
        <v>#REF!</v>
      </c>
      <c r="D397" t="e">
        <f>VLOOKUP(bron[[#This Row],[personeelsnr]],#REF!,3,0)</f>
        <v>#REF!</v>
      </c>
      <c r="E397" t="e">
        <f>VLOOKUP(bron[[#This Row],[personeelsnr]],#REF!,11,FALSE)</f>
        <v>#REF!</v>
      </c>
    </row>
    <row r="398" spans="1:6" x14ac:dyDescent="0.25">
      <c r="A398">
        <v>11120</v>
      </c>
      <c r="B398" t="e">
        <f>_xlfn.CONCAT(bron[[#This Row],[personeelsnr]]," ",C398," ",D398)</f>
        <v>#REF!</v>
      </c>
      <c r="C398" t="e">
        <f>VLOOKUP(bron[[#This Row],[personeelsnr]],#REF!,2,0)</f>
        <v>#REF!</v>
      </c>
      <c r="D398" t="e">
        <f>VLOOKUP(bron[[#This Row],[personeelsnr]],#REF!,3,0)</f>
        <v>#REF!</v>
      </c>
      <c r="E398" t="e">
        <f>VLOOKUP(bron[[#This Row],[personeelsnr]],#REF!,11,FALSE)</f>
        <v>#REF!</v>
      </c>
    </row>
    <row r="399" spans="1:6" x14ac:dyDescent="0.25">
      <c r="A399">
        <v>40744</v>
      </c>
      <c r="B399" t="e">
        <f>_xlfn.CONCAT(bron[[#This Row],[personeelsnr]]," ",C399," ",D399)</f>
        <v>#REF!</v>
      </c>
      <c r="C399" t="e">
        <f>VLOOKUP(bron[[#This Row],[personeelsnr]],#REF!,2,0)</f>
        <v>#REF!</v>
      </c>
      <c r="D399" t="e">
        <f>VLOOKUP(bron[[#This Row],[personeelsnr]],#REF!,3,0)</f>
        <v>#REF!</v>
      </c>
      <c r="E399" t="e">
        <f>VLOOKUP(bron[[#This Row],[personeelsnr]],#REF!,11,FALSE)</f>
        <v>#REF!</v>
      </c>
      <c r="F399" s="3"/>
    </row>
    <row r="400" spans="1:6" x14ac:dyDescent="0.25">
      <c r="A400">
        <v>41246</v>
      </c>
      <c r="B400" t="e">
        <f>_xlfn.CONCAT(bron[[#This Row],[personeelsnr]]," ",C400," ",D400)</f>
        <v>#REF!</v>
      </c>
      <c r="C400" t="e">
        <f>VLOOKUP(bron[[#This Row],[personeelsnr]],#REF!,2,0)</f>
        <v>#REF!</v>
      </c>
      <c r="D400" t="e">
        <f>VLOOKUP(bron[[#This Row],[personeelsnr]],#REF!,3,0)</f>
        <v>#REF!</v>
      </c>
      <c r="E400" t="e">
        <f>VLOOKUP(bron[[#This Row],[personeelsnr]],#REF!,11,FALSE)</f>
        <v>#REF!</v>
      </c>
    </row>
    <row r="401" spans="1:5" x14ac:dyDescent="0.25">
      <c r="A401">
        <v>38648</v>
      </c>
      <c r="B401" t="e">
        <f>_xlfn.CONCAT(bron[[#This Row],[personeelsnr]]," ",C401," ",D401)</f>
        <v>#REF!</v>
      </c>
      <c r="C401" t="e">
        <f>VLOOKUP(bron[[#This Row],[personeelsnr]],#REF!,2,0)</f>
        <v>#REF!</v>
      </c>
      <c r="D401" t="e">
        <f>VLOOKUP(bron[[#This Row],[personeelsnr]],#REF!,3,0)</f>
        <v>#REF!</v>
      </c>
      <c r="E401" t="e">
        <f>VLOOKUP(bron[[#This Row],[personeelsnr]],#REF!,11,FALSE)</f>
        <v>#REF!</v>
      </c>
    </row>
    <row r="402" spans="1:5" x14ac:dyDescent="0.25">
      <c r="A402">
        <v>41482</v>
      </c>
      <c r="B402" t="e">
        <f>_xlfn.CONCAT(bron[[#This Row],[personeelsnr]]," ",C402," ",D402)</f>
        <v>#REF!</v>
      </c>
      <c r="C402" t="e">
        <f>VLOOKUP(bron[[#This Row],[personeelsnr]],#REF!,2,0)</f>
        <v>#REF!</v>
      </c>
      <c r="D402" t="e">
        <f>VLOOKUP(bron[[#This Row],[personeelsnr]],#REF!,3,0)</f>
        <v>#REF!</v>
      </c>
      <c r="E402" t="e">
        <f>VLOOKUP(bron[[#This Row],[personeelsnr]],#REF!,11,FALSE)</f>
        <v>#REF!</v>
      </c>
    </row>
    <row r="403" spans="1:5" x14ac:dyDescent="0.25">
      <c r="A403">
        <v>41671</v>
      </c>
      <c r="B403" t="e">
        <f>_xlfn.CONCAT(bron[[#This Row],[personeelsnr]]," ",C403," ",D403)</f>
        <v>#REF!</v>
      </c>
      <c r="C403" t="e">
        <f>VLOOKUP(bron[[#This Row],[personeelsnr]],#REF!,2,0)</f>
        <v>#REF!</v>
      </c>
      <c r="D403" t="e">
        <f>VLOOKUP(bron[[#This Row],[personeelsnr]],#REF!,3,0)</f>
        <v>#REF!</v>
      </c>
      <c r="E403" t="e">
        <f>VLOOKUP(bron[[#This Row],[personeelsnr]],#REF!,11,FALSE)</f>
        <v>#REF!</v>
      </c>
    </row>
    <row r="404" spans="1:5" x14ac:dyDescent="0.25">
      <c r="A404">
        <v>15282</v>
      </c>
      <c r="B404" t="e">
        <f>_xlfn.CONCAT(bron[[#This Row],[personeelsnr]]," ",C404," ",D404)</f>
        <v>#REF!</v>
      </c>
      <c r="C404" t="e">
        <f>VLOOKUP(bron[[#This Row],[personeelsnr]],#REF!,2,0)</f>
        <v>#REF!</v>
      </c>
      <c r="D404" t="e">
        <f>VLOOKUP(bron[[#This Row],[personeelsnr]],#REF!,3,0)</f>
        <v>#REF!</v>
      </c>
      <c r="E404" t="e">
        <f>VLOOKUP(bron[[#This Row],[personeelsnr]],#REF!,11,FALSE)</f>
        <v>#REF!</v>
      </c>
    </row>
    <row r="405" spans="1:5" x14ac:dyDescent="0.25">
      <c r="A405">
        <v>29746</v>
      </c>
      <c r="B405" t="e">
        <f>_xlfn.CONCAT(bron[[#This Row],[personeelsnr]]," ",C405," ",D405)</f>
        <v>#REF!</v>
      </c>
      <c r="C405" t="e">
        <f>VLOOKUP(bron[[#This Row],[personeelsnr]],#REF!,2,0)</f>
        <v>#REF!</v>
      </c>
      <c r="D405" t="e">
        <f>VLOOKUP(bron[[#This Row],[personeelsnr]],#REF!,3,0)</f>
        <v>#REF!</v>
      </c>
      <c r="E405" t="e">
        <f>VLOOKUP(bron[[#This Row],[personeelsnr]],#REF!,11,FALSE)</f>
        <v>#REF!</v>
      </c>
    </row>
    <row r="406" spans="1:5" x14ac:dyDescent="0.25">
      <c r="A406">
        <v>26960</v>
      </c>
      <c r="B406" t="e">
        <f>_xlfn.CONCAT(bron[[#This Row],[personeelsnr]]," ",C406," ",D406)</f>
        <v>#REF!</v>
      </c>
      <c r="C406" t="e">
        <f>VLOOKUP(bron[[#This Row],[personeelsnr]],#REF!,2,0)</f>
        <v>#REF!</v>
      </c>
      <c r="D406" t="e">
        <f>VLOOKUP(bron[[#This Row],[personeelsnr]],#REF!,3,0)</f>
        <v>#REF!</v>
      </c>
      <c r="E406" t="e">
        <f>VLOOKUP(bron[[#This Row],[personeelsnr]],#REF!,11,FALSE)</f>
        <v>#REF!</v>
      </c>
    </row>
    <row r="407" spans="1:5" x14ac:dyDescent="0.25">
      <c r="A407">
        <v>40278</v>
      </c>
      <c r="B407" t="e">
        <f>_xlfn.CONCAT(bron[[#This Row],[personeelsnr]]," ",C407," ",D407)</f>
        <v>#REF!</v>
      </c>
      <c r="C407" t="e">
        <f>VLOOKUP(bron[[#This Row],[personeelsnr]],#REF!,2,0)</f>
        <v>#REF!</v>
      </c>
      <c r="D407" t="e">
        <f>VLOOKUP(bron[[#This Row],[personeelsnr]],#REF!,3,0)</f>
        <v>#REF!</v>
      </c>
      <c r="E407" t="e">
        <f>VLOOKUP(bron[[#This Row],[personeelsnr]],#REF!,11,FALSE)</f>
        <v>#REF!</v>
      </c>
    </row>
    <row r="408" spans="1:5" x14ac:dyDescent="0.25">
      <c r="A408">
        <v>40856</v>
      </c>
      <c r="B408" t="e">
        <f>_xlfn.CONCAT(bron[[#This Row],[personeelsnr]]," ",C408," ",D408)</f>
        <v>#REF!</v>
      </c>
      <c r="C408" t="e">
        <f>VLOOKUP(bron[[#This Row],[personeelsnr]],#REF!,2,0)</f>
        <v>#REF!</v>
      </c>
      <c r="D408" t="e">
        <f>VLOOKUP(bron[[#This Row],[personeelsnr]],#REF!,3,0)</f>
        <v>#REF!</v>
      </c>
      <c r="E408" t="e">
        <f>VLOOKUP(bron[[#This Row],[personeelsnr]],#REF!,11,FALSE)</f>
        <v>#REF!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F42" sqref="F4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2925</v>
      </c>
      <c r="B1" t="s">
        <v>2926</v>
      </c>
      <c r="C1" t="s">
        <v>2927</v>
      </c>
      <c r="D1" t="s">
        <v>2928</v>
      </c>
    </row>
    <row r="2" spans="1:4" x14ac:dyDescent="0.25">
      <c r="A2">
        <v>29076</v>
      </c>
      <c r="B2" t="s">
        <v>2929</v>
      </c>
      <c r="C2" s="5" t="s">
        <v>2930</v>
      </c>
      <c r="D2" t="s">
        <v>2931</v>
      </c>
    </row>
    <row r="3" spans="1:4" x14ac:dyDescent="0.25">
      <c r="A3">
        <v>35348</v>
      </c>
      <c r="B3" t="s">
        <v>1401</v>
      </c>
      <c r="C3" s="5" t="s">
        <v>2932</v>
      </c>
      <c r="D3" t="s">
        <v>2933</v>
      </c>
    </row>
    <row r="4" spans="1:4" x14ac:dyDescent="0.25">
      <c r="A4">
        <v>10170</v>
      </c>
      <c r="B4" t="s">
        <v>1600</v>
      </c>
      <c r="C4" s="5" t="s">
        <v>2934</v>
      </c>
      <c r="D4" t="s">
        <v>2933</v>
      </c>
    </row>
    <row r="5" spans="1:4" x14ac:dyDescent="0.25">
      <c r="A5">
        <v>5579</v>
      </c>
      <c r="B5" t="s">
        <v>1642</v>
      </c>
      <c r="C5" s="5" t="s">
        <v>2935</v>
      </c>
      <c r="D5" t="s">
        <v>2933</v>
      </c>
    </row>
    <row r="6" spans="1:4" x14ac:dyDescent="0.25">
      <c r="A6">
        <v>4597</v>
      </c>
      <c r="B6" t="s">
        <v>2936</v>
      </c>
      <c r="C6" s="5" t="s">
        <v>2937</v>
      </c>
      <c r="D6" t="s">
        <v>2933</v>
      </c>
    </row>
    <row r="7" spans="1:4" x14ac:dyDescent="0.25">
      <c r="A7">
        <v>26268</v>
      </c>
      <c r="B7" t="s">
        <v>1903</v>
      </c>
      <c r="C7" s="5" t="s">
        <v>2938</v>
      </c>
      <c r="D7" t="s">
        <v>2933</v>
      </c>
    </row>
    <row r="8" spans="1:4" x14ac:dyDescent="0.25">
      <c r="A8">
        <v>23897</v>
      </c>
      <c r="B8" t="s">
        <v>2939</v>
      </c>
      <c r="C8" s="5" t="s">
        <v>2940</v>
      </c>
      <c r="D8" t="s">
        <v>2933</v>
      </c>
    </row>
    <row r="9" spans="1:4" x14ac:dyDescent="0.25">
      <c r="A9">
        <v>30456</v>
      </c>
      <c r="B9" t="s">
        <v>2941</v>
      </c>
      <c r="C9" s="5" t="s">
        <v>2942</v>
      </c>
      <c r="D9" t="s">
        <v>2933</v>
      </c>
    </row>
    <row r="10" spans="1:4" x14ac:dyDescent="0.25">
      <c r="A10">
        <v>7839</v>
      </c>
      <c r="B10" t="s">
        <v>1642</v>
      </c>
      <c r="C10" s="5" t="s">
        <v>2943</v>
      </c>
      <c r="D10" t="s">
        <v>2933</v>
      </c>
    </row>
    <row r="11" spans="1:4" x14ac:dyDescent="0.25">
      <c r="A11">
        <v>28740</v>
      </c>
      <c r="B11" t="s">
        <v>1355</v>
      </c>
      <c r="C11" s="5" t="s">
        <v>2944</v>
      </c>
      <c r="D11" t="s">
        <v>2933</v>
      </c>
    </row>
    <row r="12" spans="1:4" x14ac:dyDescent="0.25">
      <c r="A12">
        <v>32219</v>
      </c>
      <c r="B12" t="s">
        <v>1700</v>
      </c>
      <c r="C12" s="5" t="s">
        <v>2945</v>
      </c>
      <c r="D12" t="s">
        <v>220</v>
      </c>
    </row>
    <row r="13" spans="1:4" x14ac:dyDescent="0.25">
      <c r="A13">
        <v>33531</v>
      </c>
      <c r="B13" t="s">
        <v>2946</v>
      </c>
      <c r="C13" s="5" t="s">
        <v>2947</v>
      </c>
      <c r="D13" t="s">
        <v>220</v>
      </c>
    </row>
    <row r="14" spans="1:4" x14ac:dyDescent="0.25">
      <c r="A14">
        <v>10072</v>
      </c>
      <c r="B14" t="s">
        <v>1726</v>
      </c>
      <c r="C14" s="5" t="s">
        <v>2948</v>
      </c>
      <c r="D14" t="s">
        <v>220</v>
      </c>
    </row>
    <row r="15" spans="1:4" x14ac:dyDescent="0.25">
      <c r="A15">
        <v>33429</v>
      </c>
      <c r="B15" t="s">
        <v>1772</v>
      </c>
      <c r="C15" s="5" t="s">
        <v>2949</v>
      </c>
      <c r="D15" t="s">
        <v>220</v>
      </c>
    </row>
    <row r="16" spans="1:4" x14ac:dyDescent="0.25">
      <c r="A16">
        <v>15673</v>
      </c>
      <c r="B16" t="s">
        <v>1497</v>
      </c>
      <c r="C16" s="5" t="s">
        <v>2950</v>
      </c>
      <c r="D16" t="s">
        <v>2933</v>
      </c>
    </row>
    <row r="17" spans="1:3" x14ac:dyDescent="0.25">
      <c r="A17">
        <v>6046</v>
      </c>
      <c r="B17" t="s">
        <v>2951</v>
      </c>
      <c r="C17" s="5" t="s">
        <v>2952</v>
      </c>
    </row>
    <row r="18" spans="1:3" x14ac:dyDescent="0.25">
      <c r="A18">
        <v>4691</v>
      </c>
      <c r="B18" t="s">
        <v>1329</v>
      </c>
      <c r="C18" s="5" t="s">
        <v>2953</v>
      </c>
    </row>
    <row r="19" spans="1:3" x14ac:dyDescent="0.25">
      <c r="A19">
        <v>22812</v>
      </c>
      <c r="B19" t="s">
        <v>1351</v>
      </c>
      <c r="C19" s="5" t="s">
        <v>2954</v>
      </c>
    </row>
    <row r="20" spans="1:3" x14ac:dyDescent="0.25">
      <c r="A20">
        <v>25875</v>
      </c>
      <c r="B20" t="s">
        <v>2955</v>
      </c>
      <c r="C20" s="5" t="s">
        <v>2956</v>
      </c>
    </row>
    <row r="21" spans="1:3" x14ac:dyDescent="0.25">
      <c r="A21">
        <v>10905</v>
      </c>
      <c r="B21" t="s">
        <v>2957</v>
      </c>
      <c r="C21" s="5" t="s">
        <v>2958</v>
      </c>
    </row>
    <row r="22" spans="1:3" x14ac:dyDescent="0.25">
      <c r="A22">
        <v>17552</v>
      </c>
      <c r="B22" t="s">
        <v>2959</v>
      </c>
      <c r="C22" s="5" t="s">
        <v>2960</v>
      </c>
    </row>
    <row r="23" spans="1:3" x14ac:dyDescent="0.25">
      <c r="A23">
        <v>29544</v>
      </c>
      <c r="B23" t="s">
        <v>2961</v>
      </c>
      <c r="C23" s="5" t="s">
        <v>2962</v>
      </c>
    </row>
    <row r="24" spans="1:3" x14ac:dyDescent="0.25">
      <c r="A24">
        <v>14537</v>
      </c>
      <c r="B24" t="s">
        <v>1426</v>
      </c>
      <c r="C24" s="5" t="s">
        <v>2963</v>
      </c>
    </row>
    <row r="25" spans="1:3" x14ac:dyDescent="0.25">
      <c r="A25">
        <v>16707</v>
      </c>
      <c r="B25" t="s">
        <v>1329</v>
      </c>
      <c r="C25" s="5" t="s">
        <v>2964</v>
      </c>
    </row>
    <row r="26" spans="1:3" x14ac:dyDescent="0.25">
      <c r="A26">
        <v>7848</v>
      </c>
      <c r="B26" t="s">
        <v>1676</v>
      </c>
      <c r="C26" s="5" t="s">
        <v>2965</v>
      </c>
    </row>
    <row r="27" spans="1:3" x14ac:dyDescent="0.25">
      <c r="A27">
        <v>32710</v>
      </c>
      <c r="B27" t="s">
        <v>1385</v>
      </c>
      <c r="C27" s="5" t="s">
        <v>2966</v>
      </c>
    </row>
    <row r="28" spans="1:3" x14ac:dyDescent="0.25">
      <c r="A28">
        <v>20541</v>
      </c>
      <c r="B28" t="s">
        <v>1869</v>
      </c>
      <c r="C28" s="5" t="s">
        <v>2967</v>
      </c>
    </row>
    <row r="29" spans="1:3" x14ac:dyDescent="0.25">
      <c r="A29">
        <v>26202</v>
      </c>
      <c r="B29" t="s">
        <v>2968</v>
      </c>
      <c r="C29" s="5" t="s">
        <v>2969</v>
      </c>
    </row>
    <row r="30" spans="1:3" x14ac:dyDescent="0.25">
      <c r="A30">
        <v>27081</v>
      </c>
      <c r="B30" t="s">
        <v>2970</v>
      </c>
      <c r="C30" s="5" t="s">
        <v>2971</v>
      </c>
    </row>
    <row r="31" spans="1:3" x14ac:dyDescent="0.25">
      <c r="A31">
        <v>24577</v>
      </c>
      <c r="B31" t="s">
        <v>2972</v>
      </c>
      <c r="C31" s="5" t="s">
        <v>2973</v>
      </c>
    </row>
    <row r="32" spans="1:3" x14ac:dyDescent="0.25">
      <c r="A32">
        <v>29909</v>
      </c>
      <c r="B32" t="s">
        <v>2974</v>
      </c>
      <c r="C32" s="5" t="s">
        <v>2975</v>
      </c>
    </row>
    <row r="33" spans="1:3" x14ac:dyDescent="0.25">
      <c r="A33">
        <v>31154</v>
      </c>
      <c r="B33" t="s">
        <v>2976</v>
      </c>
      <c r="C33" s="5" t="s">
        <v>2977</v>
      </c>
    </row>
    <row r="34" spans="1:3" x14ac:dyDescent="0.25">
      <c r="A34">
        <v>4707</v>
      </c>
      <c r="B34" t="s">
        <v>1389</v>
      </c>
      <c r="C34" s="5" t="s">
        <v>2978</v>
      </c>
    </row>
    <row r="35" spans="1:3" x14ac:dyDescent="0.25">
      <c r="A35">
        <v>8538</v>
      </c>
      <c r="B35" t="s">
        <v>2160</v>
      </c>
      <c r="C35" s="5" t="s">
        <v>2979</v>
      </c>
    </row>
    <row r="36" spans="1:3" x14ac:dyDescent="0.25">
      <c r="A36">
        <v>27105</v>
      </c>
      <c r="B36" t="s">
        <v>2980</v>
      </c>
      <c r="C36" s="5" t="s">
        <v>2981</v>
      </c>
    </row>
    <row r="37" spans="1:3" x14ac:dyDescent="0.25">
      <c r="A37">
        <v>4692</v>
      </c>
      <c r="B37" t="s">
        <v>1385</v>
      </c>
      <c r="C37" s="5" t="s">
        <v>2982</v>
      </c>
    </row>
    <row r="38" spans="1:3" x14ac:dyDescent="0.25">
      <c r="A38">
        <v>90649</v>
      </c>
      <c r="B38" t="s">
        <v>2219</v>
      </c>
      <c r="C38" s="5" t="s">
        <v>2983</v>
      </c>
    </row>
    <row r="39" spans="1:3" x14ac:dyDescent="0.25">
      <c r="A39">
        <v>23079</v>
      </c>
      <c r="B39" t="s">
        <v>2980</v>
      </c>
      <c r="C39" s="5" t="s">
        <v>2984</v>
      </c>
    </row>
    <row r="40" spans="1:3" x14ac:dyDescent="0.25">
      <c r="A40">
        <v>40152</v>
      </c>
      <c r="B40" t="s">
        <v>2677</v>
      </c>
      <c r="C40" s="5" t="s">
        <v>2985</v>
      </c>
    </row>
    <row r="41" spans="1:3" x14ac:dyDescent="0.25">
      <c r="A41">
        <v>10865</v>
      </c>
      <c r="B41" t="s">
        <v>2986</v>
      </c>
      <c r="C41" s="5" t="s">
        <v>2987</v>
      </c>
    </row>
    <row r="42" spans="1:3" x14ac:dyDescent="0.25">
      <c r="A42">
        <v>35714</v>
      </c>
      <c r="B42" t="s">
        <v>2920</v>
      </c>
      <c r="C42" s="5" t="s">
        <v>2988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dc4b56fb76f2eaadd9afe0bcdf62d5f0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29423de5d67a5e7c63e9a17ffd4d7e4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8211C87-3A39-4F81-B09F-540B2CC38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Dashboard</vt:lpstr>
      <vt:lpstr>BRON</vt:lpstr>
      <vt:lpstr>Voertuigen</vt:lpstr>
      <vt:lpstr>schades-leeftijd</vt:lpstr>
      <vt:lpstr>schades-dienstjaar compleet</vt:lpstr>
      <vt:lpstr>archief 2024</vt:lpstr>
      <vt:lpstr>voor webcode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2026-01-19T12:35:58Z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